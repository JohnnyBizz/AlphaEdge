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Assumptions" sheetId="2" state="visible" r:id="rId4"/>
    <sheet name="Rubric" sheetId="3" state="visible" r:id="rId5"/>
    <sheet name="Candidates" sheetId="4" state="visible" r:id="rId6"/>
    <sheet name="Closeout Screener" sheetId="5" state="visible" r:id="rId7"/>
    <sheet name="Portfolio" sheetId="6" state="visible" r:id="rId8"/>
    <sheet name="Sales Log" sheetId="7" state="visible" r:id="rId9"/>
    <sheet name="Dashboard" sheetId="8" state="visible" r:id="rId10"/>
    <sheet name="Comps" sheetId="9" state="visible" r:id="rId11"/>
    <sheet name="Market Frequency" sheetId="10" state="visible" r:id="rId12"/>
  </sheets>
  <definedNames>
    <definedName function="false" hidden="true" localSheetId="3" name="_xlnm._FilterDatabase" vbProcedure="false">Candidates!$A$4:$X$204</definedName>
    <definedName function="false" hidden="true" localSheetId="4" name="_xlnm._FilterDatabase" vbProcedure="false">'Closeout Screener'!$A$43:$AH$163</definedName>
    <definedName function="false" hidden="true" localSheetId="5" name="_xlnm._FilterDatabase" vbProcedure="false">Portfolio!$A$4:$N$104</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K4" authorId="0">
      <text>
        <r>
          <rPr>
            <sz val="10"/>
            <rFont val="Arial"/>
            <family val="2"/>
          </rPr>
          <t xml:space="preserve">Requires a source in the next column. An unsourced guess here silently drives every downstream number - that is exactly how the first version of this file produced valuations 6-30x too high.</t>
        </r>
      </text>
    </comment>
    <comment ref="P4" authorId="0">
      <text>
        <r>
          <rPr>
            <sz val="10"/>
            <rFont val="Arial"/>
            <family val="2"/>
          </rPr>
          <t xml:space="preserve">Base sell-through rate scaled by the name's own score. This is a modelling assumption, not measured data - set Quality sensitivity to 0 on the Assumptions tab to switch it off.</t>
        </r>
      </text>
    </comment>
    <comment ref="S4" authorId="0">
      <text>
        <r>
          <rPr>
            <sz val="10"/>
            <rFont val="Arial"/>
            <family val="2"/>
          </rPr>
          <t xml:space="preserve">The number to work from. What this name MUST resell for to justify its price, given the probability of ever selling it and the carry you pay meanwhile. You do not have to estimate a value to use it - just ask whether the name is plausibly worth this much.</t>
        </r>
      </text>
    </comment>
    <comment ref="T4" authorId="0">
      <text>
        <r>
          <rPr>
            <sz val="10"/>
            <rFont val="Arial"/>
            <family val="2"/>
          </rPr>
          <t xml:space="preserve">Est. Resale Value divided by Break-even Resale. Above 1.0x the name pays for itself on average; the Safety Multiple on the Assumptions tab sets how far above 1.0x you require before BUY.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J43" authorId="0">
      <text>
        <r>
          <rPr>
            <sz val="10"/>
            <rFont val="Arial"/>
            <family val="2"/>
          </rPr>
          <t xml:space="preserve">Years since first registration, not since the last transfer. Check a WHOIS history tool.</t>
        </r>
      </text>
    </comment>
    <comment ref="W43" authorId="0">
      <text>
        <r>
          <rPr>
            <sz val="10"/>
            <rFont val="Arial"/>
            <family val="2"/>
          </rPr>
          <t xml:space="preserve">Requires a source alongside it. Unsourced guesses here are what made the first version of this model wrong by 6-30x.</t>
        </r>
      </text>
    </comment>
    <comment ref="AB43" authorId="0">
      <text>
        <r>
          <rPr>
            <sz val="10"/>
            <rFont val="Arial"/>
            <family val="2"/>
          </rPr>
          <t xml:space="preserve">What this name must resell for to justify its all-in cost, given its own probability of selling and the carry meanwhile. No valuation needed to read it - just ask whether the name is plausibly worth this much.</t>
        </r>
      </text>
    </comment>
    <comment ref="AE43" authorId="0">
      <text>
        <r>
          <rPr>
            <sz val="10"/>
            <rFont val="Arial"/>
            <family val="2"/>
          </rPr>
          <t xml:space="preserve">Max rational bid minus all-in cost: expected-value headroom per name. Negative means walk.</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Recalculates against today's date every time the file is opened.</t>
        </r>
      </text>
    </comment>
    <comment ref="K4" authorId="0">
      <text>
        <r>
          <rPr>
            <sz val="10"/>
            <rFont val="Arial"/>
            <family val="2"/>
          </rPr>
          <t xml:space="preserve">Total cost basis grossed up for commission: basis / (1 - commission rate). List below this and the sale loses money after GoDaddy takes its cut.</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D18" authorId="0">
      <text>
        <r>
          <rPr>
            <sz val="10"/>
            <rFont val="Arial"/>
            <family val="2"/>
          </rPr>
          <t xml:space="preserve">Cumulative: the share of all .com sales that close at or above this band's floor. Computed from the band shares, so it stays correct if you edit them.</t>
        </r>
      </text>
    </comment>
  </commentList>
</comments>
</file>

<file path=xl/sharedStrings.xml><?xml version="1.0" encoding="utf-8"?>
<sst xmlns="http://schemas.openxmlformats.org/spreadsheetml/2006/main" count="1565" uniqueCount="869">
  <si>
    <t xml:space="preserve">Domain Investing — Rubric &amp; Portfolio Tracker</t>
  </si>
  <si>
    <t xml:space="preserve">HOW TO USE THIS FILE</t>
  </si>
  <si>
    <t xml:space="preserve">1. Assumptions</t>
  </si>
  <si>
    <t xml:space="preserve">Set your commission rate, sell-through rate and holding horizon FIRST. Every max-bid and break-even number in the file is driven off this tab.</t>
  </si>
  <si>
    <t xml:space="preserve">2. Rubric</t>
  </si>
  <si>
    <t xml:space="preserve">Read the scoring definitions. Adjust the six weights if you disagree — they must sum to 100%. The Weight Check cell turns red if they don't.</t>
  </si>
  <si>
    <t xml:space="preserve">3. Candidates</t>
  </si>
  <si>
    <t xml:space="preserve">One row per name you are considering. Score the five manual criteria 1-5, enter your acquisition cost and honest resale estimate. The sheet returns a weighted score, a max rational bid, and a verdict.</t>
  </si>
  <si>
    <t xml:space="preserve">4. Portfolio</t>
  </si>
  <si>
    <t xml:space="preserve">One row per name you actually own. Tracks cumulative renewal carry and the list price you need to break even after commission.</t>
  </si>
  <si>
    <t xml:space="preserve">5. Sales Log</t>
  </si>
  <si>
    <t xml:space="preserve">One row per sale. Feeds realised P&amp;L and your true sell-through rate.</t>
  </si>
  <si>
    <t xml:space="preserve">6. Dashboard</t>
  </si>
  <si>
    <t xml:space="preserve">Read-only summary. The number to watch is Annual Renewal Burden vs. Realised Net Profit.</t>
  </si>
  <si>
    <t xml:space="preserve">7. Comps</t>
  </si>
  <si>
    <t xml:space="preserve">Reference sales and market benchmarks with sources, for calibrating the Comp Support score.</t>
  </si>
  <si>
    <t xml:space="preserve">8. Market Frequency</t>
  </si>
  <si>
    <t xml:space="preserve">How often domains actually sell and for how much, with the derivation behind the sell-through rate and a calibrator that turns a break-even into a percentile.</t>
  </si>
  <si>
    <t xml:space="preserve">9. Closeout Screener</t>
  </si>
  <si>
    <t xml:space="preserve">Expired names in GoDaddy's $11-to-$5 closeout window. Scores name quality and asset quality separately, then gives bid timing.</t>
  </si>
  <si>
    <t xml:space="preserve">COLOUR LEGEND</t>
  </si>
  <si>
    <t xml:space="preserve">Blue text</t>
  </si>
  <si>
    <t xml:space="preserve">You type here. These are inputs.</t>
  </si>
  <si>
    <t xml:space="preserve">Yellow fill</t>
  </si>
  <si>
    <t xml:space="preserve">Key assumption — the numbers most worth arguing about.</t>
  </si>
  <si>
    <t xml:space="preserve">Black text</t>
  </si>
  <si>
    <t xml:space="preserve">Formula. Do not overwrite.</t>
  </si>
  <si>
    <t xml:space="preserve">Green text</t>
  </si>
  <si>
    <t xml:space="preserve">Formula that pulls from another sheet. Do not overwrite.</t>
  </si>
  <si>
    <t xml:space="preserve">Orange row</t>
  </si>
  <si>
    <t xml:space="preserve">EXAMPLE ROW showing the expected format. Delete it before you start.</t>
  </si>
  <si>
    <t xml:space="preserve">THE ONE THING TO REMEMBER</t>
  </si>
  <si>
    <t xml:space="preserve">Carry kills portfolios</t>
  </si>
  <si>
    <t xml:space="preserve">At a 1% sell-through rate you sell roughly one name per hundred per year, while paying renewals on all hundred. A name is only worth owning if its expected net proceeds beat its expected carry over your holding horizon. That comparison is the Max Rational Bid column on the Candidates tab — if your acquisition cost is above it, the name loses money on average no matter how good it sounds.</t>
  </si>
  <si>
    <t xml:space="preserve">Availability</t>
  </si>
  <si>
    <t xml:space="preserve">This file does not check whether a domain is registered. Column A holds the full domain, so select it, copy, and paste straight into GoDaddy's bulk search (up to 500 at a time), then mark the result in the Availability column. The Ext column derives itself from column A — do not type into it.</t>
  </si>
  <si>
    <t xml:space="preserve">Appraisals</t>
  </si>
  <si>
    <t xml:space="preserve">GoDaddy's automated appraisal is not evidence. Use the Comp Support score instead — it asks whether comparable names have actually sold, which is the only valuation signal with a buyer behind it.</t>
  </si>
  <si>
    <t xml:space="preserve">Built</t>
  </si>
  <si>
    <t xml:space="preserve">2026-08-06. Market benchmarks on the Comps tab are as-published; re-check before relying on them.</t>
  </si>
  <si>
    <t xml:space="preserve">Assumptions — set these before anything else</t>
  </si>
  <si>
    <t xml:space="preserve">Assumption</t>
  </si>
  <si>
    <t xml:space="preserve">Value</t>
  </si>
  <si>
    <t xml:space="preserve">Unit</t>
  </si>
  <si>
    <t xml:space="preserve">Why it matters / source</t>
  </si>
  <si>
    <t xml:space="preserve">Commission rate on sale</t>
  </si>
  <si>
    <t xml:space="preserve">%</t>
  </si>
  <si>
    <t xml:space="preserve">Afternic/GoDaddy: 30% on Boost, 25% Basic; drops to 20% (Boost) or 15% (Basic) if you point the domain at GoDaddy aftermarket nameservers. 20% assumes Boost + GD nameservers.</t>
  </si>
  <si>
    <t xml:space="preserve">Minimum commission per sale</t>
  </si>
  <si>
    <t xml:space="preserve">USD</t>
  </si>
  <si>
    <t xml:space="preserve">GoDaddy applies a $15 floor. Only bites on sub-$100 sales.</t>
  </si>
  <si>
    <t xml:space="preserve">Expected sell-through rate (per year)</t>
  </si>
  <si>
    <t xml:space="preserve">DERIVED, see the Market Frequency tab. About 256,600 reported sales a year above $100 against 20m+ listings on Afternic alone gives 1.28%; against 25-30m unique listings across venues it is 0.86-1.03%. 1.00% is the middle of that. The commonly quoted 1.5-2% is measured on curated portfolios or is simply optimistic - assuming you beat the market before you have evidence is the same error as guessing a resale value. Raise it only when your own Sales Log earns it.</t>
  </si>
  <si>
    <t xml:space="preserve">Holding horizon (years)</t>
  </si>
  <si>
    <t xml:space="preserve">years</t>
  </si>
  <si>
    <t xml:space="preserve">Typical time-to-sale for ordinary inventory is 5-10 years. This is the window the max-bid maths assumes you are willing to fund renewals for.</t>
  </si>
  <si>
    <t xml:space="preserve">Default annual renewal — .com</t>
  </si>
  <si>
    <t xml:space="preserve">Typical .com renewal. Override per name where different.</t>
  </si>
  <si>
    <t xml:space="preserve">Default annual renewal — premium TLD</t>
  </si>
  <si>
    <t xml:space="preserve">.ai/.io renewals run far higher and are the main reason trendy-TLD portfolios lose money at low sell-through rates.</t>
  </si>
  <si>
    <t xml:space="preserve">Required return multiple on cost</t>
  </si>
  <si>
    <t xml:space="preserve">x</t>
  </si>
  <si>
    <t xml:space="preserve">Minimum sale-price-to-acquisition-cost ratio you will accept, used to set target list prices. 10x on a $12 hand-reg is a $120 name — set this high, most names never sell at all.</t>
  </si>
  <si>
    <t xml:space="preserve">Quality pivot score (neutral)</t>
  </si>
  <si>
    <t xml:space="preserve">A name scoring exactly this gets the base sell-through rate above. Better names get a higher rate, worse names a lower one.</t>
  </si>
  <si>
    <t xml:space="preserve">Quality sensitivity (0 = off)</t>
  </si>
  <si>
    <t xml:space="preserve">MODELLING ASSUMPTION, NOT MEASURED DATA. Effective rate = base rate x (score / pivot) ^ this. At 1.0 the relationship is linear: a 4.5 name is assumed to sell 1.5x as often as a 3.0 name. Set to 0 to disable and give every name the same probability — which is what the first version of this model did, and it was wrong, because it made name quality irrelevant to the economics.</t>
  </si>
  <si>
    <t xml:space="preserve">Safety multiple required for BUY</t>
  </si>
  <si>
    <t xml:space="preserve">How far above break-even a valuation must sit before the verdict is BUY. At 2.0 the name must be worth twice what the maths strictly requires — headroom for the valuation being wrong.</t>
  </si>
  <si>
    <t xml:space="preserve">DERIVED — do not edit</t>
  </si>
  <si>
    <t xml:space="preserve">Probability a listed name sells within the horizon</t>
  </si>
  <si>
    <t xml:space="preserve">1 minus the chance it fails to sell every year running. This single number is why most portfolios lose money: over 5 years at a 2% annual rate, roughly 9 names in 10 do not sell at all.</t>
  </si>
  <si>
    <t xml:space="preserve">Expected renewal carry per name over horizon (.com)</t>
  </si>
  <si>
    <t xml:space="preserve">What you pay to keep one .com alive for the full horizon, win or lose.</t>
  </si>
  <si>
    <t xml:space="preserve">Scoring Rubric — six weighted criteria, scored 1 to 5</t>
  </si>
  <si>
    <t xml:space="preserve">Weights drive the Candidates tab. Edit the blue cells if you disagree; they must sum to 100%.</t>
  </si>
  <si>
    <t xml:space="preserve">Criterion</t>
  </si>
  <si>
    <t xml:space="preserve">Weight</t>
  </si>
  <si>
    <t xml:space="preserve">Score 1 — avoid</t>
  </si>
  <si>
    <t xml:space="preserve">Score 3 — marginal</t>
  </si>
  <si>
    <t xml:space="preserve">Score 5 — strong</t>
  </si>
  <si>
    <t xml:space="preserve">Extension</t>
  </si>
  <si>
    <t xml:space="preserve">New gTLD (.shop, .xyz, .link) or an obscure ccTLD. Supply is about to expand further when ICANN reopens the new-gTLD window.</t>
  </si>
  <si>
    <t xml:space="preserve">.co, .net, .org, or a strong country ccTLD. Sells, but at a fraction of .com.</t>
  </si>
  <si>
    <t xml:space="preserve">.com. Every one of 2026's largest sales was a .com. .ai is a genuine second tier for AI-native buyers but carries a much higher renewal.</t>
  </si>
  <si>
    <t xml:space="preserve">Commercial intent</t>
  </si>
  <si>
    <t xml:space="preserve">Hobby, meme, or personal-interest term. Nobody monetises it, so nobody bids.</t>
  </si>
  <si>
    <t xml:space="preserve">Real commercial term, but low customer value or a thin buyer pool.</t>
  </si>
  <si>
    <t xml:space="preserve">Term in a sector where one customer is worth thousands — finance, insurance, legal, medical, real estate, B2B SaaS. A $3k domain is a rounding error to that buyer.</t>
  </si>
  <si>
    <t xml:space="preserve">Comp support</t>
  </si>
  <si>
    <t xml:space="preserve">No comparable sale you can point to. You are guessing.</t>
  </si>
  <si>
    <t xml:space="preserve">Loosely similar names have sold, but at scattered prices or years ago.</t>
  </si>
  <si>
    <t xml:space="preserve">Several closely comparable names sold recently at prices you can cite. This is the only valuation input with an actual buyer behind it.</t>
  </si>
  <si>
    <t xml:space="preserve">Length &amp; memorability</t>
  </si>
  <si>
    <t xml:space="preserve">Four or more words, over ~20 characters, or a forgettable string.</t>
  </si>
  <si>
    <t xml:space="preserve">Two or three words, reasonable length, unremarkable.</t>
  </si>
  <si>
    <t xml:space="preserve">One strong dictionary word, or a tight two-word pairing. Short 4-5 character .com remains the most valuable class there is.</t>
  </si>
  <si>
    <t xml:space="preserve">Radio test</t>
  </si>
  <si>
    <t xml:space="preserve">Has to be spelled out. Homophone traps, doubled letters, invented spellings.</t>
  </si>
  <si>
    <t xml:space="preserve">Mostly clear, occasional spelling correction needed.</t>
  </si>
  <si>
    <t xml:space="preserve">Say it once on a phone call and the other person types it correctly.</t>
  </si>
  <si>
    <t xml:space="preserve">Weight check</t>
  </si>
  <si>
    <t xml:space="preserve">EXTENSION LOOKUP — used automatically by the Candidates tab</t>
  </si>
  <si>
    <t xml:space="preserve">Score</t>
  </si>
  <si>
    <t xml:space="preserve">Typical annual renewal</t>
  </si>
  <si>
    <t xml:space="preserve">Note</t>
  </si>
  <si>
    <t xml:space="preserve">com</t>
  </si>
  <si>
    <t xml:space="preserve">The default. Dominates every top-sales chart.</t>
  </si>
  <si>
    <t xml:space="preserve">ai</t>
  </si>
  <si>
    <t xml:space="preserve">Real demand, premium resale averages around $6.5k — but the renewal is the trap.</t>
  </si>
  <si>
    <t xml:space="preserve">io</t>
  </si>
  <si>
    <t xml:space="preserve">Startup-friendly, high renewal, softening as .ai takes the tech mindshare.</t>
  </si>
  <si>
    <t xml:space="preserve">co</t>
  </si>
  <si>
    <t xml:space="preserve">Credible .com alternative, sells at a steep discount to it.</t>
  </si>
  <si>
    <t xml:space="preserve">net</t>
  </si>
  <si>
    <t xml:space="preserve">Old and trusted, limited upside.</t>
  </si>
  <si>
    <t xml:space="preserve">org</t>
  </si>
  <si>
    <t xml:space="preserve">Strong for nonprofit/institutional buyers, narrow otherwise.</t>
  </si>
  <si>
    <t xml:space="preserve">app</t>
  </si>
  <si>
    <t xml:space="preserve">Niche, mostly end-user rather than investor demand.</t>
  </si>
  <si>
    <t xml:space="preserve">dev</t>
  </si>
  <si>
    <t xml:space="preserve">Same — developer tools, thin aftermarket.</t>
  </si>
  <si>
    <t xml:space="preserve">xyz</t>
  </si>
  <si>
    <t xml:space="preserve">High volume, low realised prices.</t>
  </si>
  <si>
    <t xml:space="preserve">other</t>
  </si>
  <si>
    <t xml:space="preserve">Default for anything unlisted. Assume the market is thin.</t>
  </si>
  <si>
    <t xml:space="preserve">HARD FILTERS — any one of these rejects the name regardless of score</t>
  </si>
  <si>
    <t xml:space="preserve">REJECT if:</t>
  </si>
  <si>
    <t xml:space="preserve">Trademark risk — contains or closely mimics an existing brand. A UDRP complaint costs you the name and the legal fee, and intent to resell is exactly what the process punishes.</t>
  </si>
  <si>
    <t xml:space="preserve">Contains a hyphen or a digit. Both collapse resale value and fail the radio test.</t>
  </si>
  <si>
    <t xml:space="preserve">Four or more words.</t>
  </si>
  <si>
    <t xml:space="preserve">Plural/singular confusion with an established site you would be trading off.</t>
  </si>
  <si>
    <t xml:space="preserve">VERDICT THRESHOLDS</t>
  </si>
  <si>
    <t xml:space="preserve">Verdict</t>
  </si>
  <si>
    <t xml:space="preserve">Condition</t>
  </si>
  <si>
    <t xml:space="preserve">Meaning</t>
  </si>
  <si>
    <t xml:space="preserve">BUY</t>
  </si>
  <si>
    <t xml:space="preserve">Score &gt;= 4.00 and cost &lt;= max rational bid</t>
  </si>
  <si>
    <t xml:space="preserve">Passes both the quality bar and the maths.</t>
  </si>
  <si>
    <t xml:space="preserve">BUY IF CHEAPER</t>
  </si>
  <si>
    <t xml:space="preserve">Score &gt;= 4.00 but cost &gt; max rational bid</t>
  </si>
  <si>
    <t xml:space="preserve">Good name, wrong price. Bid the max rational bid and walk if it goes higher.</t>
  </si>
  <si>
    <t xml:space="preserve">WATCH</t>
  </si>
  <si>
    <t xml:space="preserve">Score 3.20 - 3.99</t>
  </si>
  <si>
    <t xml:space="preserve">Borderline. Only take it at a low acquisition cost.</t>
  </si>
  <si>
    <t xml:space="preserve">PASS</t>
  </si>
  <si>
    <t xml:space="preserve">Score &lt; 3.20</t>
  </si>
  <si>
    <t xml:space="preserve">Below the bar.</t>
  </si>
  <si>
    <t xml:space="preserve">REJECT</t>
  </si>
  <si>
    <t xml:space="preserve">Any hard filter failed</t>
  </si>
  <si>
    <t xml:space="preserve">Do not buy at any price.</t>
  </si>
  <si>
    <t xml:space="preserve">Candidate Pipeline — names under consideration</t>
  </si>
  <si>
    <t xml:space="preserve">Rows 5-112: equipment finance, checked 2026-08-03 — a mature niche, nothing clearing. Rows 113+: batch 3, emerging categories researched 2026-08-04 (agentic AI, GEO/AEO, slop provenance, longevity, creator economy) plus three viral-slang controls. Est. Resale Value stays EMPTY until you have a sourced number; work from BREAK-EVEN RESALE, which needs no estimate.</t>
  </si>
  <si>
    <t xml:space="preserve">Domain (full, e.g. name.com)</t>
  </si>
  <si>
    <t xml:space="preserve">Ext</t>
  </si>
  <si>
    <t xml:space="preserve">Ext Score</t>
  </si>
  <si>
    <t xml:space="preserve">Commercial Intent (1-5)</t>
  </si>
  <si>
    <t xml:space="preserve">Comp Support (1-5)</t>
  </si>
  <si>
    <t xml:space="preserve">Length &amp; Memorability (1-5)</t>
  </si>
  <si>
    <t xml:space="preserve">Radio Test (1-5)</t>
  </si>
  <si>
    <t xml:space="preserve">TM Risk? (Y/N)</t>
  </si>
  <si>
    <t xml:space="preserve">Hyphen/Digit? (Y/N)</t>
  </si>
  <si>
    <t xml:space="preserve">Acquisition Cost</t>
  </si>
  <si>
    <t xml:space="preserve">Est. Resale Value</t>
  </si>
  <si>
    <t xml:space="preserve">Valuation Source</t>
  </si>
  <si>
    <t xml:space="preserve">Annual Renewal</t>
  </si>
  <si>
    <t xml:space="preserve">Weighted Score</t>
  </si>
  <si>
    <t xml:space="preserve">Hard Filter</t>
  </si>
  <si>
    <t xml:space="preserve">Effective STR /yr</t>
  </si>
  <si>
    <t xml:space="preserve">P(sale in horizon)</t>
  </si>
  <si>
    <t xml:space="preserve">Expected Carry</t>
  </si>
  <si>
    <t xml:space="preserve">BREAK-EVEN RESALE</t>
  </si>
  <si>
    <t xml:space="preserve">Value Ratio</t>
  </si>
  <si>
    <t xml:space="preserve">Max Rational Bid</t>
  </si>
  <si>
    <t xml:space="preserve">Notes</t>
  </si>
  <si>
    <t xml:space="preserve">workingcapital.com</t>
  </si>
  <si>
    <t xml:space="preserve">N</t>
  </si>
  <si>
    <t xml:space="preserve">Taken</t>
  </si>
  <si>
    <t xml:space="preserve">[T1] Core term, huge buyer pool. Certainly registered — auction/broker target only.</t>
  </si>
  <si>
    <t xml:space="preserve">commerciallending.com</t>
  </si>
  <si>
    <t xml:space="preserve">[T1] Category-defining term. Aftermarket only.</t>
  </si>
  <si>
    <t xml:space="preserve">equipmentfinancing.com</t>
  </si>
  <si>
    <t xml:space="preserve">[T1] The exact-match phrase for the niche. Aftermarket only.</t>
  </si>
  <si>
    <t xml:space="preserve">equipmentleasing.com</t>
  </si>
  <si>
    <t xml:space="preserve">[T1] ELFA's own vocabulary. Aftermarket only.</t>
  </si>
  <si>
    <t xml:space="preserve">invoicefactoring.com</t>
  </si>
  <si>
    <t xml:space="preserve">[T1] High-CPC lending vertical. Aftermarket only.</t>
  </si>
  <si>
    <t xml:space="preserve">merchantcashadvance.com</t>
  </si>
  <si>
    <t xml:space="preserve">[T1] Very high CPC, long string. Aftermarket only.</t>
  </si>
  <si>
    <t xml:space="preserve">assetbasedlending.com</t>
  </si>
  <si>
    <t xml:space="preserve">[T1] ABL is a real institutional category. Aftermarket only.</t>
  </si>
  <si>
    <t xml:space="preserve">saleleaseback.com</t>
  </si>
  <si>
    <t xml:space="preserve">[T1] Structure term; narrower buyer pool than it looks.</t>
  </si>
  <si>
    <t xml:space="preserve">vendorfinancing.com</t>
  </si>
  <si>
    <t xml:space="preserve">[T1] Vendor programs are a major equipment-finance channel.</t>
  </si>
  <si>
    <t xml:space="preserve">equipmentloans.com</t>
  </si>
  <si>
    <t xml:space="preserve">[T1] Shorter and cleaner than 'financing'. Aftermarket only.</t>
  </si>
  <si>
    <t xml:space="preserve">machineryfinancing.com</t>
  </si>
  <si>
    <t xml:space="preserve">[T2] Machine tools / CNC buyers. Check availability.</t>
  </si>
  <si>
    <t xml:space="preserve">forkliftfinancing.com</t>
  </si>
  <si>
    <t xml:space="preserve">[T2] Material handling is a large, financeable category.</t>
  </si>
  <si>
    <t xml:space="preserve">fleetfinancing.com</t>
  </si>
  <si>
    <t xml:space="preserve">[T2] Fleet is high-ticket and repeat-purchase.</t>
  </si>
  <si>
    <t xml:space="preserve">cranefinancing.com</t>
  </si>
  <si>
    <t xml:space="preserve">Available - premium</t>
  </si>
  <si>
    <t xml:space="preserve">[T2] Heavy construction niche, small but wealthy buyer pool.</t>
  </si>
  <si>
    <t xml:space="preserve">truckfinancing.com</t>
  </si>
  <si>
    <t xml:space="preserve">[T2] Trucking is the single biggest equipment-finance vertical.</t>
  </si>
  <si>
    <t xml:space="preserve">trailerfinancing.com</t>
  </si>
  <si>
    <t xml:space="preserve">[T2] Adjacent to trucking.</t>
  </si>
  <si>
    <t xml:space="preserve">dentalfinancing.com</t>
  </si>
  <si>
    <t xml:space="preserve">[T2] Dental practices finance chairs and imaging constantly.</t>
  </si>
  <si>
    <t xml:space="preserve">medicalleasing.com</t>
  </si>
  <si>
    <t xml:space="preserve">[T2] Imaging and diagnostic equipment leasing.</t>
  </si>
  <si>
    <t xml:space="preserve">solarfinancing.com</t>
  </si>
  <si>
    <t xml:space="preserve">[T2] Commercial solar is heavily financed.</t>
  </si>
  <si>
    <t xml:space="preserve">brewingfinancing.com</t>
  </si>
  <si>
    <t xml:space="preserve">HumbleWorth brokerage 2026-08-03 (mktpl $59, auction $0)</t>
  </si>
  <si>
    <t xml:space="preserve">Available - reg</t>
  </si>
  <si>
    <t xml:space="preserve">[T2] Narrow. Included as a deliberate low-scorer for contrast.</t>
  </si>
  <si>
    <t xml:space="preserve">kitchenfinancing.com</t>
  </si>
  <si>
    <t xml:space="preserve">[T2] Restaurant build-outs. Ambiguous — reads residential.</t>
  </si>
  <si>
    <t xml:space="preserve">hvacfinancing.com</t>
  </si>
  <si>
    <t xml:space="preserve">[T2] Contractor equipment plus consumer-facing crossover.</t>
  </si>
  <si>
    <t xml:space="preserve">printfinancing.com</t>
  </si>
  <si>
    <t xml:space="preserve">[T2] Commercial printing is a shrinking sector.</t>
  </si>
  <si>
    <t xml:space="preserve">laundryfinancing.com</t>
  </si>
  <si>
    <t xml:space="preserve">[T2] Laundromat equipment is genuinely financed, small pool.</t>
  </si>
  <si>
    <t xml:space="preserve">gymfinancing.com</t>
  </si>
  <si>
    <t xml:space="preserve">[T2] Fitness equipment leasing.</t>
  </si>
  <si>
    <t xml:space="preserve">farmfinancing.com</t>
  </si>
  <si>
    <t xml:space="preserve">[T2] Ag equipment is a major financed category.</t>
  </si>
  <si>
    <t xml:space="preserve">agequipmentloans.com</t>
  </si>
  <si>
    <t xml:space="preserve">[T2] 'ag' reads as ambiguous when spoken. Weak radio test.</t>
  </si>
  <si>
    <t xml:space="preserve">minefinancing.com</t>
  </si>
  <si>
    <t xml:space="preserve">[T2] Mining equipment. 'mine' is a homophone trap.</t>
  </si>
  <si>
    <t xml:space="preserve">equipmentcapital.com</t>
  </si>
  <si>
    <t xml:space="preserve">[T3] Reads like a lender's own name — strong end-user appeal.</t>
  </si>
  <si>
    <t xml:space="preserve">equipmentfunding.com</t>
  </si>
  <si>
    <t xml:space="preserve">[T3] Same pattern as above.</t>
  </si>
  <si>
    <t xml:space="preserve">equipmentlending.com</t>
  </si>
  <si>
    <t xml:space="preserve">leasingcapital.com</t>
  </si>
  <si>
    <t xml:space="preserve">[T3] Generic enough to suit many lessors.</t>
  </si>
  <si>
    <t xml:space="preserve">lendingdesk.com</t>
  </si>
  <si>
    <t xml:space="preserve">[T3] 'Desk' is real institutional finance vocabulary.</t>
  </si>
  <si>
    <t xml:space="preserve">fundingdesk.com</t>
  </si>
  <si>
    <t xml:space="preserve">[T3] Same.</t>
  </si>
  <si>
    <t xml:space="preserve">capitaldesk.com</t>
  </si>
  <si>
    <t xml:space="preserve">creditdesk.com</t>
  </si>
  <si>
    <t xml:space="preserve">termsheet.com</t>
  </si>
  <si>
    <t xml:space="preserve">[T3] One word, real industry term. Almost certainly registered.</t>
  </si>
  <si>
    <t xml:space="preserve">underwrite.com</t>
  </si>
  <si>
    <t xml:space="preserve">[T3] Single dictionary verb, core to lending. Likely registered.</t>
  </si>
  <si>
    <t xml:space="preserve">sba504.com</t>
  </si>
  <si>
    <t xml:space="preserve">Y</t>
  </si>
  <si>
    <t xml:space="preserve">[T3] HARD FILTER DEMO — contains digits. Auto-rejects.</t>
  </si>
  <si>
    <t xml:space="preserve">section179financing.com</t>
  </si>
  <si>
    <t xml:space="preserve">[T3] HARD FILTER DEMO — digits. Also a tax-code term; verify before use.</t>
  </si>
  <si>
    <t xml:space="preserve">commercial-lending.com</t>
  </si>
  <si>
    <t xml:space="preserve">[T3] HARD FILTER DEMO — hyphen. Auto-rejects.</t>
  </si>
  <si>
    <t xml:space="preserve">anvilcapital.com</t>
  </si>
  <si>
    <t xml:space="preserve">[T4] Industrial metaphor, fits equipment finance. Verify TM.</t>
  </si>
  <si>
    <t xml:space="preserve">keelcapital.com</t>
  </si>
  <si>
    <t xml:space="preserve">[T4] Stability metaphor. Verify TM.</t>
  </si>
  <si>
    <t xml:space="preserve">forgelending.com</t>
  </si>
  <si>
    <t xml:space="preserve">[T4] Industrial, credible for a lender.</t>
  </si>
  <si>
    <t xml:space="preserve">quarrycapital.com</t>
  </si>
  <si>
    <t xml:space="preserve">[T4] Extraction/heavy-industry feel.</t>
  </si>
  <si>
    <t xml:space="preserve">millcapital.com</t>
  </si>
  <si>
    <t xml:space="preserve">[T4] Short, industrial.</t>
  </si>
  <si>
    <t xml:space="preserve">girdercapital.com</t>
  </si>
  <si>
    <t xml:space="preserve">[T4] Construction metaphor, slightly obscure.</t>
  </si>
  <si>
    <t xml:space="preserve">axlecapital.com</t>
  </si>
  <si>
    <t xml:space="preserve">[T4] Fleet/trucking flavour.</t>
  </si>
  <si>
    <t xml:space="preserve">torquelending.com</t>
  </si>
  <si>
    <t xml:space="preserve">[T4] Machinery flavour. Torque Capital Group exists — check TM.</t>
  </si>
  <si>
    <t xml:space="preserve">bedrocklending.com</t>
  </si>
  <si>
    <t xml:space="preserve">[T4] TM FLAG — Bedrock Capital is an existing firm. Marked Y to show the filter working.</t>
  </si>
  <si>
    <t xml:space="preserve">lendcraft.com</t>
  </si>
  <si>
    <t xml:space="preserve">[T4] Coined but obvious. Good radio test.</t>
  </si>
  <si>
    <t xml:space="preserve">capstack.com</t>
  </si>
  <si>
    <t xml:space="preserve">[T4] 'Capital stack' is genuine finance vocabulary. Likely registered.</t>
  </si>
  <si>
    <t xml:space="preserve">leaseflow.com</t>
  </si>
  <si>
    <t xml:space="preserve">[T4] SaaS-ish; could suit a lessor or a software buyer.</t>
  </si>
  <si>
    <t xml:space="preserve">fundrig.com</t>
  </si>
  <si>
    <t xml:space="preserve">[T4] Short, oilfield/equipment flavour. Slightly odd.</t>
  </si>
  <si>
    <t xml:space="preserve">assetly.com</t>
  </si>
  <si>
    <t xml:space="preserve">[T4] -ly brandable. Generic, crowded pattern.</t>
  </si>
  <si>
    <t xml:space="preserve">ledgerlend.com</t>
  </si>
  <si>
    <t xml:space="preserve">[T4] Alliterative, a little clunky.</t>
  </si>
  <si>
    <t xml:space="preserve">creditbox.com</t>
  </si>
  <si>
    <t xml:space="preserve">[B2/Jargon] 'Inside the credit box' is everyday underwriting speech. Not a consumer search term, so less likely mined.</t>
  </si>
  <si>
    <t xml:space="preserve">residualvalue.com</t>
  </si>
  <si>
    <t xml:space="preserve">[B2/Jargon] Core equipment-lease concept — the whole economics of an FMV lease.</t>
  </si>
  <si>
    <t xml:space="preserve">buyrate.com</t>
  </si>
  <si>
    <t xml:space="preserve">[B2/Jargon] The rate a funder quotes a broker. Pure industry vocabulary.</t>
  </si>
  <si>
    <t xml:space="preserve">ticketsize.com</t>
  </si>
  <si>
    <t xml:space="preserve">[B2/Jargon] How the industry segments deals. Narrow but real.</t>
  </si>
  <si>
    <t xml:space="preserve">capitalcall.com</t>
  </si>
  <si>
    <t xml:space="preserve">[B2/Jargon] Fund-finance term with a wider PE buyer pool than equipment alone.</t>
  </si>
  <si>
    <t xml:space="preserve">nonrecourse.com</t>
  </si>
  <si>
    <t xml:space="preserve">[B2/Jargon] Financing structure term. Single compound word.</t>
  </si>
  <si>
    <t xml:space="preserve">termloan.com</t>
  </si>
  <si>
    <t xml:space="preserve">[B2/Jargon] Clean product term, two short syllables.</t>
  </si>
  <si>
    <t xml:space="preserve">creditline.com</t>
  </si>
  <si>
    <t xml:space="preserve">[B2/Jargon] Very high commercial intent. Expect taken.</t>
  </si>
  <si>
    <t xml:space="preserve">originations.com</t>
  </si>
  <si>
    <t xml:space="preserve">[B2/Jargon] How lenders describe new business volume.</t>
  </si>
  <si>
    <t xml:space="preserve">syndications.com</t>
  </si>
  <si>
    <t xml:space="preserve">[B2/Jargon] Lender syndication desks. Narrow institutional pool.</t>
  </si>
  <si>
    <t xml:space="preserve">covenants.com</t>
  </si>
  <si>
    <t xml:space="preserve">[B2/Jargon] Loan covenants. Also has a religious reading — muddies intent.</t>
  </si>
  <si>
    <t xml:space="preserve">stipsheet.com</t>
  </si>
  <si>
    <t xml:space="preserve">[B2/Jargon] 'Stips' is deep insider slang. Too obscure — included to test the floor.</t>
  </si>
  <si>
    <t xml:space="preserve">getfunded.com</t>
  </si>
  <si>
    <t xml:space="preserve">[B2/Action] Direct call to action, exactly what a borrower types. Expect taken.</t>
  </si>
  <si>
    <t xml:space="preserve">getapproved.com</t>
  </si>
  <si>
    <t xml:space="preserve">[B2/Action] Same pattern, slightly broader than lending.</t>
  </si>
  <si>
    <t xml:space="preserve">prequalify.com</t>
  </si>
  <si>
    <t xml:space="preserve">[B2/Action] Real lending-funnel term with very high intent. Expect taken.</t>
  </si>
  <si>
    <t xml:space="preserve">fundfast.com</t>
  </si>
  <si>
    <t xml:space="preserve">[B2/Action] Speed is the actual selling point in commercial lending.</t>
  </si>
  <si>
    <t xml:space="preserve">approvefast.com</t>
  </si>
  <si>
    <t xml:space="preserve">[B2/Action] Same idea, weaker word pairing.</t>
  </si>
  <si>
    <t xml:space="preserve">leaseit.com</t>
  </si>
  <si>
    <t xml:space="preserve">[B2/Action] Short and punchy. 'it' is slightly weak when spoken.</t>
  </si>
  <si>
    <t xml:space="preserve">borrowsmart.com</t>
  </si>
  <si>
    <t xml:space="preserve">[B2/Action] Generic advice framing rather than a product.</t>
  </si>
  <si>
    <t xml:space="preserve">fundmyfleet.com</t>
  </si>
  <si>
    <t xml:space="preserve">[B2/Action] Three words, but alliterative and clear. Fleet is a real vertical.</t>
  </si>
  <si>
    <t xml:space="preserve">ballast.com</t>
  </si>
  <si>
    <t xml:space="preserve">[B2/Metaphor] Stability metaphor, clean dictionary word. Expect taken or expensive.</t>
  </si>
  <si>
    <t xml:space="preserve">linchpin.com</t>
  </si>
  <si>
    <t xml:space="preserve">[B2/Metaphor] Strong business metaphor, broad appeal beyond lending.</t>
  </si>
  <si>
    <t xml:space="preserve">ratchet.com</t>
  </si>
  <si>
    <t xml:space="preserve">[B2/Metaphor] Also a genuine PE structuring term. Dual meaning helps.</t>
  </si>
  <si>
    <t xml:space="preserve">trestle.com</t>
  </si>
  <si>
    <t xml:space="preserve">[B2/Metaphor] Bridge structure. Quietly industrial.</t>
  </si>
  <si>
    <t xml:space="preserve">gantry.com</t>
  </si>
  <si>
    <t xml:space="preserve">[B2/Metaphor] Crane gantry — directly evokes heavy equipment.</t>
  </si>
  <si>
    <t xml:space="preserve">capstan.com</t>
  </si>
  <si>
    <t xml:space="preserve">[B2/Metaphor] Winch drum. Obscure to outsiders, evocative to insiders.</t>
  </si>
  <si>
    <t xml:space="preserve">bollard.com</t>
  </si>
  <si>
    <t xml:space="preserve">[B2/Metaphor] Mooring post. Weak commercial connection.</t>
  </si>
  <si>
    <t xml:space="preserve">crosstie.com</t>
  </si>
  <si>
    <t xml:space="preserve">[B2/Metaphor] Railroad tie. Obscure and hard to spell.</t>
  </si>
  <si>
    <t xml:space="preserve">flywheel.com</t>
  </si>
  <si>
    <t xml:space="preserve">[B2/Metaphor] TM FLAG — Flywheel is an established software brand.</t>
  </si>
  <si>
    <t xml:space="preserve">fulcrum.com</t>
  </si>
  <si>
    <t xml:space="preserve">[B2/Metaphor] TM FLAG — Fulcrum Capital and others already use this.</t>
  </si>
  <si>
    <t xml:space="preserve">leasable.com</t>
  </si>
  <si>
    <t xml:space="preserve">[B2/Coined] Real adjective, rarely used. Spelling is a mild risk (leaseable).</t>
  </si>
  <si>
    <t xml:space="preserve">fundify.com</t>
  </si>
  <si>
    <t xml:space="preserve">[B2/Coined] -ify pattern. Crowded style but clean to say.</t>
  </si>
  <si>
    <t xml:space="preserve">leasify.com</t>
  </si>
  <si>
    <t xml:space="preserve">[B2/Coined] Same pattern, closer to the niche.</t>
  </si>
  <si>
    <t xml:space="preserve">lendly.com</t>
  </si>
  <si>
    <t xml:space="preserve">[B2/Coined] Short -ly brandable.</t>
  </si>
  <si>
    <t xml:space="preserve">fundwise.com</t>
  </si>
  <si>
    <t xml:space="preserve">[B2/Coined] Reads credible and established. Likely taken.</t>
  </si>
  <si>
    <t xml:space="preserve">fundpilot.com</t>
  </si>
  <si>
    <t xml:space="preserve">[B2/Coined] -pilot suffix suggests software as much as lending.</t>
  </si>
  <si>
    <t xml:space="preserve">creditpilot.com</t>
  </si>
  <si>
    <t xml:space="preserve">[B2/Coined] Same.</t>
  </si>
  <si>
    <t xml:space="preserve">lendable.com</t>
  </si>
  <si>
    <t xml:space="preserve">[B2/Coined] TM FLAG — Lendable is an operating lender.</t>
  </si>
  <si>
    <t xml:space="preserve">capitalize.com</t>
  </si>
  <si>
    <t xml:space="preserve">[B2/Coined] TM FLAG — Capitalize is an existing fintech.</t>
  </si>
  <si>
    <t xml:space="preserve">decisioning.com</t>
  </si>
  <si>
    <t xml:space="preserve">[B2/Fintech] Credit decisioning is the standard term for the software category.</t>
  </si>
  <si>
    <t xml:space="preserve">originate.com</t>
  </si>
  <si>
    <t xml:space="preserve">[B2/Fintech] Single verb at the centre of lending. Expect taken.</t>
  </si>
  <si>
    <t xml:space="preserve">servicing.com</t>
  </si>
  <si>
    <t xml:space="preserve">[B2/Fintech] Loan servicing — huge industry. Expect taken.</t>
  </si>
  <si>
    <t xml:space="preserve">adjudicate.com</t>
  </si>
  <si>
    <t xml:space="preserve">[B2/Fintech] Credit adjudication. Also legal — broader buyer pool.</t>
  </si>
  <si>
    <t xml:space="preserve">creditflow.com</t>
  </si>
  <si>
    <t xml:space="preserve">[B2/Fintech] Clean, software-flavoured, says what it does.</t>
  </si>
  <si>
    <t xml:space="preserve">loanstack.com</t>
  </si>
  <si>
    <t xml:space="preserve">[B2/Fintech] 'Stack' reads modern and technical.</t>
  </si>
  <si>
    <t xml:space="preserve">riskdesk.com</t>
  </si>
  <si>
    <t xml:space="preserve">[B2/Fintech] Desk pattern applied to risk rather than funding.</t>
  </si>
  <si>
    <t xml:space="preserve">amortize.com</t>
  </si>
  <si>
    <t xml:space="preserve">[B2/Fintech] Single verb, unambiguous finance meaning.</t>
  </si>
  <si>
    <t xml:space="preserve">collateralize.com</t>
  </si>
  <si>
    <t xml:space="preserve">[B2/Fintech] Long, but precise and uncontested vocabulary.</t>
  </si>
  <si>
    <t xml:space="preserve">dealflow.com</t>
  </si>
  <si>
    <t xml:space="preserve">[B2/Fintech] Widely used across PE, VC and lending. Expect taken.</t>
  </si>
  <si>
    <t xml:space="preserve">loantape.com</t>
  </si>
  <si>
    <t xml:space="preserve">[B2/Fintech] A 'loan tape' is the loan-level data file in a portfolio sale.</t>
  </si>
  <si>
    <t xml:space="preserve">paperwork.com</t>
  </si>
  <si>
    <t xml:space="preserve">[B2/Fintech] The thing every borrower hates. Broad, not lending-specific.</t>
  </si>
  <si>
    <t xml:space="preserve">fundingapi.com</t>
  </si>
  <si>
    <t xml:space="preserve">[B2/Fintech] Embedded-lending angle. 'API' dates quickly.</t>
  </si>
  <si>
    <t xml:space="preserve">agentswarm.com</t>
  </si>
  <si>
    <t xml:space="preserve">Not yet</t>
  </si>
  <si>
    <t xml:space="preserve">[B3/Agentic] 'Agent swarms' is established 2026 vocabulary for multi-agent systems.</t>
  </si>
  <si>
    <t xml:space="preserve">agentmesh.com</t>
  </si>
  <si>
    <t xml:space="preserve">[B3/Agentic] Infrastructure framing. Mesh is standard networking vocabulary.</t>
  </si>
  <si>
    <t xml:space="preserve">agentstack.com</t>
  </si>
  <si>
    <t xml:space="preserve">[B3/Agentic] 'Stack' is how every infra company describes itself.</t>
  </si>
  <si>
    <t xml:space="preserve">agentops.com</t>
  </si>
  <si>
    <t xml:space="preserve">[B3/Agentic] The ops discipline for running agents in production. DevOps/MLOps lineage.</t>
  </si>
  <si>
    <t xml:space="preserve">agentregistry.com</t>
  </si>
  <si>
    <t xml:space="preserve">[B3/Agentic] Agent discovery is an unsolved problem; A2A protocol needs registries.</t>
  </si>
  <si>
    <t xml:space="preserve">agentidentity.com</t>
  </si>
  <si>
    <t xml:space="preserve">[B3/Agentic] Who is this agent and may it act? Genuine unsolved commercial problem.</t>
  </si>
  <si>
    <t xml:space="preserve">agenttrust.com</t>
  </si>
  <si>
    <t xml:space="preserve">[B3/Agentic] Same problem, shorter and more brandable.</t>
  </si>
  <si>
    <t xml:space="preserve">agentaudit.com</t>
  </si>
  <si>
    <t xml:space="preserve">[B3/Agentic] Compliance follows capability. Audit trails for autonomous action.</t>
  </si>
  <si>
    <t xml:space="preserve">agentpayments.com</t>
  </si>
  <si>
    <t xml:space="preserve">[B3/Agentic] Agents transacting is a live 2026 problem with huge money behind it.</t>
  </si>
  <si>
    <t xml:space="preserve">agentgovernance.com</t>
  </si>
  <si>
    <t xml:space="preserve">[B3/Agentic] Enterprise buyers. Long, but precise.</t>
  </si>
  <si>
    <t xml:space="preserve">swarmops.com</t>
  </si>
  <si>
    <t xml:space="preserve">[B3/Agentic] Tighter than agentswarm, slightly more obscure.</t>
  </si>
  <si>
    <t xml:space="preserve">humanintheloop.com</t>
  </si>
  <si>
    <t xml:space="preserve">[B3/Agentic] Established term, three words. Real category in AI oversight.</t>
  </si>
  <si>
    <t xml:space="preserve">agenticops.com</t>
  </si>
  <si>
    <t xml:space="preserve">[B3/Agentic] Rides the exact adjective that carried a $150k sale.</t>
  </si>
  <si>
    <t xml:space="preserve">agentbench.com</t>
  </si>
  <si>
    <t xml:space="preserve">[B3/Agentic] Benchmarking agents. Evaluation is a real spend category.</t>
  </si>
  <si>
    <t xml:space="preserve">answerengine.com</t>
  </si>
  <si>
    <t xml:space="preserve">[B3/GEO] The category noun itself. Expect taken or expensive.</t>
  </si>
  <si>
    <t xml:space="preserve">aivisibility.com</t>
  </si>
  <si>
    <t xml:space="preserve">[B3/GEO] Exactly what the GEO platforms sell. Semrush ships a toolkit by this name.</t>
  </si>
  <si>
    <t xml:space="preserve">llmvisibility.com</t>
  </si>
  <si>
    <t xml:space="preserve">[B3/GEO] Same, narrower and more technical.</t>
  </si>
  <si>
    <t xml:space="preserve">citationrank.com</t>
  </si>
  <si>
    <t xml:space="preserve">[B3/GEO] Getting cited by the model is the new ranking. Coins the metric.</t>
  </si>
  <si>
    <t xml:space="preserve">promptrank.com</t>
  </si>
  <si>
    <t xml:space="preserve">[B3/GEO] Same idea, catchier.</t>
  </si>
  <si>
    <t xml:space="preserve">answerrank.com</t>
  </si>
  <si>
    <t xml:space="preserve">[B3/GEO] Same idea again — one of these three should be free.</t>
  </si>
  <si>
    <t xml:space="preserve">geoaudit.com</t>
  </si>
  <si>
    <t xml:space="preserve">[B3/GEO] Agency deliverable. 'GEO' collides with geography — real ambiguity risk.</t>
  </si>
  <si>
    <t xml:space="preserve">modelvisibility.com</t>
  </si>
  <si>
    <t xml:space="preserve">[B3/GEO] Clearer than 'GEO', longer.</t>
  </si>
  <si>
    <t xml:space="preserve">shareofmodel.com</t>
  </si>
  <si>
    <t xml:space="preserve">[B3/GEO] Riffs on 'share of voice' — the metric this industry needs.</t>
  </si>
  <si>
    <t xml:space="preserve">aicitations.com</t>
  </si>
  <si>
    <t xml:space="preserve">[B3/GEO] Plain description of the deliverable.</t>
  </si>
  <si>
    <t xml:space="preserve">brandinai.com</t>
  </si>
  <si>
    <t xml:space="preserve">[B3/GEO] How does my brand appear inside AI answers. Slightly awkward spoken.</t>
  </si>
  <si>
    <t xml:space="preserve">slopdetector.com</t>
  </si>
  <si>
    <t xml:space="preserve">[B3/Slop] slopdetector.ORG already exists as a live site — the .com is the upgrade path.</t>
  </si>
  <si>
    <t xml:space="preserve">slopfilter.com</t>
  </si>
  <si>
    <t xml:space="preserve">[B3/Slop] Filtering AI content is a product people will pay for.</t>
  </si>
  <si>
    <t xml:space="preserve">slopcheck.com</t>
  </si>
  <si>
    <t xml:space="preserve">[B3/Slop] Short, clear, verb-like.</t>
  </si>
  <si>
    <t xml:space="preserve">slopscore.com</t>
  </si>
  <si>
    <t xml:space="preserve">[B3/Slop] Coins a metric. Metrics get licensed.</t>
  </si>
  <si>
    <t xml:space="preserve">antislop.com</t>
  </si>
  <si>
    <t xml:space="preserve">[B3/Slop] Movement framing rather than product.</t>
  </si>
  <si>
    <t xml:space="preserve">workslop.com</t>
  </si>
  <si>
    <t xml:space="preserve">[B3/Slop] Coined 2025-26 for AI-generated workplace filler. Narrow but current.</t>
  </si>
  <si>
    <t xml:space="preserve">humanverified.com</t>
  </si>
  <si>
    <t xml:space="preserve">[B3/Slop] The positive framing, and the more durable one — provenance outlives the slang.</t>
  </si>
  <si>
    <t xml:space="preserve">provenhuman.com</t>
  </si>
  <si>
    <t xml:space="preserve">[B3/Slop] Same idea, punchier. My pick of this group.</t>
  </si>
  <si>
    <t xml:space="preserve">humanmade.com</t>
  </si>
  <si>
    <t xml:space="preserve">[B3/Slop] Broadest of the provenance names; likely long taken.</t>
  </si>
  <si>
    <t xml:space="preserve">madebyhumans.com</t>
  </si>
  <si>
    <t xml:space="preserve">[B3/Slop] Certification-mark framing.</t>
  </si>
  <si>
    <t xml:space="preserve">contentprovenance.com</t>
  </si>
  <si>
    <t xml:space="preserve">[B3/Slop] The formal industry term (C2PA lineage). Enterprise buyer.</t>
  </si>
  <si>
    <t xml:space="preserve">healthspanlab.com</t>
  </si>
  <si>
    <t xml:space="preserve">[B3/Longevity] 'Healthspan' is displacing 'lifespan' as the commercial term.</t>
  </si>
  <si>
    <t xml:space="preserve">healthspanscore.com</t>
  </si>
  <si>
    <t xml:space="preserve">[B3/Longevity] Metric framing again.</t>
  </si>
  <si>
    <t xml:space="preserve">longevityclinic.com</t>
  </si>
  <si>
    <t xml:space="preserve">[B3/Longevity] Literal business type, high customer value. Expect taken.</t>
  </si>
  <si>
    <t xml:space="preserve">longevityresidences.com</t>
  </si>
  <si>
    <t xml:space="preserve">[B3/Longevity] Named as an emerging wellness-real-estate category for 2026. Long.</t>
  </si>
  <si>
    <t xml:space="preserve">biomarkerlab.com</t>
  </si>
  <si>
    <t xml:space="preserve">[B3/Longevity] Consumer biomarker testing is scaling fast.</t>
  </si>
  <si>
    <t xml:space="preserve">microplastictest.com</t>
  </si>
  <si>
    <t xml:space="preserve">[B3/Longevity] Microplastics are forecast to become a routinely measured marker.</t>
  </si>
  <si>
    <t xml:space="preserve">ovarianage.com</t>
  </si>
  <si>
    <t xml:space="preserve">[B3/Longevity] Women's healthspan and ovarian aging is a specifically flagged 2026 frontier.</t>
  </si>
  <si>
    <t xml:space="preserve">glp1clinic.com</t>
  </si>
  <si>
    <t xml:space="preserve">[B3/Longevity] HARD FILTER — contains a digit. Real category, unusable name.</t>
  </si>
  <si>
    <t xml:space="preserve">healthspanindex.com</t>
  </si>
  <si>
    <t xml:space="preserve">[B3/Longevity] Index framing, weaker than score.</t>
  </si>
  <si>
    <t xml:space="preserve">creatorstack.com</t>
  </si>
  <si>
    <t xml:space="preserve">[B3/Creator] Tooling framing for a saturating market.</t>
  </si>
  <si>
    <t xml:space="preserve">creatorops.com</t>
  </si>
  <si>
    <t xml:space="preserve">[B3/Creator] Ops discipline for creator businesses.</t>
  </si>
  <si>
    <t xml:space="preserve">creatorpayouts.com</t>
  </si>
  <si>
    <t xml:space="preserve">[B3/Creator] Payments is where creator-economy money actually is.</t>
  </si>
  <si>
    <t xml:space="preserve">creatortax.com</t>
  </si>
  <si>
    <t xml:space="preserve">[B3/Creator] Boring, unglamorous, genuinely needed — usually a good sign.</t>
  </si>
  <si>
    <t xml:space="preserve">brandsafety.com</t>
  </si>
  <si>
    <t xml:space="preserve">[B3/Creator] Long-standing adtech term, broader than creators. Expect taken.</t>
  </si>
  <si>
    <t xml:space="preserve">clanker.com</t>
  </si>
  <si>
    <t xml:space="preserve">[B3/Control] CONTROL — viral anti-AI slur, huge volume, no commercial buyer. Expect a low score and a bad break-even.</t>
  </si>
  <si>
    <t xml:space="preserve">skibidi.com</t>
  </si>
  <si>
    <t xml:space="preserve">[B3/Control] CONTROL — peak brainrot slang. Zero business use.</t>
  </si>
  <si>
    <t xml:space="preserve">delulu.com</t>
  </si>
  <si>
    <t xml:space="preserve">[B3/Control] CONTROL — same. Included so you can see the model reject it.</t>
  </si>
  <si>
    <t xml:space="preserve">agenticcommerce.com</t>
  </si>
  <si>
    <t xml:space="preserve">[B4/Agentic+] Agents transacting is the biggest live commercial problem in the space. Closest in kind to the $150k sale.</t>
  </si>
  <si>
    <t xml:space="preserve">agenticpayments.com</t>
  </si>
  <si>
    <t xml:space="preserve">[B4/Agentic+] Stripe and Coinbase are both shipping machine-to-machine payment rails.</t>
  </si>
  <si>
    <t xml:space="preserve">agenticsecurity.com</t>
  </si>
  <si>
    <t xml:space="preserve">[B4/Agentic+] Autonomy creates the attack surface; a named 2026 problem after the ChatGPT agent hack.</t>
  </si>
  <si>
    <t xml:space="preserve">agenticfinance.com</t>
  </si>
  <si>
    <t xml:space="preserve">[B4/Agentic+] Vertical compound, high-value buyer pool.</t>
  </si>
  <si>
    <t xml:space="preserve">agenticworkflows.com</t>
  </si>
  <si>
    <t xml:space="preserve">[B4/Agentic+] Orchestration is the layer where Cognition and AnySphere are valued in the billions.</t>
  </si>
  <si>
    <t xml:space="preserve">agenticsystems.com</t>
  </si>
  <si>
    <t xml:space="preserve">[B4/Agentic+] Broad and institutional. Reads like a consultancy or a platform.</t>
  </si>
  <si>
    <t xml:space="preserve">agenticcloud.com</t>
  </si>
  <si>
    <t xml:space="preserve">[B4/Agentic+] Infrastructure framing.</t>
  </si>
  <si>
    <t xml:space="preserve">agenticdata.com</t>
  </si>
  <si>
    <t xml:space="preserve">[B4/Agentic+] Short, clean, obvious enterprise buyer.</t>
  </si>
  <si>
    <t xml:space="preserve">agenticcore.com</t>
  </si>
  <si>
    <t xml:space="preserve">[B4/Agentic+] 'Core' is on the reported 2026 investor keyword list.</t>
  </si>
  <si>
    <t xml:space="preserve">agenticlabs.com</t>
  </si>
  <si>
    <t xml:space="preserve">[B4/Agentic+] 'Labs' is likewise on that list, and reads as a company name.</t>
  </si>
  <si>
    <t xml:space="preserve">agenticnetwork.com</t>
  </si>
  <si>
    <t xml:space="preserve">[B4/Agentic+] Fits the A2A interoperability story.</t>
  </si>
  <si>
    <t xml:space="preserve">agenticsearch.com</t>
  </si>
  <si>
    <t xml:space="preserve">[B4/Agentic+] Perplexity at $9B makes this a live category.</t>
  </si>
  <si>
    <t xml:space="preserve">agentichealth.com</t>
  </si>
  <si>
    <t xml:space="preserve">[B4/Agentic+] Vertical compound into the highest-value sector there is.</t>
  </si>
  <si>
    <t xml:space="preserve">agenticretail.com</t>
  </si>
  <si>
    <t xml:space="preserve">[B4/Agentic+] Vertical compound, clear buyer.</t>
  </si>
  <si>
    <t xml:space="preserve">agenticenterprise.com</t>
  </si>
  <si>
    <t xml:space="preserve">[B4/Agentic+] Enterprise framing, slightly long.</t>
  </si>
  <si>
    <t xml:space="preserve">agenticinfrastructure.com</t>
  </si>
  <si>
    <t xml:space="preserve">[B4/Agentic+] Precise but 21 characters. Length is the weakness.</t>
  </si>
  <si>
    <t xml:space="preserve">agentprotocol.com</t>
  </si>
  <si>
    <t xml:space="preserve">[B4/Protocol] The generic term above MCP/A2A/ACP. Strong if any of them converge.</t>
  </si>
  <si>
    <t xml:space="preserve">agentgateway.com</t>
  </si>
  <si>
    <t xml:space="preserve">[B4/Protocol] Gateways are where agent traffic gets controlled and billed.</t>
  </si>
  <si>
    <t xml:space="preserve">agentrouter.com</t>
  </si>
  <si>
    <t xml:space="preserve">[B4/Protocol] Same layer, shorter.</t>
  </si>
  <si>
    <t xml:space="preserve">agentbroker.com</t>
  </si>
  <si>
    <t xml:space="preserve">[B4/Protocol] Brokering between agents — the A2A middle.</t>
  </si>
  <si>
    <t xml:space="preserve">agentdirectory.com</t>
  </si>
  <si>
    <t xml:space="preserve">[B4/Protocol] Agent discovery is genuinely unsolved.</t>
  </si>
  <si>
    <t xml:space="preserve">agentinterop.com</t>
  </si>
  <si>
    <t xml:space="preserve">[B4/Protocol] Exact word the standards bodies use. 'Interop' is jargon-y spoken.</t>
  </si>
  <si>
    <t xml:space="preserve">contextprotocol.com</t>
  </si>
  <si>
    <t xml:space="preserve">[B4/Protocol] Adjacent to Anthropic's Model Context Protocol. Open standard, not a brand — but check before relying on the association.</t>
  </si>
  <si>
    <t xml:space="preserve">agentcommerce.com</t>
  </si>
  <si>
    <t xml:space="preserve">[B4/Payments] Non-'agentic' variant of the top pick; likely gone, worth testing.</t>
  </si>
  <si>
    <t xml:space="preserve">agentwallet.com</t>
  </si>
  <si>
    <t xml:space="preserve">[B4/Payments] An agent needs somewhere to hold funds. Concrete and short.</t>
  </si>
  <si>
    <t xml:space="preserve">agentcheckout.com</t>
  </si>
  <si>
    <t xml:space="preserve">[B4/Payments] The merchant side of the same problem.</t>
  </si>
  <si>
    <t xml:space="preserve">machinepayments.com</t>
  </si>
  <si>
    <t xml:space="preserve">[B4/Payments] M2M framing — survives even if 'agent' falls out of fashion.</t>
  </si>
  <si>
    <t xml:space="preserve">autonomouspayments.com</t>
  </si>
  <si>
    <t xml:space="preserve">[B4/Payments] Precise, and the longest name here.</t>
  </si>
  <si>
    <t xml:space="preserve">agentspend.com</t>
  </si>
  <si>
    <t xml:space="preserve">[B4/Payments] Spend management for agents. Reads like a real SaaS.</t>
  </si>
  <si>
    <t xml:space="preserve">agentsecurity.com</t>
  </si>
  <si>
    <t xml:space="preserve">[B4/Security] Plainest statement of the category.</t>
  </si>
  <si>
    <t xml:space="preserve">agentguard.com</t>
  </si>
  <si>
    <t xml:space="preserve">[B4/Security] Product-shaped and brandable.</t>
  </si>
  <si>
    <t xml:space="preserve">agentfirewall.com</t>
  </si>
  <si>
    <t xml:space="preserve">[B4/Security] Borrowed metaphor that enterprise buyers already understand.</t>
  </si>
  <si>
    <t xml:space="preserve">agentsandbox.com</t>
  </si>
  <si>
    <t xml:space="preserve">[B4/Security] Sandboxing is how you actually contain an agent.</t>
  </si>
  <si>
    <t xml:space="preserve">agentpermissions.com</t>
  </si>
  <si>
    <t xml:space="preserve">[B4/Security] The authorisation half of agent identity.</t>
  </si>
  <si>
    <t xml:space="preserve">agentconsent.com</t>
  </si>
  <si>
    <t xml:space="preserve">[B4/Security] Narrower, more legal-flavoured.</t>
  </si>
  <si>
    <t xml:space="preserve">agentmemory.com</t>
  </si>
  <si>
    <t xml:space="preserve">[B4/AgentOps] Memory is the hardest unsolved piece of agent design.</t>
  </si>
  <si>
    <t xml:space="preserve">agentevals.com</t>
  </si>
  <si>
    <t xml:space="preserve">[B4/AgentOps] Evaluation is a real budget line. 'Evals' is insider but universal in the field.</t>
  </si>
  <si>
    <t xml:space="preserve">agentobservability.com</t>
  </si>
  <si>
    <t xml:space="preserve">[B4/AgentOps] Exact enterprise term, punishingly long.</t>
  </si>
  <si>
    <t xml:space="preserve">contextengineering.com</t>
  </si>
  <si>
    <t xml:space="preserve">[B4/AgentOps] Has largely replaced 'prompt engineering' as the serious term.</t>
  </si>
  <si>
    <t xml:space="preserve">Closeout Screener — expired names at $5-$11</t>
  </si>
  <si>
    <t xml:space="preserve">A closeout runs 5 days as a reverse auction: $11 on day 1, falling $1/day to $5, plus the renewal. Strong names get taken on day 1 — the Bid Guidance column tells you whether to grab it now or wait for the floor. Blue cells are yours; everything else is a formula.</t>
  </si>
  <si>
    <t xml:space="preserve">SCORING WEIGHTS — edit the blue cells; each block must total 100%</t>
  </si>
  <si>
    <t xml:space="preserve">NAME QUALITY</t>
  </si>
  <si>
    <t xml:space="preserve">Total</t>
  </si>
  <si>
    <t xml:space="preserve">ASSET QUALITY</t>
  </si>
  <si>
    <t xml:space="preserve">Domain age</t>
  </si>
  <si>
    <t xml:space="preserve">Backlink quality</t>
  </si>
  <si>
    <t xml:space="preserve">Prior use</t>
  </si>
  <si>
    <t xml:space="preserve">Traffic</t>
  </si>
  <si>
    <t xml:space="preserve">Blend: weight on NAME quality</t>
  </si>
  <si>
    <t xml:space="preserve">Asset quality takes the remainder. Raise this if you are reselling on the name alone; lower it if you are buying for SEO value.</t>
  </si>
  <si>
    <t xml:space="preserve">ASSET CRITERIA — what the scores mean</t>
  </si>
  <si>
    <t xml:space="preserve">Scored automatically from the Age (yrs) column: under 2 = 1, 2-4 = 2, 5-9 = 3, 10-14 = 4, 15+ = 5. Age is the single hardest thing to fake.</t>
  </si>
  <si>
    <t xml:space="preserve">1 = none, or obvious spam/PBN links. 3 = a handful of ordinary links. 5 = genuine editorial links from real sites. Check in any backlink tool before bidding — this is where the resale value hides.</t>
  </si>
  <si>
    <t xml:space="preserve">1 = parked, spam, or a link farm. 3 = a thin or abandoned site. 5 = a real business with a clean archive. Check the Wayback Machine.</t>
  </si>
  <si>
    <t xml:space="preserve">1 = none measurable. 3 = modest residual type-in traffic. 5 = meaningful ongoing traffic. Leave at 1 if you cannot measure it — do not guess upward.</t>
  </si>
  <si>
    <t xml:space="preserve">HARD FILTERS — any one rejects the name at any price</t>
  </si>
  <si>
    <t xml:space="preserve">Spam or penalty history — the domain was used for spam, or shows signs of a manual penalty. You inherit the reputation along with the name.</t>
  </si>
  <si>
    <t xml:space="preserve">Adult or gambling history — poisons the buyer pool for a commercial resale even when the name itself is clean.</t>
  </si>
  <si>
    <t xml:space="preserve">Trademark risk — contains or mimics an existing brand.</t>
  </si>
  <si>
    <t xml:space="preserve">Contains a hyphen or a digit.</t>
  </si>
  <si>
    <t xml:space="preserve">PIPELINE SUMMARY</t>
  </si>
  <si>
    <t xml:space="preserve">Names screened</t>
  </si>
  <si>
    <t xml:space="preserve">BUY — take on day 1</t>
  </si>
  <si>
    <t xml:space="preserve">BUY CHEAPER / FLOOR ONLY</t>
  </si>
  <si>
    <t xml:space="preserve">REJECT / OVERPRICED / SKIP</t>
  </si>
  <si>
    <t xml:space="preserve">Needs valuation or price</t>
  </si>
  <si>
    <t xml:space="preserve">Total all-in cost of BUY names</t>
  </si>
  <si>
    <t xml:space="preserve">Total EV headroom of BUY names</t>
  </si>
  <si>
    <t xml:space="preserve">Closeout Price</t>
  </si>
  <si>
    <t xml:space="preserve">Renewal</t>
  </si>
  <si>
    <t xml:space="preserve">All-in Cost</t>
  </si>
  <si>
    <t xml:space="preserve">Age (yrs)</t>
  </si>
  <si>
    <t xml:space="preserve">Age Score</t>
  </si>
  <si>
    <t xml:space="preserve">Backlink Quality (1-5)</t>
  </si>
  <si>
    <t xml:space="preserve">Prior Use (1-5)</t>
  </si>
  <si>
    <t xml:space="preserve">Traffic (1-5)</t>
  </si>
  <si>
    <t xml:space="preserve">Spam/Penalty? (Y/N)</t>
  </si>
  <si>
    <t xml:space="preserve">Adult/Gambling? (Y/N)</t>
  </si>
  <si>
    <t xml:space="preserve">Name Score</t>
  </si>
  <si>
    <t xml:space="preserve">Asset Score</t>
  </si>
  <si>
    <t xml:space="preserve">Combined Score</t>
  </si>
  <si>
    <t xml:space="preserve">Net After Commission</t>
  </si>
  <si>
    <t xml:space="preserve">P(sale)</t>
  </si>
  <si>
    <t xml:space="preserve">Margin vs Cost</t>
  </si>
  <si>
    <t xml:space="preserve">Bid Guidance</t>
  </si>
  <si>
    <t xml:space="preserve">fleetlogistics.com</t>
  </si>
  <si>
    <t xml:space="preserve">HumbleWorth brokerage 2026-08-03</t>
  </si>
  <si>
    <t xml:space="preserve">Portfolio — names you actually own</t>
  </si>
  <si>
    <t xml:space="preserve">Enter the FULL domain in column A (name.com) — Ext derives itself. Blue columns are yours; carry, cost basis and break-even are formulas that update with today's date. Row 5 is an example — delete it.</t>
  </si>
  <si>
    <t xml:space="preserve">Status</t>
  </si>
  <si>
    <t xml:space="preserve">Acquired</t>
  </si>
  <si>
    <t xml:space="preserve">Years Held</t>
  </si>
  <si>
    <t xml:space="preserve">Renewals Paid</t>
  </si>
  <si>
    <t xml:space="preserve">Cumulative Carry</t>
  </si>
  <si>
    <t xml:space="preserve">Total Cost Basis</t>
  </si>
  <si>
    <t xml:space="preserve">Break-Even List Price</t>
  </si>
  <si>
    <t xml:space="preserve">Target List Price</t>
  </si>
  <si>
    <t xml:space="preserve">Currently Listed At</t>
  </si>
  <si>
    <t xml:space="preserve">Active</t>
  </si>
  <si>
    <t xml:space="preserve">EXAMPLE ROW — delete.</t>
  </si>
  <si>
    <t xml:space="preserve">Sales Log — every completed sale</t>
  </si>
  <si>
    <t xml:space="preserve">Copy Total Cost Basis across from the Portfolio tab at the moment of sale. Row 5 is an example — delete it.</t>
  </si>
  <si>
    <t xml:space="preserve">Domain</t>
  </si>
  <si>
    <t xml:space="preserve">Sale Date</t>
  </si>
  <si>
    <t xml:space="preserve">Sale Price</t>
  </si>
  <si>
    <t xml:space="preserve">Venue</t>
  </si>
  <si>
    <t xml:space="preserve">Commission Rate</t>
  </si>
  <si>
    <t xml:space="preserve">Commission Paid</t>
  </si>
  <si>
    <t xml:space="preserve">Net Proceeds</t>
  </si>
  <si>
    <t xml:space="preserve">Net Profit</t>
  </si>
  <si>
    <t xml:space="preserve">ROI</t>
  </si>
  <si>
    <t xml:space="preserve">Afternic</t>
  </si>
  <si>
    <t xml:space="preserve">Dashboard — read only</t>
  </si>
  <si>
    <t xml:space="preserve">PORTFOLIO</t>
  </si>
  <si>
    <t xml:space="preserve">Active names held</t>
  </si>
  <si>
    <t xml:space="preserve">Names currently owned and renewing.</t>
  </si>
  <si>
    <t xml:space="preserve">Total acquisition invested</t>
  </si>
  <si>
    <t xml:space="preserve">Cash spent buying the names you still hold.</t>
  </si>
  <si>
    <t xml:space="preserve">Cumulative renewal carry paid</t>
  </si>
  <si>
    <t xml:space="preserve">Renewals paid to date on names you still hold. This only ever goes up.</t>
  </si>
  <si>
    <t xml:space="preserve">Total cost basis</t>
  </si>
  <si>
    <t xml:space="preserve">Acquisition plus carry. What the portfolio must clear to break even.</t>
  </si>
  <si>
    <t xml:space="preserve">Annual renewal burden</t>
  </si>
  <si>
    <t xml:space="preserve">What you owe every year to keep the portfolio alive, before a single sale. Compare this against Realised Net Profit below — if it is larger, the portfolio is shrinking.</t>
  </si>
  <si>
    <t xml:space="preserve">REALISED RESULTS</t>
  </si>
  <si>
    <t xml:space="preserve">Sales completed</t>
  </si>
  <si>
    <t xml:space="preserve">Rows on the Sales Log.</t>
  </si>
  <si>
    <t xml:space="preserve">Gross sales value</t>
  </si>
  <si>
    <t xml:space="preserve">Before commission.</t>
  </si>
  <si>
    <t xml:space="preserve">Net proceeds after commission</t>
  </si>
  <si>
    <t xml:space="preserve">What actually reached you.</t>
  </si>
  <si>
    <t xml:space="preserve">Realised net profit</t>
  </si>
  <si>
    <t xml:space="preserve">Net proceeds minus the cost basis of the names sold.</t>
  </si>
  <si>
    <t xml:space="preserve">Profit vs. annual renewal burden</t>
  </si>
  <si>
    <t xml:space="preserve">How many years of renewals your realised profit covers. Below 1.0x, the portfolio is funded by fresh cash rather than by sales.</t>
  </si>
  <si>
    <t xml:space="preserve">SELL-THROUGH</t>
  </si>
  <si>
    <t xml:space="preserve">Realised sell-through (lifetime)</t>
  </si>
  <si>
    <t xml:space="preserve">Sales divided by all names ever held. Compare with the 2% assumption. Fewer than ~50 names makes this statistically meaningless — read it as a sanity check, not a result.</t>
  </si>
  <si>
    <t xml:space="preserve">Assumed sell-through (Assumptions tab)</t>
  </si>
  <si>
    <t xml:space="preserve">If your realised rate sits persistently below this, your max-bid maths is too generous.</t>
  </si>
  <si>
    <t xml:space="preserve">Expected sales per year at assumed rate</t>
  </si>
  <si>
    <t xml:space="preserve">Active names times the assumed rate. Below 1.0, expect years with no sales at all.</t>
  </si>
  <si>
    <t xml:space="preserve">PIPELINE</t>
  </si>
  <si>
    <t xml:space="preserve">Candidates evaluated</t>
  </si>
  <si>
    <t xml:space="preserve">Rows on the Candidates tab.</t>
  </si>
  <si>
    <t xml:space="preserve">Verdict: BUY</t>
  </si>
  <si>
    <t xml:space="preserve">Sourced valuation clears break-even by at least the safety multiple.</t>
  </si>
  <si>
    <t xml:space="preserve">Verdict: MARGINAL</t>
  </si>
  <si>
    <t xml:space="preserve">Above break-even but inside the safety margin. Only if you trust the valuation.</t>
  </si>
  <si>
    <t xml:space="preserve">Verdict: NEEDS VALUATION / PRICE</t>
  </si>
  <si>
    <t xml:space="preserve">Missing a sourced valuation or a real price. The model refuses to guess on your behalf.</t>
  </si>
  <si>
    <t xml:space="preserve">Verdict: PASS / REJECT</t>
  </si>
  <si>
    <t xml:space="preserve">Below break-even, or hard-filtered.</t>
  </si>
  <si>
    <t xml:space="preserve">Market benchmarks &amp; comparable sales — for scoring Comp Support</t>
  </si>
  <si>
    <t xml:space="preserve">Reference points gathered from published industry reporting. Add your own comps below as you research specific niches — your own sector comps will always beat these headline numbers.</t>
  </si>
  <si>
    <t xml:space="preserve">Benchmark / Sale</t>
  </si>
  <si>
    <t xml:space="preserve">Year</t>
  </si>
  <si>
    <t xml:space="preserve">What it tells you</t>
  </si>
  <si>
    <t xml:space="preserve">Source</t>
  </si>
  <si>
    <t xml:space="preserve">AI.com</t>
  </si>
  <si>
    <t xml:space="preserve">$70,000,000</t>
  </si>
  <si>
    <t xml:space="preserve">2026</t>
  </si>
  <si>
    <t xml:space="preserve">Largest domain sale ever recorded. Bought by the Crypto.com owners.</t>
  </si>
  <si>
    <t xml:space="preserve">DNJournal</t>
  </si>
  <si>
    <t xml:space="preserve">Club.com</t>
  </si>
  <si>
    <t xml:space="preserve">$10,000,000</t>
  </si>
  <si>
    <t xml:space="preserve">Second-largest of 2026. Single dictionary word .com.</t>
  </si>
  <si>
    <t xml:space="preserve">Green.com</t>
  </si>
  <si>
    <t xml:space="preserve">$7,500,000</t>
  </si>
  <si>
    <t xml:space="preserve">Third-largest of 2026. Confirms the single-word .com pattern at the top.</t>
  </si>
  <si>
    <t xml:space="preserve">icon.com</t>
  </si>
  <si>
    <t xml:space="preserve">$12,000,000</t>
  </si>
  <si>
    <t xml:space="preserve">2025</t>
  </si>
  <si>
    <t xml:space="preserve">Top sale of 2025.</t>
  </si>
  <si>
    <t xml:space="preserve">Industry reporting</t>
  </si>
  <si>
    <t xml:space="preserve">Bot.ai</t>
  </si>
  <si>
    <t xml:space="preserve">$1,200,000</t>
  </si>
  <si>
    <t xml:space="preserve">Largest .ai of the year — the ceiling for the extension is real but far below .com.</t>
  </si>
  <si>
    <t xml:space="preserve">Genesis.ai / Lotus.ai</t>
  </si>
  <si>
    <t xml:space="preserve">$400,000 each</t>
  </si>
  <si>
    <t xml:space="preserve">Short dictionary-word .ai clears six figures.</t>
  </si>
  <si>
    <t xml:space="preserve">Free.ai</t>
  </si>
  <si>
    <t xml:space="preserve">$350,000</t>
  </si>
  <si>
    <t xml:space="preserve">Same pattern.</t>
  </si>
  <si>
    <t xml:space="preserve">Neo.ai</t>
  </si>
  <si>
    <t xml:space="preserve">$275,000</t>
  </si>
  <si>
    <t xml:space="preserve">Best hand-registered sale reported</t>
  </si>
  <si>
    <t xml:space="preserve">$75,000</t>
  </si>
  <si>
    <t xml:space="preserve">It happens — and it is newsworthy precisely because it is rare. Do not plan around it.</t>
  </si>
  <si>
    <t xml:space="preserve">Average premium .ai resale</t>
  </si>
  <si>
    <t xml:space="preserve">~$6,500</t>
  </si>
  <si>
    <t xml:space="preserve">The realistic middle of the .ai market, against a ~$90/yr renewal.</t>
  </si>
  <si>
    <t xml:space="preserve">Total aftermarket, reported</t>
  </si>
  <si>
    <t xml:space="preserve">$314,700,000</t>
  </si>
  <si>
    <t xml:space="preserve">Across 190,109 transactions — up 67% in dollar volume year on year. Average reported transaction is about $1,655.</t>
  </si>
  <si>
    <t xml:space="preserve">Typical annual sell-through rate</t>
  </si>
  <si>
    <t xml:space="preserve">1.5% - 2.0%</t>
  </si>
  <si>
    <t xml:space="preserve">1-5% is considered healthy across a diversified portfolio.</t>
  </si>
  <si>
    <t xml:space="preserve">Domavest / industry</t>
  </si>
  <si>
    <t xml:space="preserve">Typical time to sale</t>
  </si>
  <si>
    <t xml:space="preserve">5 - 10 years</t>
  </si>
  <si>
    <t xml:space="preserve">For ordinary inventory on the major marketplaces.</t>
  </si>
  <si>
    <t xml:space="preserve">Sedo / Afternic data</t>
  </si>
  <si>
    <t xml:space="preserve">Afternic commission</t>
  </si>
  <si>
    <t xml:space="preserve">25% - 30%</t>
  </si>
  <si>
    <t xml:space="preserve">30% Boost / 25% Basic; 20% / 15% using GoDaddy aftermarket nameservers. $15 minimum.</t>
  </si>
  <si>
    <t xml:space="preserve">GoDaddy / Afternic</t>
  </si>
  <si>
    <t xml:space="preserve">Worked example — profitable</t>
  </si>
  <si>
    <t xml:space="preserve">+$2,500 over 2 yrs</t>
  </si>
  <si>
    <t xml:space="preserve">100 .com at $20 acquisition, $15/yr renewal, 2% sell-through, $2,500 average sale.</t>
  </si>
  <si>
    <t xml:space="preserve">Monefy analysis</t>
  </si>
  <si>
    <t xml:space="preserve">Worked example — unprofitable</t>
  </si>
  <si>
    <t xml:space="preserve">-$4,600 over 5 yrs</t>
  </si>
  <si>
    <t xml:space="preserve">200 .ai/.io at $50 acquisition, $35/yr renewal, 0.5% sell-through, $3,000 average sale. High renewals at low sell-through is the classic way to lose money.</t>
  </si>
  <si>
    <t xml:space="preserve">ICANN new gTLD window</t>
  </si>
  <si>
    <t xml:space="preserve">Reopens 2026</t>
  </si>
  <si>
    <t xml:space="preserve">Hundreds of new extensions incoming. Expands supply — a risk to existing new-gTLD inventory, not an opportunity for a small portfolio.</t>
  </si>
  <si>
    <t xml:space="preserve">ICANN</t>
  </si>
  <si>
    <t xml:space="preserve">Sources</t>
  </si>
  <si>
    <t xml:space="preserve">DNJournal YTD Top 100 Sales Charts — https://www.dnjournal.com/ytd-sales-charts.htm</t>
  </si>
  <si>
    <t xml:space="preserve">NameBio sales database (6.8M+ recorded sales) — https://namebio.com</t>
  </si>
  <si>
    <t xml:space="preserve">GoDaddy aftermarket commission model update — https://www.godaddy.com/resources/news/godaddy-aftermarket-alignment-commission-model-update</t>
  </si>
  <si>
    <t xml:space="preserve">Domavest, sell-through rate benchmarks 2026 — https://www.domavest.com/2026/03/what-is-good-domain-sell-through-rate.html</t>
  </si>
  <si>
    <t xml:space="preserve">Monefy, domain investing profitability analysis — https://www.monefy.com/article/domain-investing-profitability-data-backed-answer</t>
  </si>
  <si>
    <t xml:space="preserve">Market Frequency — how often domains actually sell</t>
  </si>
  <si>
    <t xml:space="preserve">VOLUME — how much moves, and how fast</t>
  </si>
  <si>
    <t xml:space="preserve">Measure</t>
  </si>
  <si>
    <t xml:space="preserve">Period</t>
  </si>
  <si>
    <t xml:space="preserve">Reported sales, all TLDs</t>
  </si>
  <si>
    <t xml:space="preserve">2025 full year</t>
  </si>
  <si>
    <t xml:space="preserve">Industry reporting — $314.7m total, +31% transactions YoY</t>
  </si>
  <si>
    <t xml:space="preserve">Reported dollar volume</t>
  </si>
  <si>
    <t xml:space="preserve">Same. Average transaction about $1,655.</t>
  </si>
  <si>
    <t xml:space="preserve">NameBio-listed sales</t>
  </si>
  <si>
    <t xml:space="preserve">H1 2026</t>
  </si>
  <si>
    <t xml:space="preserve">NamePros analysis of NameBio — roughly $146m dollar volume</t>
  </si>
  <si>
    <t xml:space="preserve">Implied sales per day ($100+)</t>
  </si>
  <si>
    <t xml:space="preserve">H1 2026 average</t>
  </si>
  <si>
    <t xml:space="preserve">128,300 over ~183 days</t>
  </si>
  <si>
    <t xml:space="preserve">Single-day sample, $100+</t>
  </si>
  <si>
    <t xml:space="preserve">4 April 2026</t>
  </si>
  <si>
    <t xml:space="preserve">$1,468,306 volume, $2,104 average</t>
  </si>
  <si>
    <t xml:space="preserve">Single-day sample, under $100</t>
  </si>
  <si>
    <t xml:space="preserve">Same day. Most activity is below the reporting threshold.</t>
  </si>
  <si>
    <t xml:space="preserve">.com sales analysed</t>
  </si>
  <si>
    <t xml:space="preserve">Jan 2024 - May 2026</t>
  </si>
  <si>
    <t xml:space="preserve">28-month .com dataset (bishopi.io)</t>
  </si>
  <si>
    <t xml:space="preserve">Implied .com sales per year</t>
  </si>
  <si>
    <t xml:space="preserve">Derived</t>
  </si>
  <si>
    <t xml:space="preserve">480,667 over 28 months, annualised. DERIVED, not reported.</t>
  </si>
  <si>
    <t xml:space="preserve">Total .com registered</t>
  </si>
  <si>
    <t xml:space="preserve">About 45% of all domains globally</t>
  </si>
  <si>
    <t xml:space="preserve">Annual turnover of the whole .com base</t>
  </si>
  <si>
    <t xml:space="preserve">Share of all registered .com that change hands in the aftermarket each year. Do NOT confuse this with the sell-through rate on the Assumptions tab: that one is per LISTED name, this one is per REGISTERED name. Different denominators.</t>
  </si>
  <si>
    <t xml:space="preserve">PRICE DISTRIBUTION — 480,667 .com sales, Jan 2024 to May 2026</t>
  </si>
  <si>
    <t xml:space="preserve">Price band</t>
  </si>
  <si>
    <t xml:space="preserve">% of all sales</t>
  </si>
  <si>
    <t xml:space="preserve">Median in band</t>
  </si>
  <si>
    <t xml:space="preserve">% of sales AT OR ABOVE this band's floor</t>
  </si>
  <si>
    <t xml:space="preserve">Under $100</t>
  </si>
  <si>
    <t xml:space="preserve">$100 - $999</t>
  </si>
  <si>
    <t xml:space="preserve">$1,000 - $9,999</t>
  </si>
  <si>
    <t xml:space="preserve">$10,000 - $99,999</t>
  </si>
  <si>
    <t xml:space="preserve">$100,000 and above</t>
  </si>
  <si>
    <t xml:space="preserve">Six-figure sales, count</t>
  </si>
  <si>
    <t xml:space="preserve">In the whole 28-month window — about 85 a year worldwide, across every .com. Four hundredths of one percent of transactions.</t>
  </si>
  <si>
    <t xml:space="preserve">Median sale price</t>
  </si>
  <si>
    <t xml:space="preserve">Reported .com median. Sedo's all-TLD median is lower at $549, against a $2,345 average — the gap between median and average is the whole story: a few large sales drag the mean up.</t>
  </si>
  <si>
    <t xml:space="preserve">Note: the 'Under $100' share is DERIVED (87% under $1,000 minus the 56.5% in the $100-999 band), not directly reported.</t>
  </si>
  <si>
    <t xml:space="preserve">DERIVING THE SELL-THROUGH RATE — where the Assumptions figure comes from</t>
  </si>
  <si>
    <t xml:space="preserve">Step</t>
  </si>
  <si>
    <t xml:space="preserve">Reported sales above $100, annualised</t>
  </si>
  <si>
    <t xml:space="preserve">H1 2026 NameBio count of 128,300, doubled.</t>
  </si>
  <si>
    <t xml:space="preserve">Listed inventory, unique across venues</t>
  </si>
  <si>
    <t xml:space="preserve">Afternic alone advertises 20m+ listings; Sedo and others add more, with overlap. 25m is a middle estimate — the least solid number in this derivation, so it is an editable input.</t>
  </si>
  <si>
    <t xml:space="preserve">Implied market-wide sell-through</t>
  </si>
  <si>
    <t xml:space="preserve">Change the inventory estimate above and watch this move. At 20m it is 1.28%, at 30m it is 0.86%, at 40m it is 0.64%.</t>
  </si>
  <si>
    <t xml:space="preserve">Rate used on the Assumptions tab</t>
  </si>
  <si>
    <t xml:space="preserve">Set to 1.00%: the middle of the derived range, and below the 1.5-2% the industry quotes. Those higher figures are measured on curated portfolios; assuming you beat the market before you have evidence is the same mistake as guessing a resale value.</t>
  </si>
  <si>
    <t xml:space="preserve">CALIBRATOR — what percentile does your break-even sit at?</t>
  </si>
  <si>
    <t xml:space="preserve">Enter a break-even resale price</t>
  </si>
  <si>
    <t xml:space="preserve">Copy a figure from the BREAK-EVEN RESALE column on the Candidates tab. At $22.99 acquisition and a 1% base sell-through these run about $1,800-$2,100.</t>
  </si>
  <si>
    <t xml:space="preserve">Band it falls in</t>
  </si>
  <si>
    <t xml:space="preserve">Band index</t>
  </si>
  <si>
    <t xml:space="preserve">Band floor</t>
  </si>
  <si>
    <t xml:space="preserve">Next band floor</t>
  </si>
  <si>
    <t xml:space="preserve">% of sales clearing band floor</t>
  </si>
  <si>
    <t xml:space="preserve">% of sales clearing next floor</t>
  </si>
  <si>
    <t xml:space="preserve">Share of .com sales that clear it</t>
  </si>
  <si>
    <t xml:space="preserve">Log-interpolated between the two band floors above, so treat it as approximate. It answers the question that matters: if this name does sell, how likely is the price to clear break-even?</t>
  </si>
  <si>
    <t xml:space="preserve">Roughly one sale in</t>
  </si>
  <si>
    <t xml:space="preserve">Same number, inverted — easier to hold in your head.</t>
  </si>
  <si>
    <t xml:space="preserve">WHAT THIS MEANS FOR THE MODEL</t>
  </si>
  <si>
    <t xml:space="preserve">87% of .com sales close under $1,000. At the derived 1% sell-through, a break-even on a $22.99 registration is about $1,800-$2,100 — which roughly 10% of .com sales reach, one in ten. So the name does not just have to sell, it has to land in the top tenth of the price distribution. Two independent things have to go right, and the second is harder than the first.</t>
  </si>
  <si>
    <t xml:space="preserve">The median .com sale is $818 and the median across all TLDs at Sedo is $549. If your mental model of a 'normal' sale is four or five figures, it is wrong by an order of magnitude — that is the same mistake that put $1,800 on brewingfinancing.com.</t>
  </si>
  <si>
    <t xml:space="preserve">Six-figure sales run about 85 a year worldwide. Any strategy whose returns depend on one is not a strategy.</t>
  </si>
  <si>
    <t xml:space="preserve">About 700 sales a day clear $100, and roughly three times that number close below it. The market is genuinely liquid at the bottom and extremely thin at the top.</t>
  </si>
  <si>
    <t xml:space="preserve">Aftermarket turnover is under a tenth of a percent of registered .com per year. The 2% on the Assumptions tab is per name LISTED FOR SALE, which is a much smaller and more self-selected pool. Both numbers are real; they answer different questions.</t>
  </si>
  <si>
    <t xml:space="preserve">WHERE TO GET THIS YOURSELF</t>
  </si>
  <si>
    <t xml:space="preserve">Cost</t>
  </si>
  <si>
    <t xml:space="preserve">Refresh</t>
  </si>
  <si>
    <t xml:space="preserve">What it gives you</t>
  </si>
  <si>
    <t xml:space="preserve">NameBio — namebio.com</t>
  </si>
  <si>
    <t xml:space="preserve">Free search; paid export</t>
  </si>
  <si>
    <t xml:space="preserve">Daily</t>
  </si>
  <si>
    <t xml:space="preserve">The core dataset: 6.8m+ recorded sales. Search by keyword, TLD, price and date. Its /trends page carries volume charts. Paid tier unlocks bulk export and full history.</t>
  </si>
  <si>
    <t xml:space="preserve">NameBio Trends — namebio.com/trends</t>
  </si>
  <si>
    <t xml:space="preserve">Free</t>
  </si>
  <si>
    <t xml:space="preserve">Aggregate volume and average-price charts. The fastest read on whether the market is moving.</t>
  </si>
  <si>
    <t xml:space="preserve">DNJournal — dnjournal.com</t>
  </si>
  <si>
    <t xml:space="preserve">Weekly</t>
  </si>
  <si>
    <t xml:space="preserve">Weekly top-sales chart and a YTD top-100. High end only, so useful for ceilings, useless for the median.</t>
  </si>
  <si>
    <t xml:space="preserve">NamePros analysis threads</t>
  </si>
  <si>
    <t xml:space="preserve">Ad hoc</t>
  </si>
  <si>
    <t xml:space="preserve">Members publish periodic NameBio breakdowns — the source of the H1 2026 volume figures here. Search the forum for 'NameBio analysis'.</t>
  </si>
  <si>
    <t xml:space="preserve">Sedo annual/quarterly report</t>
  </si>
  <si>
    <t xml:space="preserve">Quarterly</t>
  </si>
  <si>
    <t xml:space="preserve">Median and average by TLD across ~350 extensions. The best source for medians rather than headlines.</t>
  </si>
  <si>
    <t xml:space="preserve">Afternic / GoDaddy sales feeds</t>
  </si>
  <si>
    <t xml:space="preserve">Reported sales flow into NameBio anyway, but the marketplaces publish their own summaries.</t>
  </si>
  <si>
    <t xml:space="preserve">ExpiredDomains.net</t>
  </si>
  <si>
    <t xml:space="preserve">Free registration</t>
  </si>
  <si>
    <t xml:space="preserve">Not sales — supply. Shows what is dropping and what is in closeout, which is the input to the Closeout Screener tab.</t>
  </si>
  <si>
    <t xml:space="preserve">HumbleWorth — humbleworth.com</t>
  </si>
  <si>
    <t xml:space="preserve">Free; bulk + API</t>
  </si>
  <si>
    <t xml:space="preserve">On demand</t>
  </si>
  <si>
    <t xml:space="preserve">Automated valuations, three estimates per name. An estimate rather than evidence, but it beats an unsourced guess, and the bulk tool fills the Est. Resale Value column fast.</t>
  </si>
  <si>
    <t xml:space="preserve">Figures gathered 2026-08-04. Volume and distribution move slowly, but re-check before leaning on them.</t>
  </si>
</sst>
</file>

<file path=xl/styles.xml><?xml version="1.0" encoding="utf-8"?>
<styleSheet xmlns="http://schemas.openxmlformats.org/spreadsheetml/2006/main">
  <numFmts count="13">
    <numFmt numFmtId="164" formatCode="General"/>
    <numFmt numFmtId="165" formatCode="0.0%;\(0.0%\);\-"/>
    <numFmt numFmtId="166" formatCode="\$#,##0;&quot;($&quot;#,##0\);\-"/>
    <numFmt numFmtId="167" formatCode="0.00"/>
    <numFmt numFmtId="168" formatCode="0.0\x"/>
    <numFmt numFmtId="169" formatCode="\$#,##0.00;&quot;($&quot;#,##0.00\);\-"/>
    <numFmt numFmtId="170" formatCode="0.00\x"/>
    <numFmt numFmtId="171" formatCode="0"/>
    <numFmt numFmtId="172" formatCode="yyyy\-mm\-dd"/>
    <numFmt numFmtId="173" formatCode="#,##0"/>
    <numFmt numFmtId="174" formatCode="0.000%"/>
    <numFmt numFmtId="175" formatCode="0.00%"/>
    <numFmt numFmtId="176" formatCode="0.0"/>
  </numFmts>
  <fonts count="2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name val="Arial"/>
      <family val="0"/>
      <charset val="1"/>
    </font>
    <font>
      <b val="true"/>
      <sz val="11"/>
      <color rgb="FF1F3864"/>
      <name val="Arial"/>
      <family val="0"/>
      <charset val="1"/>
    </font>
    <font>
      <i val="true"/>
      <sz val="9"/>
      <name val="Arial"/>
      <family val="0"/>
      <charset val="1"/>
    </font>
    <font>
      <b val="true"/>
      <sz val="10"/>
      <color rgb="FFFFFFFF"/>
      <name val="Arial"/>
      <family val="0"/>
      <charset val="1"/>
    </font>
    <font>
      <sz val="10"/>
      <color rgb="FF000000"/>
      <name val="Arial"/>
      <family val="0"/>
      <charset val="1"/>
    </font>
    <font>
      <b val="true"/>
      <sz val="10"/>
      <color rgb="FF0000FF"/>
      <name val="Arial"/>
      <family val="0"/>
      <charset val="1"/>
    </font>
    <font>
      <i val="true"/>
      <sz val="10"/>
      <name val="Arial"/>
      <family val="0"/>
      <charset val="1"/>
    </font>
    <font>
      <sz val="10"/>
      <color rgb="FF0000FF"/>
      <name val="Arial"/>
      <family val="0"/>
      <charset val="1"/>
    </font>
    <font>
      <sz val="10"/>
      <color rgb="FF008000"/>
      <name val="Arial"/>
      <family val="0"/>
      <charset val="1"/>
    </font>
    <font>
      <sz val="10"/>
      <name val="Arial"/>
      <family val="2"/>
    </font>
    <font>
      <b val="true"/>
      <sz val="11"/>
      <color rgb="FFFFFFFF"/>
      <name val="Arial"/>
      <family val="0"/>
      <charset val="1"/>
    </font>
    <font>
      <b val="true"/>
      <sz val="10"/>
      <name val="Arial"/>
      <family val="0"/>
      <charset val="1"/>
    </font>
    <font>
      <sz val="9"/>
      <color rgb="FF000000"/>
      <name val="Arial"/>
      <family val="0"/>
      <charset val="1"/>
    </font>
    <font>
      <b val="true"/>
      <sz val="10"/>
      <color rgb="FF008000"/>
      <name val="Arial"/>
      <family val="0"/>
      <charset val="1"/>
    </font>
    <font>
      <b val="true"/>
      <sz val="9"/>
      <color rgb="FFFFFFFF"/>
      <name val="Arial"/>
      <family val="0"/>
      <charset val="1"/>
    </font>
    <font>
      <b val="true"/>
      <sz val="11"/>
      <color rgb="FF008000"/>
      <name val="Arial"/>
      <family val="0"/>
      <charset val="1"/>
    </font>
    <font>
      <sz val="9"/>
      <name val="Arial"/>
      <family val="0"/>
      <charset val="1"/>
    </font>
    <font>
      <sz val="9"/>
      <color rgb="FFAAAAAA"/>
      <name val="Arial"/>
      <family val="0"/>
      <charset val="1"/>
    </font>
    <font>
      <i val="true"/>
      <sz val="9"/>
      <color rgb="FFC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F00"/>
        <bgColor rgb="FFFFFF00"/>
      </patternFill>
    </fill>
    <fill>
      <patternFill patternType="solid">
        <fgColor rgb="FFFFF2CC"/>
        <bgColor rgb="FFFFFFFF"/>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6" fontId="11" fillId="4" borderId="1" xfId="0" applyFont="true" applyBorder="true" applyAlignment="true" applyProtection="false">
      <alignment horizontal="center" vertical="center" textRotation="0" wrapText="fals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8" fontId="11" fillId="4" borderId="1"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left" vertical="top"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7" fontId="14" fillId="5"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9" fontId="13" fillId="0"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6" fontId="14" fillId="5" borderId="1" xfId="0" applyFont="true" applyBorder="true" applyAlignment="true" applyProtection="false">
      <alignment horizontal="center" vertical="center" textRotation="0" wrapText="false" indent="0" shrinkToFit="false"/>
      <protection locked="true" hidden="false"/>
    </xf>
    <xf numFmtId="167" fontId="10"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6" fontId="10" fillId="5" borderId="1" xfId="0" applyFont="true" applyBorder="true" applyAlignment="true" applyProtection="false">
      <alignment horizontal="center" vertical="center" textRotation="0" wrapText="false" indent="0" shrinkToFit="false"/>
      <protection locked="true" hidden="false"/>
    </xf>
    <xf numFmtId="170" fontId="10" fillId="5" borderId="1" xfId="0" applyFont="true" applyBorder="true" applyAlignment="true" applyProtection="false">
      <alignment horizontal="center" vertical="center" textRotation="0" wrapText="false" indent="0" shrinkToFit="false"/>
      <protection locked="true" hidden="false"/>
    </xf>
    <xf numFmtId="169" fontId="10" fillId="5"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7" fontId="14" fillId="0" borderId="1" xfId="0" applyFont="true" applyBorder="true" applyAlignment="true" applyProtection="false">
      <alignment horizontal="center" vertical="center" textRotation="0" wrapText="false" indent="0" shrinkToFit="false"/>
      <protection locked="true" hidden="false"/>
    </xf>
    <xf numFmtId="166" fontId="14"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71" fontId="19" fillId="0" borderId="1" xfId="0" applyFont="true" applyBorder="true" applyAlignment="true" applyProtection="false">
      <alignment horizontal="center" vertical="center" textRotation="0" wrapText="false" indent="0" shrinkToFit="false"/>
      <protection locked="true" hidden="false"/>
    </xf>
    <xf numFmtId="169" fontId="19" fillId="0" borderId="1" xfId="0" applyFont="true" applyBorder="true" applyAlignment="true" applyProtection="false">
      <alignment horizontal="center" vertical="center" textRotation="0" wrapText="false" indent="0" shrinkToFit="false"/>
      <protection locked="true" hidden="false"/>
    </xf>
    <xf numFmtId="166" fontId="19" fillId="0" borderId="1" xfId="0" applyFont="true" applyBorder="true" applyAlignment="true" applyProtection="false">
      <alignment horizontal="center" vertical="center"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top" textRotation="0" wrapText="false" indent="0" shrinkToFit="false"/>
      <protection locked="true" hidden="false"/>
    </xf>
    <xf numFmtId="169" fontId="13" fillId="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6" fontId="13"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top" textRotation="0" wrapText="fals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72" fontId="13" fillId="5" borderId="1" xfId="0" applyFont="true" applyBorder="true" applyAlignment="true" applyProtection="false">
      <alignment horizontal="center" vertical="center" textRotation="0" wrapText="false" indent="0" shrinkToFit="false"/>
      <protection locked="true" hidden="false"/>
    </xf>
    <xf numFmtId="171" fontId="10" fillId="5"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72" fontId="13" fillId="0"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65" fontId="13" fillId="5" borderId="1" xfId="0" applyFont="true" applyBorder="true" applyAlignment="true" applyProtection="false">
      <alignment horizontal="center" vertical="center"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71" fontId="21"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6" fontId="21" fillId="0" borderId="1" xfId="0" applyFont="true" applyBorder="true" applyAlignment="true" applyProtection="false">
      <alignment horizontal="center" vertical="center" textRotation="0" wrapText="false" indent="0" shrinkToFit="false"/>
      <protection locked="true" hidden="false"/>
    </xf>
    <xf numFmtId="170" fontId="21" fillId="0" borderId="1" xfId="0" applyFont="true" applyBorder="true" applyAlignment="true" applyProtection="false">
      <alignment horizontal="center" vertical="center" textRotation="0" wrapText="false" indent="0" shrinkToFit="false"/>
      <protection locked="true" hidden="false"/>
    </xf>
    <xf numFmtId="165" fontId="21" fillId="0" borderId="1" xfId="0" applyFont="true" applyBorder="true" applyAlignment="true" applyProtection="false">
      <alignment horizontal="center" vertical="center" textRotation="0" wrapText="fals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73" fontId="5"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74" fontId="19" fillId="0" borderId="1" xfId="0" applyFont="true" applyBorder="true" applyAlignment="true" applyProtection="false">
      <alignment horizontal="center" vertical="center" textRotation="0" wrapText="false" indent="0" shrinkToFit="false"/>
      <protection locked="true" hidden="false"/>
    </xf>
    <xf numFmtId="175" fontId="5" fillId="0" borderId="1" xfId="0" applyFont="true" applyBorder="true" applyAlignment="true" applyProtection="false">
      <alignment horizontal="center" vertical="center" textRotation="0" wrapText="false" indent="0" shrinkToFit="false"/>
      <protection locked="true" hidden="false"/>
    </xf>
    <xf numFmtId="175" fontId="19" fillId="0" borderId="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73" fontId="11" fillId="4"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75" fontId="14" fillId="0" borderId="1" xfId="0" applyFont="true" applyBorder="true" applyAlignment="true" applyProtection="false">
      <alignment horizontal="center" vertical="center" textRotation="0" wrapText="false" indent="0" shrinkToFit="false"/>
      <protection locked="true" hidden="false"/>
    </xf>
    <xf numFmtId="176" fontId="1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80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92"/>
  </cols>
  <sheetData>
    <row r="1" customFormat="false" ht="24" hidden="false" customHeight="true" outlineLevel="0" collapsed="false">
      <c r="A1" s="1" t="s">
        <v>0</v>
      </c>
      <c r="B1" s="1"/>
      <c r="C1" s="1"/>
      <c r="D1" s="1"/>
      <c r="E1" s="1"/>
      <c r="F1" s="1"/>
    </row>
    <row r="3" customFormat="false" ht="15" hidden="false" customHeight="true" outlineLevel="0" collapsed="false">
      <c r="A3" s="2"/>
      <c r="B3" s="3"/>
    </row>
    <row r="4" customFormat="false" ht="15" hidden="false" customHeight="true" outlineLevel="0" collapsed="false">
      <c r="A4" s="4" t="s">
        <v>1</v>
      </c>
      <c r="B4" s="5"/>
    </row>
    <row r="5" customFormat="false" ht="30" hidden="false" customHeight="true" outlineLevel="0" collapsed="false">
      <c r="A5" s="2" t="s">
        <v>2</v>
      </c>
      <c r="B5" s="3" t="s">
        <v>3</v>
      </c>
    </row>
    <row r="6" customFormat="false" ht="30" hidden="false" customHeight="true" outlineLevel="0" collapsed="false">
      <c r="A6" s="2" t="s">
        <v>4</v>
      </c>
      <c r="B6" s="3" t="s">
        <v>5</v>
      </c>
    </row>
    <row r="7" customFormat="false" ht="30" hidden="false" customHeight="true" outlineLevel="0" collapsed="false">
      <c r="A7" s="2" t="s">
        <v>6</v>
      </c>
      <c r="B7" s="3" t="s">
        <v>7</v>
      </c>
    </row>
    <row r="8" customFormat="false" ht="30" hidden="false" customHeight="true" outlineLevel="0" collapsed="false">
      <c r="A8" s="2" t="s">
        <v>8</v>
      </c>
      <c r="B8" s="3" t="s">
        <v>9</v>
      </c>
    </row>
    <row r="9" customFormat="false" ht="15" hidden="false" customHeight="true" outlineLevel="0" collapsed="false">
      <c r="A9" s="2" t="s">
        <v>10</v>
      </c>
      <c r="B9" s="3" t="s">
        <v>11</v>
      </c>
    </row>
    <row r="10" customFormat="false" ht="15" hidden="false" customHeight="true" outlineLevel="0" collapsed="false">
      <c r="A10" s="2" t="s">
        <v>12</v>
      </c>
      <c r="B10" s="3" t="s">
        <v>13</v>
      </c>
    </row>
    <row r="11" customFormat="false" ht="15" hidden="false" customHeight="true" outlineLevel="0" collapsed="false">
      <c r="A11" s="2" t="s">
        <v>14</v>
      </c>
      <c r="B11" s="3" t="s">
        <v>15</v>
      </c>
    </row>
    <row r="12" customFormat="false" ht="30" hidden="false" customHeight="true" outlineLevel="0" collapsed="false">
      <c r="A12" s="2" t="s">
        <v>16</v>
      </c>
      <c r="B12" s="3" t="s">
        <v>17</v>
      </c>
    </row>
    <row r="13" customFormat="false" ht="30" hidden="false" customHeight="true" outlineLevel="0" collapsed="false">
      <c r="A13" s="2" t="s">
        <v>18</v>
      </c>
      <c r="B13" s="3" t="s">
        <v>19</v>
      </c>
    </row>
    <row r="14" customFormat="false" ht="15" hidden="false" customHeight="true" outlineLevel="0" collapsed="false">
      <c r="A14" s="2"/>
      <c r="B14" s="3"/>
    </row>
    <row r="15" customFormat="false" ht="15" hidden="false" customHeight="true" outlineLevel="0" collapsed="false">
      <c r="A15" s="4" t="s">
        <v>20</v>
      </c>
      <c r="B15" s="5"/>
    </row>
    <row r="16" customFormat="false" ht="15" hidden="false" customHeight="true" outlineLevel="0" collapsed="false">
      <c r="A16" s="2" t="s">
        <v>21</v>
      </c>
      <c r="B16" s="3" t="s">
        <v>22</v>
      </c>
    </row>
    <row r="17" customFormat="false" ht="15" hidden="false" customHeight="true" outlineLevel="0" collapsed="false">
      <c r="A17" s="2" t="s">
        <v>23</v>
      </c>
      <c r="B17" s="3" t="s">
        <v>24</v>
      </c>
    </row>
    <row r="18" customFormat="false" ht="15" hidden="false" customHeight="true" outlineLevel="0" collapsed="false">
      <c r="A18" s="2" t="s">
        <v>25</v>
      </c>
      <c r="B18" s="3" t="s">
        <v>26</v>
      </c>
    </row>
    <row r="19" customFormat="false" ht="15" hidden="false" customHeight="true" outlineLevel="0" collapsed="false">
      <c r="A19" s="2" t="s">
        <v>27</v>
      </c>
      <c r="B19" s="3" t="s">
        <v>28</v>
      </c>
    </row>
    <row r="20" customFormat="false" ht="15" hidden="false" customHeight="true" outlineLevel="0" collapsed="false">
      <c r="A20" s="2" t="s">
        <v>29</v>
      </c>
      <c r="B20" s="3" t="s">
        <v>30</v>
      </c>
    </row>
    <row r="21" customFormat="false" ht="15" hidden="false" customHeight="true" outlineLevel="0" collapsed="false">
      <c r="A21" s="2"/>
      <c r="B21" s="3"/>
    </row>
    <row r="22" customFormat="false" ht="15" hidden="false" customHeight="true" outlineLevel="0" collapsed="false">
      <c r="A22" s="4" t="s">
        <v>31</v>
      </c>
      <c r="B22" s="5"/>
    </row>
    <row r="23" customFormat="false" ht="78" hidden="false" customHeight="true" outlineLevel="0" collapsed="false">
      <c r="A23" s="2" t="s">
        <v>32</v>
      </c>
      <c r="B23" s="3" t="s">
        <v>33</v>
      </c>
    </row>
    <row r="24" customFormat="false" ht="30" hidden="false" customHeight="true" outlineLevel="0" collapsed="false">
      <c r="A24" s="2" t="s">
        <v>34</v>
      </c>
      <c r="B24" s="3" t="s">
        <v>35</v>
      </c>
    </row>
    <row r="25" customFormat="false" ht="30" hidden="false" customHeight="true" outlineLevel="0" collapsed="false">
      <c r="A25" s="2" t="s">
        <v>36</v>
      </c>
      <c r="B25" s="3" t="s">
        <v>37</v>
      </c>
    </row>
    <row r="27" customFormat="false" ht="15" hidden="false" customHeight="false" outlineLevel="0" collapsed="false">
      <c r="A27" s="6" t="s">
        <v>38</v>
      </c>
      <c r="B27" s="6" t="s">
        <v>39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2"/>
    <col collapsed="false" customWidth="true" hidden="false" outlineLevel="0" max="4" min="4" style="0" width="74"/>
  </cols>
  <sheetData>
    <row r="1" customFormat="false" ht="24" hidden="false" customHeight="true" outlineLevel="0" collapsed="false">
      <c r="A1" s="1" t="s">
        <v>40</v>
      </c>
      <c r="B1" s="1"/>
      <c r="C1" s="1"/>
      <c r="D1" s="1"/>
      <c r="E1" s="1"/>
    </row>
    <row r="3" customFormat="false" ht="42" hidden="false" customHeight="true" outlineLevel="0" collapsed="false">
      <c r="A3" s="7" t="s">
        <v>41</v>
      </c>
      <c r="B3" s="7" t="s">
        <v>42</v>
      </c>
      <c r="C3" s="7" t="s">
        <v>43</v>
      </c>
      <c r="D3" s="7" t="s">
        <v>44</v>
      </c>
    </row>
    <row r="4" customFormat="false" ht="30" hidden="false" customHeight="true" outlineLevel="0" collapsed="false">
      <c r="A4" s="8" t="s">
        <v>45</v>
      </c>
      <c r="B4" s="9" t="n">
        <v>0.2</v>
      </c>
      <c r="C4" s="10" t="s">
        <v>46</v>
      </c>
      <c r="D4" s="8" t="s">
        <v>47</v>
      </c>
    </row>
    <row r="5" customFormat="false" ht="30" hidden="false" customHeight="true" outlineLevel="0" collapsed="false">
      <c r="A5" s="8" t="s">
        <v>48</v>
      </c>
      <c r="B5" s="11" t="n">
        <v>15</v>
      </c>
      <c r="C5" s="10" t="s">
        <v>49</v>
      </c>
      <c r="D5" s="8" t="s">
        <v>50</v>
      </c>
    </row>
    <row r="6" customFormat="false" ht="30" hidden="false" customHeight="true" outlineLevel="0" collapsed="false">
      <c r="A6" s="8" t="s">
        <v>51</v>
      </c>
      <c r="B6" s="9" t="n">
        <v>0.01</v>
      </c>
      <c r="C6" s="10" t="s">
        <v>46</v>
      </c>
      <c r="D6" s="8" t="s">
        <v>52</v>
      </c>
    </row>
    <row r="7" customFormat="false" ht="30" hidden="false" customHeight="true" outlineLevel="0" collapsed="false">
      <c r="A7" s="8" t="s">
        <v>53</v>
      </c>
      <c r="B7" s="12" t="n">
        <v>5</v>
      </c>
      <c r="C7" s="10" t="s">
        <v>54</v>
      </c>
      <c r="D7" s="8" t="s">
        <v>55</v>
      </c>
    </row>
    <row r="8" customFormat="false" ht="30" hidden="false" customHeight="true" outlineLevel="0" collapsed="false">
      <c r="A8" s="8" t="s">
        <v>56</v>
      </c>
      <c r="B8" s="11" t="n">
        <v>11</v>
      </c>
      <c r="C8" s="10" t="s">
        <v>49</v>
      </c>
      <c r="D8" s="8" t="s">
        <v>57</v>
      </c>
    </row>
    <row r="9" customFormat="false" ht="30" hidden="false" customHeight="true" outlineLevel="0" collapsed="false">
      <c r="A9" s="8" t="s">
        <v>58</v>
      </c>
      <c r="B9" s="11" t="n">
        <v>35</v>
      </c>
      <c r="C9" s="10" t="s">
        <v>49</v>
      </c>
      <c r="D9" s="8" t="s">
        <v>59</v>
      </c>
    </row>
    <row r="10" customFormat="false" ht="30" hidden="false" customHeight="true" outlineLevel="0" collapsed="false">
      <c r="A10" s="8" t="s">
        <v>60</v>
      </c>
      <c r="B10" s="13" t="n">
        <v>10</v>
      </c>
      <c r="C10" s="10" t="s">
        <v>61</v>
      </c>
      <c r="D10" s="8" t="s">
        <v>62</v>
      </c>
    </row>
    <row r="11" customFormat="false" ht="30" hidden="false" customHeight="true" outlineLevel="0" collapsed="false">
      <c r="A11" s="8" t="s">
        <v>63</v>
      </c>
      <c r="B11" s="12" t="n">
        <v>3</v>
      </c>
      <c r="C11" s="10" t="s">
        <v>54</v>
      </c>
      <c r="D11" s="8" t="s">
        <v>64</v>
      </c>
    </row>
    <row r="12" customFormat="false" ht="30" hidden="false" customHeight="true" outlineLevel="0" collapsed="false">
      <c r="A12" s="8" t="s">
        <v>65</v>
      </c>
      <c r="B12" s="12" t="n">
        <v>1</v>
      </c>
      <c r="C12" s="10" t="s">
        <v>54</v>
      </c>
      <c r="D12" s="8" t="s">
        <v>66</v>
      </c>
    </row>
    <row r="13" customFormat="false" ht="30" hidden="false" customHeight="true" outlineLevel="0" collapsed="false">
      <c r="A13" s="8" t="s">
        <v>67</v>
      </c>
      <c r="B13" s="13" t="n">
        <v>2</v>
      </c>
      <c r="C13" s="10" t="s">
        <v>61</v>
      </c>
      <c r="D13" s="8" t="s">
        <v>68</v>
      </c>
    </row>
    <row r="15" customFormat="false" ht="15" hidden="false" customHeight="false" outlineLevel="0" collapsed="false">
      <c r="A15" s="4" t="s">
        <v>69</v>
      </c>
      <c r="D15" s="14"/>
    </row>
    <row r="16" customFormat="false" ht="43.5" hidden="false" customHeight="true" outlineLevel="0" collapsed="false">
      <c r="A16" s="8" t="s">
        <v>70</v>
      </c>
      <c r="B16" s="15" t="n">
        <f aca="false">1-(1-$B$6)^$B$7</f>
        <v>0.0490099501000001</v>
      </c>
      <c r="D16" s="8" t="s">
        <v>71</v>
      </c>
    </row>
    <row r="17" customFormat="false" ht="15" hidden="false" customHeight="false" outlineLevel="0" collapsed="false">
      <c r="A17" s="8" t="s">
        <v>72</v>
      </c>
      <c r="B17" s="16" t="n">
        <f aca="false">$B$8*$B$7</f>
        <v>55</v>
      </c>
      <c r="D17" s="8" t="s">
        <v>73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5" min="3" style="0" width="44"/>
  </cols>
  <sheetData>
    <row r="1" customFormat="false" ht="24" hidden="false" customHeight="true" outlineLevel="0" collapsed="false">
      <c r="A1" s="1" t="s">
        <v>74</v>
      </c>
      <c r="B1" s="1"/>
      <c r="C1" s="1"/>
      <c r="D1" s="1"/>
      <c r="E1" s="1"/>
      <c r="F1" s="1"/>
    </row>
    <row r="3" customFormat="false" ht="15" hidden="false" customHeight="false" outlineLevel="0" collapsed="false">
      <c r="A3" s="17" t="s">
        <v>75</v>
      </c>
    </row>
    <row r="4" customFormat="false" ht="42" hidden="false" customHeight="true" outlineLevel="0" collapsed="false">
      <c r="A4" s="7" t="s">
        <v>76</v>
      </c>
      <c r="B4" s="7" t="s">
        <v>77</v>
      </c>
      <c r="C4" s="7" t="s">
        <v>78</v>
      </c>
      <c r="D4" s="7" t="s">
        <v>79</v>
      </c>
      <c r="E4" s="7" t="s">
        <v>80</v>
      </c>
    </row>
    <row r="5" customFormat="false" ht="57.75" hidden="false" customHeight="true" outlineLevel="0" collapsed="false">
      <c r="A5" s="18" t="s">
        <v>81</v>
      </c>
      <c r="B5" s="9" t="n">
        <v>0.22</v>
      </c>
      <c r="C5" s="8" t="s">
        <v>82</v>
      </c>
      <c r="D5" s="8" t="s">
        <v>83</v>
      </c>
      <c r="E5" s="8" t="s">
        <v>84</v>
      </c>
    </row>
    <row r="6" customFormat="false" ht="57.75" hidden="false" customHeight="true" outlineLevel="0" collapsed="false">
      <c r="A6" s="18" t="s">
        <v>85</v>
      </c>
      <c r="B6" s="9" t="n">
        <v>0.3</v>
      </c>
      <c r="C6" s="8" t="s">
        <v>86</v>
      </c>
      <c r="D6" s="8" t="s">
        <v>87</v>
      </c>
      <c r="E6" s="8" t="s">
        <v>88</v>
      </c>
    </row>
    <row r="7" customFormat="false" ht="57.75" hidden="false" customHeight="true" outlineLevel="0" collapsed="false">
      <c r="A7" s="18" t="s">
        <v>89</v>
      </c>
      <c r="B7" s="9" t="n">
        <v>0.22</v>
      </c>
      <c r="C7" s="8" t="s">
        <v>90</v>
      </c>
      <c r="D7" s="8" t="s">
        <v>91</v>
      </c>
      <c r="E7" s="8" t="s">
        <v>92</v>
      </c>
    </row>
    <row r="8" customFormat="false" ht="57.75" hidden="false" customHeight="true" outlineLevel="0" collapsed="false">
      <c r="A8" s="18" t="s">
        <v>93</v>
      </c>
      <c r="B8" s="9" t="n">
        <v>0.16</v>
      </c>
      <c r="C8" s="8" t="s">
        <v>94</v>
      </c>
      <c r="D8" s="8" t="s">
        <v>95</v>
      </c>
      <c r="E8" s="8" t="s">
        <v>96</v>
      </c>
    </row>
    <row r="9" customFormat="false" ht="57.75" hidden="false" customHeight="true" outlineLevel="0" collapsed="false">
      <c r="A9" s="18" t="s">
        <v>97</v>
      </c>
      <c r="B9" s="9" t="n">
        <v>0.1</v>
      </c>
      <c r="C9" s="8" t="s">
        <v>98</v>
      </c>
      <c r="D9" s="8" t="s">
        <v>99</v>
      </c>
      <c r="E9" s="8" t="s">
        <v>100</v>
      </c>
    </row>
    <row r="10" customFormat="false" ht="15" hidden="false" customHeight="false" outlineLevel="0" collapsed="false">
      <c r="A10" s="19" t="s">
        <v>101</v>
      </c>
      <c r="B10" s="15" t="n">
        <f aca="false">SUM(B5:B9)</f>
        <v>1</v>
      </c>
      <c r="C10" s="18" t="str">
        <f aca="false">IF(ABS(B10-1)&lt;0.0001,"OK — weights sum to 100%","ERROR — weights must sum to 100%")</f>
        <v>OK — weights sum to 100%</v>
      </c>
    </row>
    <row r="12" customFormat="false" ht="15" hidden="false" customHeight="false" outlineLevel="0" collapsed="false">
      <c r="A12" s="4" t="s">
        <v>102</v>
      </c>
      <c r="B12" s="14"/>
      <c r="C12" s="14"/>
      <c r="D12" s="14"/>
      <c r="E12" s="14"/>
    </row>
    <row r="13" customFormat="false" ht="42" hidden="false" customHeight="true" outlineLevel="0" collapsed="false">
      <c r="A13" s="7" t="s">
        <v>81</v>
      </c>
      <c r="B13" s="7" t="s">
        <v>103</v>
      </c>
      <c r="C13" s="7" t="s">
        <v>104</v>
      </c>
      <c r="D13" s="7" t="s">
        <v>105</v>
      </c>
      <c r="E13" s="7"/>
    </row>
    <row r="14" customFormat="false" ht="15" hidden="false" customHeight="false" outlineLevel="0" collapsed="false">
      <c r="A14" s="10" t="s">
        <v>106</v>
      </c>
      <c r="B14" s="20" t="n">
        <v>5</v>
      </c>
      <c r="C14" s="21" t="n">
        <v>11</v>
      </c>
      <c r="D14" s="8" t="s">
        <v>107</v>
      </c>
    </row>
    <row r="15" customFormat="false" ht="23.85" hidden="false" customHeight="false" outlineLevel="0" collapsed="false">
      <c r="A15" s="10" t="s">
        <v>108</v>
      </c>
      <c r="B15" s="20" t="n">
        <v>4</v>
      </c>
      <c r="C15" s="21" t="n">
        <v>90</v>
      </c>
      <c r="D15" s="8" t="s">
        <v>109</v>
      </c>
    </row>
    <row r="16" customFormat="false" ht="23.85" hidden="false" customHeight="false" outlineLevel="0" collapsed="false">
      <c r="A16" s="10" t="s">
        <v>110</v>
      </c>
      <c r="B16" s="20" t="n">
        <v>3</v>
      </c>
      <c r="C16" s="21" t="n">
        <v>40</v>
      </c>
      <c r="D16" s="8" t="s">
        <v>111</v>
      </c>
    </row>
    <row r="17" customFormat="false" ht="15" hidden="false" customHeight="false" outlineLevel="0" collapsed="false">
      <c r="A17" s="10" t="s">
        <v>112</v>
      </c>
      <c r="B17" s="20" t="n">
        <v>3</v>
      </c>
      <c r="C17" s="21" t="n">
        <v>30</v>
      </c>
      <c r="D17" s="8" t="s">
        <v>113</v>
      </c>
    </row>
    <row r="18" customFormat="false" ht="15" hidden="false" customHeight="false" outlineLevel="0" collapsed="false">
      <c r="A18" s="10" t="s">
        <v>114</v>
      </c>
      <c r="B18" s="20" t="n">
        <v>3</v>
      </c>
      <c r="C18" s="21" t="n">
        <v>13</v>
      </c>
      <c r="D18" s="8" t="s">
        <v>115</v>
      </c>
    </row>
    <row r="19" customFormat="false" ht="15" hidden="false" customHeight="false" outlineLevel="0" collapsed="false">
      <c r="A19" s="10" t="s">
        <v>116</v>
      </c>
      <c r="B19" s="20" t="n">
        <v>3</v>
      </c>
      <c r="C19" s="21" t="n">
        <v>13</v>
      </c>
      <c r="D19" s="8" t="s">
        <v>117</v>
      </c>
    </row>
    <row r="20" customFormat="false" ht="15" hidden="false" customHeight="false" outlineLevel="0" collapsed="false">
      <c r="A20" s="10" t="s">
        <v>118</v>
      </c>
      <c r="B20" s="20" t="n">
        <v>2</v>
      </c>
      <c r="C20" s="21" t="n">
        <v>18</v>
      </c>
      <c r="D20" s="8" t="s">
        <v>119</v>
      </c>
    </row>
    <row r="21" customFormat="false" ht="15" hidden="false" customHeight="false" outlineLevel="0" collapsed="false">
      <c r="A21" s="10" t="s">
        <v>120</v>
      </c>
      <c r="B21" s="20" t="n">
        <v>2</v>
      </c>
      <c r="C21" s="21" t="n">
        <v>15</v>
      </c>
      <c r="D21" s="8" t="s">
        <v>121</v>
      </c>
    </row>
    <row r="22" customFormat="false" ht="15" hidden="false" customHeight="false" outlineLevel="0" collapsed="false">
      <c r="A22" s="10" t="s">
        <v>122</v>
      </c>
      <c r="B22" s="20" t="n">
        <v>1</v>
      </c>
      <c r="C22" s="21" t="n">
        <v>12</v>
      </c>
      <c r="D22" s="8" t="s">
        <v>123</v>
      </c>
    </row>
    <row r="23" customFormat="false" ht="15" hidden="false" customHeight="false" outlineLevel="0" collapsed="false">
      <c r="A23" s="10" t="s">
        <v>124</v>
      </c>
      <c r="B23" s="20" t="n">
        <v>1</v>
      </c>
      <c r="C23" s="21" t="n">
        <v>25</v>
      </c>
      <c r="D23" s="8" t="s">
        <v>125</v>
      </c>
    </row>
    <row r="25" customFormat="false" ht="15" hidden="false" customHeight="false" outlineLevel="0" collapsed="false">
      <c r="A25" s="4" t="s">
        <v>126</v>
      </c>
      <c r="B25" s="14"/>
      <c r="C25" s="14"/>
      <c r="D25" s="14"/>
      <c r="E25" s="14"/>
    </row>
    <row r="26" customFormat="false" ht="30" hidden="false" customHeight="true" outlineLevel="0" collapsed="false">
      <c r="A26" s="19" t="s">
        <v>127</v>
      </c>
      <c r="B26" s="8" t="s">
        <v>128</v>
      </c>
      <c r="C26" s="8"/>
      <c r="D26" s="8"/>
      <c r="E26" s="8"/>
    </row>
    <row r="27" customFormat="false" ht="30" hidden="false" customHeight="true" outlineLevel="0" collapsed="false">
      <c r="A27" s="19" t="s">
        <v>127</v>
      </c>
      <c r="B27" s="8" t="s">
        <v>129</v>
      </c>
      <c r="C27" s="8"/>
      <c r="D27" s="8"/>
      <c r="E27" s="8"/>
    </row>
    <row r="28" customFormat="false" ht="30" hidden="false" customHeight="true" outlineLevel="0" collapsed="false">
      <c r="A28" s="19" t="s">
        <v>127</v>
      </c>
      <c r="B28" s="8" t="s">
        <v>130</v>
      </c>
      <c r="C28" s="8"/>
      <c r="D28" s="8"/>
      <c r="E28" s="8"/>
    </row>
    <row r="29" customFormat="false" ht="30" hidden="false" customHeight="true" outlineLevel="0" collapsed="false">
      <c r="A29" s="19" t="s">
        <v>127</v>
      </c>
      <c r="B29" s="8" t="s">
        <v>131</v>
      </c>
      <c r="C29" s="8"/>
      <c r="D29" s="8"/>
      <c r="E29" s="8"/>
    </row>
    <row r="31" customFormat="false" ht="15" hidden="false" customHeight="false" outlineLevel="0" collapsed="false">
      <c r="A31" s="4" t="s">
        <v>132</v>
      </c>
      <c r="B31" s="14"/>
      <c r="C31" s="14"/>
      <c r="D31" s="14"/>
      <c r="E31" s="14"/>
    </row>
    <row r="32" customFormat="false" ht="42" hidden="false" customHeight="true" outlineLevel="0" collapsed="false">
      <c r="A32" s="7" t="s">
        <v>133</v>
      </c>
      <c r="B32" s="7" t="s">
        <v>134</v>
      </c>
      <c r="C32" s="7" t="s">
        <v>135</v>
      </c>
      <c r="D32" s="7"/>
      <c r="E32" s="7"/>
    </row>
    <row r="33" customFormat="false" ht="46.25" hidden="false" customHeight="false" outlineLevel="0" collapsed="false">
      <c r="A33" s="19" t="s">
        <v>136</v>
      </c>
      <c r="B33" s="8" t="s">
        <v>137</v>
      </c>
      <c r="C33" s="8" t="s">
        <v>138</v>
      </c>
    </row>
    <row r="34" customFormat="false" ht="35.05" hidden="false" customHeight="false" outlineLevel="0" collapsed="false">
      <c r="A34" s="19" t="s">
        <v>139</v>
      </c>
      <c r="B34" s="8" t="s">
        <v>140</v>
      </c>
      <c r="C34" s="8" t="s">
        <v>141</v>
      </c>
    </row>
    <row r="35" customFormat="false" ht="23.85" hidden="false" customHeight="false" outlineLevel="0" collapsed="false">
      <c r="A35" s="19" t="s">
        <v>142</v>
      </c>
      <c r="B35" s="8" t="s">
        <v>143</v>
      </c>
      <c r="C35" s="8" t="s">
        <v>144</v>
      </c>
    </row>
    <row r="36" customFormat="false" ht="15" hidden="false" customHeight="false" outlineLevel="0" collapsed="false">
      <c r="A36" s="19" t="s">
        <v>145</v>
      </c>
      <c r="B36" s="8" t="s">
        <v>146</v>
      </c>
      <c r="C36" s="8" t="s">
        <v>147</v>
      </c>
    </row>
    <row r="37" customFormat="false" ht="23.85" hidden="false" customHeight="false" outlineLevel="0" collapsed="false">
      <c r="A37" s="19" t="s">
        <v>148</v>
      </c>
      <c r="B37" s="8" t="s">
        <v>149</v>
      </c>
      <c r="C37" s="8" t="s">
        <v>150</v>
      </c>
    </row>
  </sheetData>
  <mergeCells count="5">
    <mergeCell ref="A1:F1"/>
    <mergeCell ref="B26:E26"/>
    <mergeCell ref="B27:E27"/>
    <mergeCell ref="B28:E28"/>
    <mergeCell ref="B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7"/>
    <col collapsed="false" customWidth="true" hidden="false" outlineLevel="0" max="3" min="3" style="0" width="9"/>
    <col collapsed="false" customWidth="true" hidden="false" outlineLevel="0" max="5" min="4" style="0" width="12"/>
    <col collapsed="false" customWidth="true" hidden="false" outlineLevel="0" max="6" min="6" style="0" width="13"/>
    <col collapsed="false" customWidth="true" hidden="false" outlineLevel="0" max="7" min="7" style="0" width="11"/>
    <col collapsed="false" customWidth="true" hidden="false" outlineLevel="0" max="8" min="8" style="0" width="10"/>
    <col collapsed="false" customWidth="true" hidden="false" outlineLevel="0" max="9" min="9" style="0" width="11"/>
    <col collapsed="false" customWidth="true" hidden="false" outlineLevel="0" max="11" min="10" style="0" width="13"/>
    <col collapsed="false" customWidth="true" hidden="false" outlineLevel="0" max="12" min="12" style="0" width="22"/>
    <col collapsed="false" customWidth="true" hidden="false" outlineLevel="0" max="14" min="13" style="0" width="12"/>
    <col collapsed="false" customWidth="true" hidden="false" outlineLevel="0" max="15" min="15" style="0" width="11"/>
    <col collapsed="false" customWidth="true" hidden="false" outlineLevel="0" max="16" min="16" style="0" width="12"/>
    <col collapsed="false" customWidth="true" hidden="false" outlineLevel="0" max="17" min="17" style="0" width="13"/>
    <col collapsed="false" customWidth="true" hidden="false" outlineLevel="0" max="18" min="18" style="0" width="12"/>
    <col collapsed="false" customWidth="true" hidden="false" outlineLevel="0" max="19" min="19" style="0" width="15"/>
    <col collapsed="false" customWidth="true" hidden="false" outlineLevel="0" max="20" min="20" style="0" width="11"/>
    <col collapsed="false" customWidth="true" hidden="false" outlineLevel="0" max="21" min="21" style="0" width="14"/>
    <col collapsed="false" customWidth="true" hidden="false" outlineLevel="0" max="23" min="22" style="0" width="18"/>
    <col collapsed="false" customWidth="true" hidden="false" outlineLevel="0" max="24" min="24" style="0" width="44"/>
  </cols>
  <sheetData>
    <row r="1" customFormat="false" ht="24" hidden="false" customHeight="true" outlineLevel="0" collapsed="false">
      <c r="A1" s="1" t="s">
        <v>151</v>
      </c>
      <c r="B1" s="1"/>
      <c r="C1" s="1"/>
      <c r="D1" s="1"/>
      <c r="E1" s="1"/>
      <c r="F1" s="1"/>
      <c r="G1" s="1"/>
      <c r="H1" s="1"/>
      <c r="I1" s="1"/>
      <c r="J1" s="1"/>
      <c r="K1" s="1"/>
      <c r="L1" s="1"/>
      <c r="M1" s="1"/>
      <c r="N1" s="1"/>
      <c r="O1" s="1"/>
      <c r="P1" s="1"/>
      <c r="Q1" s="1"/>
      <c r="R1" s="1"/>
      <c r="S1" s="1"/>
      <c r="T1" s="1"/>
      <c r="U1" s="1"/>
      <c r="V1" s="1"/>
    </row>
    <row r="2" customFormat="false" ht="15" hidden="false" customHeight="false" outlineLevel="0" collapsed="false">
      <c r="A2" s="17" t="s">
        <v>152</v>
      </c>
    </row>
    <row r="4" customFormat="false" ht="42" hidden="false" customHeight="true" outlineLevel="0" collapsed="false">
      <c r="A4" s="7" t="s">
        <v>153</v>
      </c>
      <c r="B4" s="7" t="s">
        <v>154</v>
      </c>
      <c r="C4" s="7" t="s">
        <v>155</v>
      </c>
      <c r="D4" s="7" t="s">
        <v>156</v>
      </c>
      <c r="E4" s="7" t="s">
        <v>157</v>
      </c>
      <c r="F4" s="7" t="s">
        <v>158</v>
      </c>
      <c r="G4" s="7" t="s">
        <v>159</v>
      </c>
      <c r="H4" s="7" t="s">
        <v>160</v>
      </c>
      <c r="I4" s="7" t="s">
        <v>161</v>
      </c>
      <c r="J4" s="7" t="s">
        <v>162</v>
      </c>
      <c r="K4" s="7" t="s">
        <v>163</v>
      </c>
      <c r="L4" s="7" t="s">
        <v>164</v>
      </c>
      <c r="M4" s="7" t="s">
        <v>165</v>
      </c>
      <c r="N4" s="7" t="s">
        <v>166</v>
      </c>
      <c r="O4" s="7" t="s">
        <v>167</v>
      </c>
      <c r="P4" s="7" t="s">
        <v>168</v>
      </c>
      <c r="Q4" s="7" t="s">
        <v>169</v>
      </c>
      <c r="R4" s="7" t="s">
        <v>170</v>
      </c>
      <c r="S4" s="7" t="s">
        <v>171</v>
      </c>
      <c r="T4" s="7" t="s">
        <v>172</v>
      </c>
      <c r="U4" s="7" t="s">
        <v>173</v>
      </c>
      <c r="V4" s="7" t="s">
        <v>133</v>
      </c>
      <c r="W4" s="7" t="s">
        <v>34</v>
      </c>
      <c r="X4" s="7" t="s">
        <v>174</v>
      </c>
    </row>
    <row r="5" customFormat="false" ht="23.85" hidden="false" customHeight="false" outlineLevel="0" collapsed="false">
      <c r="A5" s="22" t="s">
        <v>175</v>
      </c>
      <c r="B5" s="23" t="str">
        <f aca="false">IF($A5="","",IF(ISERROR(FIND(".",$A5)),"",LOWER(MID($A5,FIND(CHAR(1),SUBSTITUTE($A5,".",CHAR(1),LEN($A5)-LEN(SUBSTITUTE($A5,".",""))))+1,LEN($A5)))))</f>
        <v>com</v>
      </c>
      <c r="C5" s="24" t="n">
        <f aca="false">IF($B5="","",IFERROR(INDEX(Rubric!$B$14:$B$23,MATCH($B5,Rubric!$A$14:$A$23,0)),INDEX(Rubric!$B$14:$B$23,MATCH("other",Rubric!$A$14:$A$23,0))))</f>
        <v>5</v>
      </c>
      <c r="D5" s="25" t="n">
        <v>5</v>
      </c>
      <c r="E5" s="25" t="n">
        <v>4</v>
      </c>
      <c r="F5" s="25" t="n">
        <v>4</v>
      </c>
      <c r="G5" s="25" t="n">
        <v>5</v>
      </c>
      <c r="H5" s="25" t="s">
        <v>176</v>
      </c>
      <c r="I5" s="25" t="s">
        <v>176</v>
      </c>
      <c r="J5" s="26"/>
      <c r="K5" s="27"/>
      <c r="L5" s="27"/>
      <c r="M5" s="28" t="n">
        <f aca="false">IF($B5="","",IFERROR(INDEX(Rubric!$C$14:$C$23,MATCH($B5,Rubric!$A$14:$A$23,0)),INDEX(Rubric!$C$14:$C$23,MATCH("other",Rubric!$A$14:$A$23,0))))</f>
        <v>11</v>
      </c>
      <c r="N5" s="29" t="n">
        <f aca="false">IF(OR($A5="",$C5=""),"",$C5*Rubric!$B$5+$D5*Rubric!$B$6+$E5*Rubric!$B$7+$F5*Rubric!$B$8+$G5*Rubric!$B$9)</f>
        <v>4.62</v>
      </c>
      <c r="O5" s="30" t="str">
        <f aca="false">IF($A5="","",IF(OR(UPPER($H5)="Y",UPPER($I5)="Y"),"FAIL","PASS"))</f>
        <v>PASS</v>
      </c>
      <c r="P5" s="31" t="n">
        <f aca="false">IF($N5="","",Assumptions!$B$6*MAX(0.05,($N5/Assumptions!$B$11)^Assumptions!$B$12))</f>
        <v>0.0154</v>
      </c>
      <c r="Q5" s="31" t="n">
        <f aca="false">IF($P5="","",1-(1-$P5)^Assumptions!$B$7)</f>
        <v>0.0746646422818428</v>
      </c>
      <c r="R5" s="32" t="n">
        <f aca="false">IF($M5="","",$M5*Assumptions!$B$7)</f>
        <v>55</v>
      </c>
      <c r="S5" s="32" t="str">
        <f aca="false">IF(OR($J5="",$Q5="",$Q5=0),"",($J5+$R5)/($Q5*(1-Assumptions!$B$4)))</f>
        <v/>
      </c>
      <c r="T5" s="33" t="str">
        <f aca="false">IF(OR($K5="",$S5="",$S5=0),"",$K5/$S5)</f>
        <v/>
      </c>
      <c r="U5" s="34" t="str">
        <f aca="false">IF(OR($K5="",$Q5=""),"",MAX(0,($K5-MAX($K5*Assumptions!$B$4,Assumptions!$B$5))*$Q5-$R5))</f>
        <v/>
      </c>
      <c r="V5" s="30" t="str">
        <f aca="false">IF($A5="","",IF($O5="FAIL","REJECT",IF($J5="","NEEDS PRICE",IF(OR($K5="",$L5=""),"NEEDS VALUATION",IF($T5&gt;=Assumptions!$B$13,"BUY",IF($T5&gt;=1,"MARGINAL","PASS"))))))</f>
        <v>NEEDS PRICE</v>
      </c>
      <c r="W5" s="25" t="s">
        <v>177</v>
      </c>
      <c r="X5" s="35" t="s">
        <v>178</v>
      </c>
    </row>
    <row r="6" customFormat="false" ht="15" hidden="false" customHeight="false" outlineLevel="0" collapsed="false">
      <c r="A6" s="22" t="s">
        <v>179</v>
      </c>
      <c r="B6" s="36" t="str">
        <f aca="false">IF($A6="","",IF(ISERROR(FIND(".",$A6)),"",LOWER(MID($A6,FIND(CHAR(1),SUBSTITUTE($A6,".",CHAR(1),LEN($A6)-LEN(SUBSTITUTE($A6,".",""))))+1,LEN($A6)))))</f>
        <v>com</v>
      </c>
      <c r="C6" s="37" t="n">
        <f aca="false">IF($B6="","",IFERROR(INDEX(Rubric!$B$14:$B$23,MATCH($B6,Rubric!$A$14:$A$23,0)),INDEX(Rubric!$B$14:$B$23,MATCH("other",Rubric!$A$14:$A$23,0))))</f>
        <v>5</v>
      </c>
      <c r="D6" s="25" t="n">
        <v>5</v>
      </c>
      <c r="E6" s="25" t="n">
        <v>3</v>
      </c>
      <c r="F6" s="25" t="n">
        <v>3</v>
      </c>
      <c r="G6" s="25" t="n">
        <v>4</v>
      </c>
      <c r="H6" s="25" t="s">
        <v>176</v>
      </c>
      <c r="I6" s="25" t="s">
        <v>176</v>
      </c>
      <c r="J6" s="26"/>
      <c r="K6" s="27"/>
      <c r="L6" s="27"/>
      <c r="M6" s="38" t="n">
        <f aca="false">IF($B6="","",IFERROR(INDEX(Rubric!$C$14:$C$23,MATCH($B6,Rubric!$A$14:$A$23,0)),INDEX(Rubric!$C$14:$C$23,MATCH("other",Rubric!$A$14:$A$23,0))))</f>
        <v>11</v>
      </c>
      <c r="N6" s="39" t="n">
        <f aca="false">IF(OR($A6="",$C6=""),"",$C6*Rubric!$B$5+$D6*Rubric!$B$6+$E6*Rubric!$B$7+$F6*Rubric!$B$8+$G6*Rubric!$B$9)</f>
        <v>4.14</v>
      </c>
      <c r="O6" s="40" t="str">
        <f aca="false">IF($A6="","",IF(OR(UPPER($H6)="Y",UPPER($I6)="Y"),"FAIL","PASS"))</f>
        <v>PASS</v>
      </c>
      <c r="P6" s="41" t="n">
        <f aca="false">IF($N6="","",Assumptions!$B$6*MAX(0.05,($N6/Assumptions!$B$11)^Assumptions!$B$12))</f>
        <v>0.0138</v>
      </c>
      <c r="Q6" s="41" t="n">
        <f aca="false">IF($P6="","",1-(1-$P6)^Assumptions!$B$7)</f>
        <v>0.0671216998835222</v>
      </c>
      <c r="R6" s="42" t="n">
        <f aca="false">IF($M6="","",$M6*Assumptions!$B$7)</f>
        <v>55</v>
      </c>
      <c r="S6" s="42" t="str">
        <f aca="false">IF(OR($J6="",$Q6="",$Q6=0),"",($J6+$R6)/($Q6*(1-Assumptions!$B$4)))</f>
        <v/>
      </c>
      <c r="T6" s="43" t="str">
        <f aca="false">IF(OR($K6="",$S6="",$S6=0),"",$K6/$S6)</f>
        <v/>
      </c>
      <c r="U6" s="44" t="str">
        <f aca="false">IF(OR($K6="",$Q6=""),"",MAX(0,($K6-MAX($K6*Assumptions!$B$4,Assumptions!$B$5))*$Q6-$R6))</f>
        <v/>
      </c>
      <c r="V6" s="40" t="str">
        <f aca="false">IF($A6="","",IF($O6="FAIL","REJECT",IF($J6="","NEEDS PRICE",IF(OR($K6="",$L6=""),"NEEDS VALUATION",IF($T6&gt;=Assumptions!$B$13,"BUY",IF($T6&gt;=1,"MARGINAL","PASS"))))))</f>
        <v>NEEDS PRICE</v>
      </c>
      <c r="W6" s="25" t="s">
        <v>177</v>
      </c>
      <c r="X6" s="35" t="s">
        <v>180</v>
      </c>
    </row>
    <row r="7" customFormat="false" ht="15" hidden="false" customHeight="false" outlineLevel="0" collapsed="false">
      <c r="A7" s="22" t="s">
        <v>181</v>
      </c>
      <c r="B7" s="36" t="str">
        <f aca="false">IF($A7="","",IF(ISERROR(FIND(".",$A7)),"",LOWER(MID($A7,FIND(CHAR(1),SUBSTITUTE($A7,".",CHAR(1),LEN($A7)-LEN(SUBSTITUTE($A7,".",""))))+1,LEN($A7)))))</f>
        <v>com</v>
      </c>
      <c r="C7" s="37" t="n">
        <f aca="false">IF($B7="","",IFERROR(INDEX(Rubric!$B$14:$B$23,MATCH($B7,Rubric!$A$14:$A$23,0)),INDEX(Rubric!$B$14:$B$23,MATCH("other",Rubric!$A$14:$A$23,0))))</f>
        <v>5</v>
      </c>
      <c r="D7" s="25" t="n">
        <v>5</v>
      </c>
      <c r="E7" s="25" t="n">
        <v>3</v>
      </c>
      <c r="F7" s="25" t="n">
        <v>3</v>
      </c>
      <c r="G7" s="25" t="n">
        <v>5</v>
      </c>
      <c r="H7" s="25" t="s">
        <v>176</v>
      </c>
      <c r="I7" s="25" t="s">
        <v>176</v>
      </c>
      <c r="J7" s="26"/>
      <c r="K7" s="27"/>
      <c r="L7" s="27"/>
      <c r="M7" s="38" t="n">
        <f aca="false">IF($B7="","",IFERROR(INDEX(Rubric!$C$14:$C$23,MATCH($B7,Rubric!$A$14:$A$23,0)),INDEX(Rubric!$C$14:$C$23,MATCH("other",Rubric!$A$14:$A$23,0))))</f>
        <v>11</v>
      </c>
      <c r="N7" s="39" t="n">
        <f aca="false">IF(OR($A7="",$C7=""),"",$C7*Rubric!$B$5+$D7*Rubric!$B$6+$E7*Rubric!$B$7+$F7*Rubric!$B$8+$G7*Rubric!$B$9)</f>
        <v>4.24</v>
      </c>
      <c r="O7" s="40" t="str">
        <f aca="false">IF($A7="","",IF(OR(UPPER($H7)="Y",UPPER($I7)="Y"),"FAIL","PASS"))</f>
        <v>PASS</v>
      </c>
      <c r="P7" s="41" t="n">
        <f aca="false">IF($N7="","",Assumptions!$B$6*MAX(0.05,($N7/Assumptions!$B$11)^Assumptions!$B$12))</f>
        <v>0.0141333333333333</v>
      </c>
      <c r="Q7" s="41" t="n">
        <f aca="false">IF($P7="","",1-(1-$P7)^Assumptions!$B$7)</f>
        <v>0.0686971881073212</v>
      </c>
      <c r="R7" s="42" t="n">
        <f aca="false">IF($M7="","",$M7*Assumptions!$B$7)</f>
        <v>55</v>
      </c>
      <c r="S7" s="42" t="str">
        <f aca="false">IF(OR($J7="",$Q7="",$Q7=0),"",($J7+$R7)/($Q7*(1-Assumptions!$B$4)))</f>
        <v/>
      </c>
      <c r="T7" s="43" t="str">
        <f aca="false">IF(OR($K7="",$S7="",$S7=0),"",$K7/$S7)</f>
        <v/>
      </c>
      <c r="U7" s="44" t="str">
        <f aca="false">IF(OR($K7="",$Q7=""),"",MAX(0,($K7-MAX($K7*Assumptions!$B$4,Assumptions!$B$5))*$Q7-$R7))</f>
        <v/>
      </c>
      <c r="V7" s="40" t="str">
        <f aca="false">IF($A7="","",IF($O7="FAIL","REJECT",IF($J7="","NEEDS PRICE",IF(OR($K7="",$L7=""),"NEEDS VALUATION",IF($T7&gt;=Assumptions!$B$13,"BUY",IF($T7&gt;=1,"MARGINAL","PASS"))))))</f>
        <v>NEEDS PRICE</v>
      </c>
      <c r="W7" s="25" t="s">
        <v>177</v>
      </c>
      <c r="X7" s="35" t="s">
        <v>182</v>
      </c>
    </row>
    <row r="8" customFormat="false" ht="15" hidden="false" customHeight="false" outlineLevel="0" collapsed="false">
      <c r="A8" s="22" t="s">
        <v>183</v>
      </c>
      <c r="B8" s="36" t="str">
        <f aca="false">IF($A8="","",IF(ISERROR(FIND(".",$A8)),"",LOWER(MID($A8,FIND(CHAR(1),SUBSTITUTE($A8,".",CHAR(1),LEN($A8)-LEN(SUBSTITUTE($A8,".",""))))+1,LEN($A8)))))</f>
        <v>com</v>
      </c>
      <c r="C8" s="37" t="n">
        <f aca="false">IF($B8="","",IFERROR(INDEX(Rubric!$B$14:$B$23,MATCH($B8,Rubric!$A$14:$A$23,0)),INDEX(Rubric!$B$14:$B$23,MATCH("other",Rubric!$A$14:$A$23,0))))</f>
        <v>5</v>
      </c>
      <c r="D8" s="25" t="n">
        <v>5</v>
      </c>
      <c r="E8" s="25" t="n">
        <v>3</v>
      </c>
      <c r="F8" s="25" t="n">
        <v>3</v>
      </c>
      <c r="G8" s="25" t="n">
        <v>5</v>
      </c>
      <c r="H8" s="25" t="s">
        <v>176</v>
      </c>
      <c r="I8" s="25" t="s">
        <v>176</v>
      </c>
      <c r="J8" s="26"/>
      <c r="K8" s="27"/>
      <c r="L8" s="27"/>
      <c r="M8" s="38" t="n">
        <f aca="false">IF($B8="","",IFERROR(INDEX(Rubric!$C$14:$C$23,MATCH($B8,Rubric!$A$14:$A$23,0)),INDEX(Rubric!$C$14:$C$23,MATCH("other",Rubric!$A$14:$A$23,0))))</f>
        <v>11</v>
      </c>
      <c r="N8" s="39" t="n">
        <f aca="false">IF(OR($A8="",$C8=""),"",$C8*Rubric!$B$5+$D8*Rubric!$B$6+$E8*Rubric!$B$7+$F8*Rubric!$B$8+$G8*Rubric!$B$9)</f>
        <v>4.24</v>
      </c>
      <c r="O8" s="40" t="str">
        <f aca="false">IF($A8="","",IF(OR(UPPER($H8)="Y",UPPER($I8)="Y"),"FAIL","PASS"))</f>
        <v>PASS</v>
      </c>
      <c r="P8" s="41" t="n">
        <f aca="false">IF($N8="","",Assumptions!$B$6*MAX(0.05,($N8/Assumptions!$B$11)^Assumptions!$B$12))</f>
        <v>0.0141333333333333</v>
      </c>
      <c r="Q8" s="41" t="n">
        <f aca="false">IF($P8="","",1-(1-$P8)^Assumptions!$B$7)</f>
        <v>0.0686971881073212</v>
      </c>
      <c r="R8" s="42" t="n">
        <f aca="false">IF($M8="","",$M8*Assumptions!$B$7)</f>
        <v>55</v>
      </c>
      <c r="S8" s="42" t="str">
        <f aca="false">IF(OR($J8="",$Q8="",$Q8=0),"",($J8+$R8)/($Q8*(1-Assumptions!$B$4)))</f>
        <v/>
      </c>
      <c r="T8" s="43" t="str">
        <f aca="false">IF(OR($K8="",$S8="",$S8=0),"",$K8/$S8)</f>
        <v/>
      </c>
      <c r="U8" s="44" t="str">
        <f aca="false">IF(OR($K8="",$Q8=""),"",MAX(0,($K8-MAX($K8*Assumptions!$B$4,Assumptions!$B$5))*$Q8-$R8))</f>
        <v/>
      </c>
      <c r="V8" s="40" t="str">
        <f aca="false">IF($A8="","",IF($O8="FAIL","REJECT",IF($J8="","NEEDS PRICE",IF(OR($K8="",$L8=""),"NEEDS VALUATION",IF($T8&gt;=Assumptions!$B$13,"BUY",IF($T8&gt;=1,"MARGINAL","PASS"))))))</f>
        <v>NEEDS PRICE</v>
      </c>
      <c r="W8" s="25" t="s">
        <v>177</v>
      </c>
      <c r="X8" s="35" t="s">
        <v>184</v>
      </c>
    </row>
    <row r="9" customFormat="false" ht="15" hidden="false" customHeight="false" outlineLevel="0" collapsed="false">
      <c r="A9" s="22" t="s">
        <v>185</v>
      </c>
      <c r="B9" s="36" t="str">
        <f aca="false">IF($A9="","",IF(ISERROR(FIND(".",$A9)),"",LOWER(MID($A9,FIND(CHAR(1),SUBSTITUTE($A9,".",CHAR(1),LEN($A9)-LEN(SUBSTITUTE($A9,".",""))))+1,LEN($A9)))))</f>
        <v>com</v>
      </c>
      <c r="C9" s="37" t="n">
        <f aca="false">IF($B9="","",IFERROR(INDEX(Rubric!$B$14:$B$23,MATCH($B9,Rubric!$A$14:$A$23,0)),INDEX(Rubric!$B$14:$B$23,MATCH("other",Rubric!$A$14:$A$23,0))))</f>
        <v>5</v>
      </c>
      <c r="D9" s="25" t="n">
        <v>5</v>
      </c>
      <c r="E9" s="25" t="n">
        <v>3</v>
      </c>
      <c r="F9" s="25" t="n">
        <v>3</v>
      </c>
      <c r="G9" s="25" t="n">
        <v>5</v>
      </c>
      <c r="H9" s="25" t="s">
        <v>176</v>
      </c>
      <c r="I9" s="25" t="s">
        <v>176</v>
      </c>
      <c r="J9" s="26"/>
      <c r="K9" s="27"/>
      <c r="L9" s="27"/>
      <c r="M9" s="38" t="n">
        <f aca="false">IF($B9="","",IFERROR(INDEX(Rubric!$C$14:$C$23,MATCH($B9,Rubric!$A$14:$A$23,0)),INDEX(Rubric!$C$14:$C$23,MATCH("other",Rubric!$A$14:$A$23,0))))</f>
        <v>11</v>
      </c>
      <c r="N9" s="39" t="n">
        <f aca="false">IF(OR($A9="",$C9=""),"",$C9*Rubric!$B$5+$D9*Rubric!$B$6+$E9*Rubric!$B$7+$F9*Rubric!$B$8+$G9*Rubric!$B$9)</f>
        <v>4.24</v>
      </c>
      <c r="O9" s="40" t="str">
        <f aca="false">IF($A9="","",IF(OR(UPPER($H9)="Y",UPPER($I9)="Y"),"FAIL","PASS"))</f>
        <v>PASS</v>
      </c>
      <c r="P9" s="41" t="n">
        <f aca="false">IF($N9="","",Assumptions!$B$6*MAX(0.05,($N9/Assumptions!$B$11)^Assumptions!$B$12))</f>
        <v>0.0141333333333333</v>
      </c>
      <c r="Q9" s="41" t="n">
        <f aca="false">IF($P9="","",1-(1-$P9)^Assumptions!$B$7)</f>
        <v>0.0686971881073212</v>
      </c>
      <c r="R9" s="42" t="n">
        <f aca="false">IF($M9="","",$M9*Assumptions!$B$7)</f>
        <v>55</v>
      </c>
      <c r="S9" s="42" t="str">
        <f aca="false">IF(OR($J9="",$Q9="",$Q9=0),"",($J9+$R9)/($Q9*(1-Assumptions!$B$4)))</f>
        <v/>
      </c>
      <c r="T9" s="43" t="str">
        <f aca="false">IF(OR($K9="",$S9="",$S9=0),"",$K9/$S9)</f>
        <v/>
      </c>
      <c r="U9" s="44" t="str">
        <f aca="false">IF(OR($K9="",$Q9=""),"",MAX(0,($K9-MAX($K9*Assumptions!$B$4,Assumptions!$B$5))*$Q9-$R9))</f>
        <v/>
      </c>
      <c r="V9" s="40" t="str">
        <f aca="false">IF($A9="","",IF($O9="FAIL","REJECT",IF($J9="","NEEDS PRICE",IF(OR($K9="",$L9=""),"NEEDS VALUATION",IF($T9&gt;=Assumptions!$B$13,"BUY",IF($T9&gt;=1,"MARGINAL","PASS"))))))</f>
        <v>NEEDS PRICE</v>
      </c>
      <c r="W9" s="25" t="s">
        <v>177</v>
      </c>
      <c r="X9" s="35" t="s">
        <v>186</v>
      </c>
    </row>
    <row r="10" customFormat="false" ht="15" hidden="false" customHeight="false" outlineLevel="0" collapsed="false">
      <c r="A10" s="22" t="s">
        <v>187</v>
      </c>
      <c r="B10" s="36" t="str">
        <f aca="false">IF($A10="","",IF(ISERROR(FIND(".",$A10)),"",LOWER(MID($A10,FIND(CHAR(1),SUBSTITUTE($A10,".",CHAR(1),LEN($A10)-LEN(SUBSTITUTE($A10,".",""))))+1,LEN($A10)))))</f>
        <v>com</v>
      </c>
      <c r="C10" s="37" t="n">
        <f aca="false">IF($B10="","",IFERROR(INDEX(Rubric!$B$14:$B$23,MATCH($B10,Rubric!$A$14:$A$23,0)),INDEX(Rubric!$B$14:$B$23,MATCH("other",Rubric!$A$14:$A$23,0))))</f>
        <v>5</v>
      </c>
      <c r="D10" s="25" t="n">
        <v>5</v>
      </c>
      <c r="E10" s="25" t="n">
        <v>3</v>
      </c>
      <c r="F10" s="25" t="n">
        <v>2</v>
      </c>
      <c r="G10" s="25" t="n">
        <v>4</v>
      </c>
      <c r="H10" s="25" t="s">
        <v>176</v>
      </c>
      <c r="I10" s="25" t="s">
        <v>176</v>
      </c>
      <c r="J10" s="26"/>
      <c r="K10" s="27"/>
      <c r="L10" s="27"/>
      <c r="M10" s="38" t="n">
        <f aca="false">IF($B10="","",IFERROR(INDEX(Rubric!$C$14:$C$23,MATCH($B10,Rubric!$A$14:$A$23,0)),INDEX(Rubric!$C$14:$C$23,MATCH("other",Rubric!$A$14:$A$23,0))))</f>
        <v>11</v>
      </c>
      <c r="N10" s="39" t="n">
        <f aca="false">IF(OR($A10="",$C10=""),"",$C10*Rubric!$B$5+$D10*Rubric!$B$6+$E10*Rubric!$B$7+$F10*Rubric!$B$8+$G10*Rubric!$B$9)</f>
        <v>3.98</v>
      </c>
      <c r="O10" s="40" t="str">
        <f aca="false">IF($A10="","",IF(OR(UPPER($H10)="Y",UPPER($I10)="Y"),"FAIL","PASS"))</f>
        <v>PASS</v>
      </c>
      <c r="P10" s="41" t="n">
        <f aca="false">IF($N10="","",Assumptions!$B$6*MAX(0.05,($N10/Assumptions!$B$11)^Assumptions!$B$12))</f>
        <v>0.0132666666666667</v>
      </c>
      <c r="Q10" s="41" t="n">
        <f aca="false">IF($P10="","",1-(1-$P10)^Assumptions!$B$7)</f>
        <v>0.0645964843349984</v>
      </c>
      <c r="R10" s="42" t="n">
        <f aca="false">IF($M10="","",$M10*Assumptions!$B$7)</f>
        <v>55</v>
      </c>
      <c r="S10" s="42" t="str">
        <f aca="false">IF(OR($J10="",$Q10="",$Q10=0),"",($J10+$R10)/($Q10*(1-Assumptions!$B$4)))</f>
        <v/>
      </c>
      <c r="T10" s="43" t="str">
        <f aca="false">IF(OR($K10="",$S10="",$S10=0),"",$K10/$S10)</f>
        <v/>
      </c>
      <c r="U10" s="44" t="str">
        <f aca="false">IF(OR($K10="",$Q10=""),"",MAX(0,($K10-MAX($K10*Assumptions!$B$4,Assumptions!$B$5))*$Q10-$R10))</f>
        <v/>
      </c>
      <c r="V10" s="40" t="str">
        <f aca="false">IF($A10="","",IF($O10="FAIL","REJECT",IF($J10="","NEEDS PRICE",IF(OR($K10="",$L10=""),"NEEDS VALUATION",IF($T10&gt;=Assumptions!$B$13,"BUY",IF($T10&gt;=1,"MARGINAL","PASS"))))))</f>
        <v>NEEDS PRICE</v>
      </c>
      <c r="W10" s="25" t="s">
        <v>177</v>
      </c>
      <c r="X10" s="35" t="s">
        <v>188</v>
      </c>
    </row>
    <row r="11" customFormat="false" ht="15" hidden="false" customHeight="false" outlineLevel="0" collapsed="false">
      <c r="A11" s="22" t="s">
        <v>189</v>
      </c>
      <c r="B11" s="36" t="str">
        <f aca="false">IF($A11="","",IF(ISERROR(FIND(".",$A11)),"",LOWER(MID($A11,FIND(CHAR(1),SUBSTITUTE($A11,".",CHAR(1),LEN($A11)-LEN(SUBSTITUTE($A11,".",""))))+1,LEN($A11)))))</f>
        <v>com</v>
      </c>
      <c r="C11" s="37" t="n">
        <f aca="false">IF($B11="","",IFERROR(INDEX(Rubric!$B$14:$B$23,MATCH($B11,Rubric!$A$14:$A$23,0)),INDEX(Rubric!$B$14:$B$23,MATCH("other",Rubric!$A$14:$A$23,0))))</f>
        <v>5</v>
      </c>
      <c r="D11" s="25" t="n">
        <v>5</v>
      </c>
      <c r="E11" s="25" t="n">
        <v>3</v>
      </c>
      <c r="F11" s="25" t="n">
        <v>2</v>
      </c>
      <c r="G11" s="25" t="n">
        <v>4</v>
      </c>
      <c r="H11" s="25" t="s">
        <v>176</v>
      </c>
      <c r="I11" s="25" t="s">
        <v>176</v>
      </c>
      <c r="J11" s="26"/>
      <c r="K11" s="27"/>
      <c r="L11" s="27"/>
      <c r="M11" s="38" t="n">
        <f aca="false">IF($B11="","",IFERROR(INDEX(Rubric!$C$14:$C$23,MATCH($B11,Rubric!$A$14:$A$23,0)),INDEX(Rubric!$C$14:$C$23,MATCH("other",Rubric!$A$14:$A$23,0))))</f>
        <v>11</v>
      </c>
      <c r="N11" s="39" t="n">
        <f aca="false">IF(OR($A11="",$C11=""),"",$C11*Rubric!$B$5+$D11*Rubric!$B$6+$E11*Rubric!$B$7+$F11*Rubric!$B$8+$G11*Rubric!$B$9)</f>
        <v>3.98</v>
      </c>
      <c r="O11" s="40" t="str">
        <f aca="false">IF($A11="","",IF(OR(UPPER($H11)="Y",UPPER($I11)="Y"),"FAIL","PASS"))</f>
        <v>PASS</v>
      </c>
      <c r="P11" s="41" t="n">
        <f aca="false">IF($N11="","",Assumptions!$B$6*MAX(0.05,($N11/Assumptions!$B$11)^Assumptions!$B$12))</f>
        <v>0.0132666666666667</v>
      </c>
      <c r="Q11" s="41" t="n">
        <f aca="false">IF($P11="","",1-(1-$P11)^Assumptions!$B$7)</f>
        <v>0.0645964843349984</v>
      </c>
      <c r="R11" s="42" t="n">
        <f aca="false">IF($M11="","",$M11*Assumptions!$B$7)</f>
        <v>55</v>
      </c>
      <c r="S11" s="42" t="str">
        <f aca="false">IF(OR($J11="",$Q11="",$Q11=0),"",($J11+$R11)/($Q11*(1-Assumptions!$B$4)))</f>
        <v/>
      </c>
      <c r="T11" s="43" t="str">
        <f aca="false">IF(OR($K11="",$S11="",$S11=0),"",$K11/$S11)</f>
        <v/>
      </c>
      <c r="U11" s="44" t="str">
        <f aca="false">IF(OR($K11="",$Q11=""),"",MAX(0,($K11-MAX($K11*Assumptions!$B$4,Assumptions!$B$5))*$Q11-$R11))</f>
        <v/>
      </c>
      <c r="V11" s="40" t="str">
        <f aca="false">IF($A11="","",IF($O11="FAIL","REJECT",IF($J11="","NEEDS PRICE",IF(OR($K11="",$L11=""),"NEEDS VALUATION",IF($T11&gt;=Assumptions!$B$13,"BUY",IF($T11&gt;=1,"MARGINAL","PASS"))))))</f>
        <v>NEEDS PRICE</v>
      </c>
      <c r="W11" s="25" t="s">
        <v>177</v>
      </c>
      <c r="X11" s="35" t="s">
        <v>190</v>
      </c>
    </row>
    <row r="12" customFormat="false" ht="15" hidden="false" customHeight="false" outlineLevel="0" collapsed="false">
      <c r="A12" s="22" t="s">
        <v>191</v>
      </c>
      <c r="B12" s="36" t="str">
        <f aca="false">IF($A12="","",IF(ISERROR(FIND(".",$A12)),"",LOWER(MID($A12,FIND(CHAR(1),SUBSTITUTE($A12,".",CHAR(1),LEN($A12)-LEN(SUBSTITUTE($A12,".",""))))+1,LEN($A12)))))</f>
        <v>com</v>
      </c>
      <c r="C12" s="37" t="n">
        <f aca="false">IF($B12="","",IFERROR(INDEX(Rubric!$B$14:$B$23,MATCH($B12,Rubric!$A$14:$A$23,0)),INDEX(Rubric!$B$14:$B$23,MATCH("other",Rubric!$A$14:$A$23,0))))</f>
        <v>5</v>
      </c>
      <c r="D12" s="25" t="n">
        <v>4</v>
      </c>
      <c r="E12" s="25" t="n">
        <v>2</v>
      </c>
      <c r="F12" s="25" t="n">
        <v>3</v>
      </c>
      <c r="G12" s="25" t="n">
        <v>4</v>
      </c>
      <c r="H12" s="25" t="s">
        <v>176</v>
      </c>
      <c r="I12" s="25" t="s">
        <v>176</v>
      </c>
      <c r="J12" s="26"/>
      <c r="K12" s="27"/>
      <c r="L12" s="27"/>
      <c r="M12" s="38" t="n">
        <f aca="false">IF($B12="","",IFERROR(INDEX(Rubric!$C$14:$C$23,MATCH($B12,Rubric!$A$14:$A$23,0)),INDEX(Rubric!$C$14:$C$23,MATCH("other",Rubric!$A$14:$A$23,0))))</f>
        <v>11</v>
      </c>
      <c r="N12" s="39" t="n">
        <f aca="false">IF(OR($A12="",$C12=""),"",$C12*Rubric!$B$5+$D12*Rubric!$B$6+$E12*Rubric!$B$7+$F12*Rubric!$B$8+$G12*Rubric!$B$9)</f>
        <v>3.62</v>
      </c>
      <c r="O12" s="40" t="str">
        <f aca="false">IF($A12="","",IF(OR(UPPER($H12)="Y",UPPER($I12)="Y"),"FAIL","PASS"))</f>
        <v>PASS</v>
      </c>
      <c r="P12" s="41" t="n">
        <f aca="false">IF($N12="","",Assumptions!$B$6*MAX(0.05,($N12/Assumptions!$B$11)^Assumptions!$B$12))</f>
        <v>0.0120666666666667</v>
      </c>
      <c r="Q12" s="41" t="n">
        <f aca="false">IF($P12="","",1-(1-$P12)^Assumptions!$B$7)</f>
        <v>0.0588947527444019</v>
      </c>
      <c r="R12" s="42" t="n">
        <f aca="false">IF($M12="","",$M12*Assumptions!$B$7)</f>
        <v>55</v>
      </c>
      <c r="S12" s="42" t="str">
        <f aca="false">IF(OR($J12="",$Q12="",$Q12=0),"",($J12+$R12)/($Q12*(1-Assumptions!$B$4)))</f>
        <v/>
      </c>
      <c r="T12" s="43" t="str">
        <f aca="false">IF(OR($K12="",$S12="",$S12=0),"",$K12/$S12)</f>
        <v/>
      </c>
      <c r="U12" s="44" t="str">
        <f aca="false">IF(OR($K12="",$Q12=""),"",MAX(0,($K12-MAX($K12*Assumptions!$B$4,Assumptions!$B$5))*$Q12-$R12))</f>
        <v/>
      </c>
      <c r="V12" s="40" t="str">
        <f aca="false">IF($A12="","",IF($O12="FAIL","REJECT",IF($J12="","NEEDS PRICE",IF(OR($K12="",$L12=""),"NEEDS VALUATION",IF($T12&gt;=Assumptions!$B$13,"BUY",IF($T12&gt;=1,"MARGINAL","PASS"))))))</f>
        <v>NEEDS PRICE</v>
      </c>
      <c r="W12" s="25" t="s">
        <v>177</v>
      </c>
      <c r="X12" s="35" t="s">
        <v>192</v>
      </c>
    </row>
    <row r="13" customFormat="false" ht="15" hidden="false" customHeight="false" outlineLevel="0" collapsed="false">
      <c r="A13" s="22" t="s">
        <v>193</v>
      </c>
      <c r="B13" s="36" t="str">
        <f aca="false">IF($A13="","",IF(ISERROR(FIND(".",$A13)),"",LOWER(MID($A13,FIND(CHAR(1),SUBSTITUTE($A13,".",CHAR(1),LEN($A13)-LEN(SUBSTITUTE($A13,".",""))))+1,LEN($A13)))))</f>
        <v>com</v>
      </c>
      <c r="C13" s="37" t="n">
        <f aca="false">IF($B13="","",IFERROR(INDEX(Rubric!$B$14:$B$23,MATCH($B13,Rubric!$A$14:$A$23,0)),INDEX(Rubric!$B$14:$B$23,MATCH("other",Rubric!$A$14:$A$23,0))))</f>
        <v>5</v>
      </c>
      <c r="D13" s="25" t="n">
        <v>4</v>
      </c>
      <c r="E13" s="25" t="n">
        <v>2</v>
      </c>
      <c r="F13" s="25" t="n">
        <v>3</v>
      </c>
      <c r="G13" s="25" t="n">
        <v>5</v>
      </c>
      <c r="H13" s="25" t="s">
        <v>176</v>
      </c>
      <c r="I13" s="25" t="s">
        <v>176</v>
      </c>
      <c r="J13" s="26"/>
      <c r="K13" s="27"/>
      <c r="L13" s="27"/>
      <c r="M13" s="38" t="n">
        <f aca="false">IF($B13="","",IFERROR(INDEX(Rubric!$C$14:$C$23,MATCH($B13,Rubric!$A$14:$A$23,0)),INDEX(Rubric!$C$14:$C$23,MATCH("other",Rubric!$A$14:$A$23,0))))</f>
        <v>11</v>
      </c>
      <c r="N13" s="39" t="n">
        <f aca="false">IF(OR($A13="",$C13=""),"",$C13*Rubric!$B$5+$D13*Rubric!$B$6+$E13*Rubric!$B$7+$F13*Rubric!$B$8+$G13*Rubric!$B$9)</f>
        <v>3.72</v>
      </c>
      <c r="O13" s="40" t="str">
        <f aca="false">IF($A13="","",IF(OR(UPPER($H13)="Y",UPPER($I13)="Y"),"FAIL","PASS"))</f>
        <v>PASS</v>
      </c>
      <c r="P13" s="41" t="n">
        <f aca="false">IF($N13="","",Assumptions!$B$6*MAX(0.05,($N13/Assumptions!$B$11)^Assumptions!$B$12))</f>
        <v>0.0124</v>
      </c>
      <c r="Q13" s="41" t="n">
        <f aca="false">IF($P13="","",1-(1-$P13)^Assumptions!$B$7)</f>
        <v>0.0604813483224743</v>
      </c>
      <c r="R13" s="42" t="n">
        <f aca="false">IF($M13="","",$M13*Assumptions!$B$7)</f>
        <v>55</v>
      </c>
      <c r="S13" s="42" t="str">
        <f aca="false">IF(OR($J13="",$Q13="",$Q13=0),"",($J13+$R13)/($Q13*(1-Assumptions!$B$4)))</f>
        <v/>
      </c>
      <c r="T13" s="43" t="str">
        <f aca="false">IF(OR($K13="",$S13="",$S13=0),"",$K13/$S13)</f>
        <v/>
      </c>
      <c r="U13" s="44" t="str">
        <f aca="false">IF(OR($K13="",$Q13=""),"",MAX(0,($K13-MAX($K13*Assumptions!$B$4,Assumptions!$B$5))*$Q13-$R13))</f>
        <v/>
      </c>
      <c r="V13" s="40" t="str">
        <f aca="false">IF($A13="","",IF($O13="FAIL","REJECT",IF($J13="","NEEDS PRICE",IF(OR($K13="",$L13=""),"NEEDS VALUATION",IF($T13&gt;=Assumptions!$B$13,"BUY",IF($T13&gt;=1,"MARGINAL","PASS"))))))</f>
        <v>NEEDS PRICE</v>
      </c>
      <c r="W13" s="25" t="s">
        <v>177</v>
      </c>
      <c r="X13" s="35" t="s">
        <v>194</v>
      </c>
    </row>
    <row r="14" customFormat="false" ht="15" hidden="false" customHeight="false" outlineLevel="0" collapsed="false">
      <c r="A14" s="22" t="s">
        <v>195</v>
      </c>
      <c r="B14" s="36" t="str">
        <f aca="false">IF($A14="","",IF(ISERROR(FIND(".",$A14)),"",LOWER(MID($A14,FIND(CHAR(1),SUBSTITUTE($A14,".",CHAR(1),LEN($A14)-LEN(SUBSTITUTE($A14,".",""))))+1,LEN($A14)))))</f>
        <v>com</v>
      </c>
      <c r="C14" s="37" t="n">
        <f aca="false">IF($B14="","",IFERROR(INDEX(Rubric!$B$14:$B$23,MATCH($B14,Rubric!$A$14:$A$23,0)),INDEX(Rubric!$B$14:$B$23,MATCH("other",Rubric!$A$14:$A$23,0))))</f>
        <v>5</v>
      </c>
      <c r="D14" s="25" t="n">
        <v>5</v>
      </c>
      <c r="E14" s="25" t="n">
        <v>3</v>
      </c>
      <c r="F14" s="25" t="n">
        <v>4</v>
      </c>
      <c r="G14" s="25" t="n">
        <v>5</v>
      </c>
      <c r="H14" s="25" t="s">
        <v>176</v>
      </c>
      <c r="I14" s="25" t="s">
        <v>176</v>
      </c>
      <c r="J14" s="26"/>
      <c r="K14" s="27"/>
      <c r="L14" s="27"/>
      <c r="M14" s="38" t="n">
        <f aca="false">IF($B14="","",IFERROR(INDEX(Rubric!$C$14:$C$23,MATCH($B14,Rubric!$A$14:$A$23,0)),INDEX(Rubric!$C$14:$C$23,MATCH("other",Rubric!$A$14:$A$23,0))))</f>
        <v>11</v>
      </c>
      <c r="N14" s="39" t="n">
        <f aca="false">IF(OR($A14="",$C14=""),"",$C14*Rubric!$B$5+$D14*Rubric!$B$6+$E14*Rubric!$B$7+$F14*Rubric!$B$8+$G14*Rubric!$B$9)</f>
        <v>4.4</v>
      </c>
      <c r="O14" s="40" t="str">
        <f aca="false">IF($A14="","",IF(OR(UPPER($H14)="Y",UPPER($I14)="Y"),"FAIL","PASS"))</f>
        <v>PASS</v>
      </c>
      <c r="P14" s="41" t="n">
        <f aca="false">IF($N14="","",Assumptions!$B$6*MAX(0.05,($N14/Assumptions!$B$11)^Assumptions!$B$12))</f>
        <v>0.0146666666666667</v>
      </c>
      <c r="Q14" s="41" t="n">
        <f aca="false">IF($P14="","",1-(1-$P14)^Assumptions!$B$7)</f>
        <v>0.0712135411665691</v>
      </c>
      <c r="R14" s="42" t="n">
        <f aca="false">IF($M14="","",$M14*Assumptions!$B$7)</f>
        <v>55</v>
      </c>
      <c r="S14" s="42" t="str">
        <f aca="false">IF(OR($J14="",$Q14="",$Q14=0),"",($J14+$R14)/($Q14*(1-Assumptions!$B$4)))</f>
        <v/>
      </c>
      <c r="T14" s="43" t="str">
        <f aca="false">IF(OR($K14="",$S14="",$S14=0),"",$K14/$S14)</f>
        <v/>
      </c>
      <c r="U14" s="44" t="str">
        <f aca="false">IF(OR($K14="",$Q14=""),"",MAX(0,($K14-MAX($K14*Assumptions!$B$4,Assumptions!$B$5))*$Q14-$R14))</f>
        <v/>
      </c>
      <c r="V14" s="40" t="str">
        <f aca="false">IF($A14="","",IF($O14="FAIL","REJECT",IF($J14="","NEEDS PRICE",IF(OR($K14="",$L14=""),"NEEDS VALUATION",IF($T14&gt;=Assumptions!$B$13,"BUY",IF($T14&gt;=1,"MARGINAL","PASS"))))))</f>
        <v>NEEDS PRICE</v>
      </c>
      <c r="W14" s="25" t="s">
        <v>177</v>
      </c>
      <c r="X14" s="35" t="s">
        <v>196</v>
      </c>
    </row>
    <row r="15" customFormat="false" ht="15" hidden="false" customHeight="false" outlineLevel="0" collapsed="false">
      <c r="A15" s="22" t="s">
        <v>197</v>
      </c>
      <c r="B15" s="36" t="str">
        <f aca="false">IF($A15="","",IF(ISERROR(FIND(".",$A15)),"",LOWER(MID($A15,FIND(CHAR(1),SUBSTITUTE($A15,".",CHAR(1),LEN($A15)-LEN(SUBSTITUTE($A15,".",""))))+1,LEN($A15)))))</f>
        <v>com</v>
      </c>
      <c r="C15" s="37" t="n">
        <f aca="false">IF($B15="","",IFERROR(INDEX(Rubric!$B$14:$B$23,MATCH($B15,Rubric!$A$14:$A$23,0)),INDEX(Rubric!$B$14:$B$23,MATCH("other",Rubric!$A$14:$A$23,0))))</f>
        <v>5</v>
      </c>
      <c r="D15" s="25" t="n">
        <v>4</v>
      </c>
      <c r="E15" s="25" t="n">
        <v>3</v>
      </c>
      <c r="F15" s="25" t="n">
        <v>3</v>
      </c>
      <c r="G15" s="25" t="n">
        <v>4</v>
      </c>
      <c r="H15" s="25" t="s">
        <v>176</v>
      </c>
      <c r="I15" s="25" t="s">
        <v>176</v>
      </c>
      <c r="J15" s="26"/>
      <c r="K15" s="27"/>
      <c r="L15" s="27"/>
      <c r="M15" s="38" t="n">
        <f aca="false">IF($B15="","",IFERROR(INDEX(Rubric!$C$14:$C$23,MATCH($B15,Rubric!$A$14:$A$23,0)),INDEX(Rubric!$C$14:$C$23,MATCH("other",Rubric!$A$14:$A$23,0))))</f>
        <v>11</v>
      </c>
      <c r="N15" s="39" t="n">
        <f aca="false">IF(OR($A15="",$C15=""),"",$C15*Rubric!$B$5+$D15*Rubric!$B$6+$E15*Rubric!$B$7+$F15*Rubric!$B$8+$G15*Rubric!$B$9)</f>
        <v>3.84</v>
      </c>
      <c r="O15" s="40" t="str">
        <f aca="false">IF($A15="","",IF(OR(UPPER($H15)="Y",UPPER($I15)="Y"),"FAIL","PASS"))</f>
        <v>PASS</v>
      </c>
      <c r="P15" s="41" t="n">
        <f aca="false">IF($N15="","",Assumptions!$B$6*MAX(0.05,($N15/Assumptions!$B$11)^Assumptions!$B$12))</f>
        <v>0.0128</v>
      </c>
      <c r="Q15" s="41" t="n">
        <f aca="false">IF($P15="","",1-(1-$P15)^Assumptions!$B$7)</f>
        <v>0.0623824376458696</v>
      </c>
      <c r="R15" s="42" t="n">
        <f aca="false">IF($M15="","",$M15*Assumptions!$B$7)</f>
        <v>55</v>
      </c>
      <c r="S15" s="42" t="str">
        <f aca="false">IF(OR($J15="",$Q15="",$Q15=0),"",($J15+$R15)/($Q15*(1-Assumptions!$B$4)))</f>
        <v/>
      </c>
      <c r="T15" s="43" t="str">
        <f aca="false">IF(OR($K15="",$S15="",$S15=0),"",$K15/$S15)</f>
        <v/>
      </c>
      <c r="U15" s="44" t="str">
        <f aca="false">IF(OR($K15="",$Q15=""),"",MAX(0,($K15-MAX($K15*Assumptions!$B$4,Assumptions!$B$5))*$Q15-$R15))</f>
        <v/>
      </c>
      <c r="V15" s="40" t="str">
        <f aca="false">IF($A15="","",IF($O15="FAIL","REJECT",IF($J15="","NEEDS PRICE",IF(OR($K15="",$L15=""),"NEEDS VALUATION",IF($T15&gt;=Assumptions!$B$13,"BUY",IF($T15&gt;=1,"MARGINAL","PASS"))))))</f>
        <v>NEEDS PRICE</v>
      </c>
      <c r="W15" s="25" t="s">
        <v>177</v>
      </c>
      <c r="X15" s="35" t="s">
        <v>198</v>
      </c>
    </row>
    <row r="16" customFormat="false" ht="15" hidden="false" customHeight="false" outlineLevel="0" collapsed="false">
      <c r="A16" s="22" t="s">
        <v>199</v>
      </c>
      <c r="B16" s="36" t="str">
        <f aca="false">IF($A16="","",IF(ISERROR(FIND(".",$A16)),"",LOWER(MID($A16,FIND(CHAR(1),SUBSTITUTE($A16,".",CHAR(1),LEN($A16)-LEN(SUBSTITUTE($A16,".",""))))+1,LEN($A16)))))</f>
        <v>com</v>
      </c>
      <c r="C16" s="37" t="n">
        <f aca="false">IF($B16="","",IFERROR(INDEX(Rubric!$B$14:$B$23,MATCH($B16,Rubric!$A$14:$A$23,0)),INDEX(Rubric!$B$14:$B$23,MATCH("other",Rubric!$A$14:$A$23,0))))</f>
        <v>5</v>
      </c>
      <c r="D16" s="25" t="n">
        <v>4</v>
      </c>
      <c r="E16" s="25" t="n">
        <v>3</v>
      </c>
      <c r="F16" s="25" t="n">
        <v>3</v>
      </c>
      <c r="G16" s="25" t="n">
        <v>5</v>
      </c>
      <c r="H16" s="25" t="s">
        <v>176</v>
      </c>
      <c r="I16" s="25" t="s">
        <v>176</v>
      </c>
      <c r="J16" s="26"/>
      <c r="K16" s="27"/>
      <c r="L16" s="27"/>
      <c r="M16" s="38" t="n">
        <f aca="false">IF($B16="","",IFERROR(INDEX(Rubric!$C$14:$C$23,MATCH($B16,Rubric!$A$14:$A$23,0)),INDEX(Rubric!$C$14:$C$23,MATCH("other",Rubric!$A$14:$A$23,0))))</f>
        <v>11</v>
      </c>
      <c r="N16" s="39" t="n">
        <f aca="false">IF(OR($A16="",$C16=""),"",$C16*Rubric!$B$5+$D16*Rubric!$B$6+$E16*Rubric!$B$7+$F16*Rubric!$B$8+$G16*Rubric!$B$9)</f>
        <v>3.94</v>
      </c>
      <c r="O16" s="40" t="str">
        <f aca="false">IF($A16="","",IF(OR(UPPER($H16)="Y",UPPER($I16)="Y"),"FAIL","PASS"))</f>
        <v>PASS</v>
      </c>
      <c r="P16" s="41" t="n">
        <f aca="false">IF($N16="","",Assumptions!$B$6*MAX(0.05,($N16/Assumptions!$B$11)^Assumptions!$B$12))</f>
        <v>0.0131333333333333</v>
      </c>
      <c r="Q16" s="41" t="n">
        <f aca="false">IF($P16="","",1-(1-$P16)^Assumptions!$B$7)</f>
        <v>0.0639643268155696</v>
      </c>
      <c r="R16" s="42" t="n">
        <f aca="false">IF($M16="","",$M16*Assumptions!$B$7)</f>
        <v>55</v>
      </c>
      <c r="S16" s="42" t="str">
        <f aca="false">IF(OR($J16="",$Q16="",$Q16=0),"",($J16+$R16)/($Q16*(1-Assumptions!$B$4)))</f>
        <v/>
      </c>
      <c r="T16" s="43" t="str">
        <f aca="false">IF(OR($K16="",$S16="",$S16=0),"",$K16/$S16)</f>
        <v/>
      </c>
      <c r="U16" s="44" t="str">
        <f aca="false">IF(OR($K16="",$Q16=""),"",MAX(0,($K16-MAX($K16*Assumptions!$B$4,Assumptions!$B$5))*$Q16-$R16))</f>
        <v/>
      </c>
      <c r="V16" s="40" t="str">
        <f aca="false">IF($A16="","",IF($O16="FAIL","REJECT",IF($J16="","NEEDS PRICE",IF(OR($K16="",$L16=""),"NEEDS VALUATION",IF($T16&gt;=Assumptions!$B$13,"BUY",IF($T16&gt;=1,"MARGINAL","PASS"))))))</f>
        <v>NEEDS PRICE</v>
      </c>
      <c r="W16" s="25" t="s">
        <v>177</v>
      </c>
      <c r="X16" s="35" t="s">
        <v>200</v>
      </c>
    </row>
    <row r="17" customFormat="false" ht="15" hidden="false" customHeight="false" outlineLevel="0" collapsed="false">
      <c r="A17" s="22" t="s">
        <v>201</v>
      </c>
      <c r="B17" s="36" t="str">
        <f aca="false">IF($A17="","",IF(ISERROR(FIND(".",$A17)),"",LOWER(MID($A17,FIND(CHAR(1),SUBSTITUTE($A17,".",CHAR(1),LEN($A17)-LEN(SUBSTITUTE($A17,".",""))))+1,LEN($A17)))))</f>
        <v>com</v>
      </c>
      <c r="C17" s="37" t="n">
        <f aca="false">IF($B17="","",IFERROR(INDEX(Rubric!$B$14:$B$23,MATCH($B17,Rubric!$A$14:$A$23,0)),INDEX(Rubric!$B$14:$B$23,MATCH("other",Rubric!$A$14:$A$23,0))))</f>
        <v>5</v>
      </c>
      <c r="D17" s="25" t="n">
        <v>5</v>
      </c>
      <c r="E17" s="25" t="n">
        <v>3</v>
      </c>
      <c r="F17" s="25" t="n">
        <v>4</v>
      </c>
      <c r="G17" s="25" t="n">
        <v>5</v>
      </c>
      <c r="H17" s="25" t="s">
        <v>176</v>
      </c>
      <c r="I17" s="25" t="s">
        <v>176</v>
      </c>
      <c r="J17" s="26"/>
      <c r="K17" s="27"/>
      <c r="L17" s="27"/>
      <c r="M17" s="38" t="n">
        <f aca="false">IF($B17="","",IFERROR(INDEX(Rubric!$C$14:$C$23,MATCH($B17,Rubric!$A$14:$A$23,0)),INDEX(Rubric!$C$14:$C$23,MATCH("other",Rubric!$A$14:$A$23,0))))</f>
        <v>11</v>
      </c>
      <c r="N17" s="39" t="n">
        <f aca="false">IF(OR($A17="",$C17=""),"",$C17*Rubric!$B$5+$D17*Rubric!$B$6+$E17*Rubric!$B$7+$F17*Rubric!$B$8+$G17*Rubric!$B$9)</f>
        <v>4.4</v>
      </c>
      <c r="O17" s="40" t="str">
        <f aca="false">IF($A17="","",IF(OR(UPPER($H17)="Y",UPPER($I17)="Y"),"FAIL","PASS"))</f>
        <v>PASS</v>
      </c>
      <c r="P17" s="41" t="n">
        <f aca="false">IF($N17="","",Assumptions!$B$6*MAX(0.05,($N17/Assumptions!$B$11)^Assumptions!$B$12))</f>
        <v>0.0146666666666667</v>
      </c>
      <c r="Q17" s="41" t="n">
        <f aca="false">IF($P17="","",1-(1-$P17)^Assumptions!$B$7)</f>
        <v>0.0712135411665691</v>
      </c>
      <c r="R17" s="42" t="n">
        <f aca="false">IF($M17="","",$M17*Assumptions!$B$7)</f>
        <v>55</v>
      </c>
      <c r="S17" s="42" t="str">
        <f aca="false">IF(OR($J17="",$Q17="",$Q17=0),"",($J17+$R17)/($Q17*(1-Assumptions!$B$4)))</f>
        <v/>
      </c>
      <c r="T17" s="43" t="str">
        <f aca="false">IF(OR($K17="",$S17="",$S17=0),"",$K17/$S17)</f>
        <v/>
      </c>
      <c r="U17" s="44" t="str">
        <f aca="false">IF(OR($K17="",$Q17=""),"",MAX(0,($K17-MAX($K17*Assumptions!$B$4,Assumptions!$B$5))*$Q17-$R17))</f>
        <v/>
      </c>
      <c r="V17" s="40" t="str">
        <f aca="false">IF($A17="","",IF($O17="FAIL","REJECT",IF($J17="","NEEDS PRICE",IF(OR($K17="",$L17=""),"NEEDS VALUATION",IF($T17&gt;=Assumptions!$B$13,"BUY",IF($T17&gt;=1,"MARGINAL","PASS"))))))</f>
        <v>NEEDS PRICE</v>
      </c>
      <c r="W17" s="25" t="s">
        <v>177</v>
      </c>
      <c r="X17" s="35" t="s">
        <v>202</v>
      </c>
    </row>
    <row r="18" customFormat="false" ht="15" hidden="false" customHeight="false" outlineLevel="0" collapsed="false">
      <c r="A18" s="22" t="s">
        <v>203</v>
      </c>
      <c r="B18" s="36" t="str">
        <f aca="false">IF($A18="","",IF(ISERROR(FIND(".",$A18)),"",LOWER(MID($A18,FIND(CHAR(1),SUBSTITUTE($A18,".",CHAR(1),LEN($A18)-LEN(SUBSTITUTE($A18,".",""))))+1,LEN($A18)))))</f>
        <v>com</v>
      </c>
      <c r="C18" s="37" t="n">
        <f aca="false">IF($B18="","",IFERROR(INDEX(Rubric!$B$14:$B$23,MATCH($B18,Rubric!$A$14:$A$23,0)),INDEX(Rubric!$B$14:$B$23,MATCH("other",Rubric!$A$14:$A$23,0))))</f>
        <v>5</v>
      </c>
      <c r="D18" s="25" t="n">
        <v>4</v>
      </c>
      <c r="E18" s="25" t="n">
        <v>2</v>
      </c>
      <c r="F18" s="25" t="n">
        <v>4</v>
      </c>
      <c r="G18" s="25" t="n">
        <v>5</v>
      </c>
      <c r="H18" s="25" t="s">
        <v>176</v>
      </c>
      <c r="I18" s="25" t="s">
        <v>176</v>
      </c>
      <c r="J18" s="26" t="n">
        <v>5000</v>
      </c>
      <c r="K18" s="27"/>
      <c r="L18" s="27"/>
      <c r="M18" s="38" t="n">
        <f aca="false">IF($B18="","",IFERROR(INDEX(Rubric!$C$14:$C$23,MATCH($B18,Rubric!$A$14:$A$23,0)),INDEX(Rubric!$C$14:$C$23,MATCH("other",Rubric!$A$14:$A$23,0))))</f>
        <v>11</v>
      </c>
      <c r="N18" s="39" t="n">
        <f aca="false">IF(OR($A18="",$C18=""),"",$C18*Rubric!$B$5+$D18*Rubric!$B$6+$E18*Rubric!$B$7+$F18*Rubric!$B$8+$G18*Rubric!$B$9)</f>
        <v>3.88</v>
      </c>
      <c r="O18" s="40" t="str">
        <f aca="false">IF($A18="","",IF(OR(UPPER($H18)="Y",UPPER($I18)="Y"),"FAIL","PASS"))</f>
        <v>PASS</v>
      </c>
      <c r="P18" s="41" t="n">
        <f aca="false">IF($N18="","",Assumptions!$B$6*MAX(0.05,($N18/Assumptions!$B$11)^Assumptions!$B$12))</f>
        <v>0.0129333333333333</v>
      </c>
      <c r="Q18" s="41" t="n">
        <f aca="false">IF($P18="","",1-(1-$P18)^Assumptions!$B$7)</f>
        <v>0.0630154497496728</v>
      </c>
      <c r="R18" s="42" t="n">
        <f aca="false">IF($M18="","",$M18*Assumptions!$B$7)</f>
        <v>55</v>
      </c>
      <c r="S18" s="42" t="n">
        <f aca="false">IF(OR($J18="",$Q18="",$Q18=0),"",($J18+$R18)/($Q18*(1-Assumptions!$B$4)))</f>
        <v>100273.028679492</v>
      </c>
      <c r="T18" s="43" t="str">
        <f aca="false">IF(OR($K18="",$S18="",$S18=0),"",$K18/$S18)</f>
        <v/>
      </c>
      <c r="U18" s="44" t="str">
        <f aca="false">IF(OR($K18="",$Q18=""),"",MAX(0,($K18-MAX($K18*Assumptions!$B$4,Assumptions!$B$5))*$Q18-$R18))</f>
        <v/>
      </c>
      <c r="V18" s="40" t="str">
        <f aca="false">IF($A18="","",IF($O18="FAIL","REJECT",IF($J18="","NEEDS PRICE",IF(OR($K18="",$L18=""),"NEEDS VALUATION",IF($T18&gt;=Assumptions!$B$13,"BUY",IF($T18&gt;=1,"MARGINAL","PASS"))))))</f>
        <v>NEEDS VALUATION</v>
      </c>
      <c r="W18" s="25" t="s">
        <v>204</v>
      </c>
      <c r="X18" s="35" t="s">
        <v>205</v>
      </c>
    </row>
    <row r="19" customFormat="false" ht="15" hidden="false" customHeight="false" outlineLevel="0" collapsed="false">
      <c r="A19" s="22" t="s">
        <v>206</v>
      </c>
      <c r="B19" s="36" t="str">
        <f aca="false">IF($A19="","",IF(ISERROR(FIND(".",$A19)),"",LOWER(MID($A19,FIND(CHAR(1),SUBSTITUTE($A19,".",CHAR(1),LEN($A19)-LEN(SUBSTITUTE($A19,".",""))))+1,LEN($A19)))))</f>
        <v>com</v>
      </c>
      <c r="C19" s="37" t="n">
        <f aca="false">IF($B19="","",IFERROR(INDEX(Rubric!$B$14:$B$23,MATCH($B19,Rubric!$A$14:$A$23,0)),INDEX(Rubric!$B$14:$B$23,MATCH("other",Rubric!$A$14:$A$23,0))))</f>
        <v>5</v>
      </c>
      <c r="D19" s="25" t="n">
        <v>5</v>
      </c>
      <c r="E19" s="25" t="n">
        <v>3</v>
      </c>
      <c r="F19" s="25" t="n">
        <v>4</v>
      </c>
      <c r="G19" s="25" t="n">
        <v>5</v>
      </c>
      <c r="H19" s="25" t="s">
        <v>176</v>
      </c>
      <c r="I19" s="25" t="s">
        <v>176</v>
      </c>
      <c r="J19" s="26" t="n">
        <v>375000</v>
      </c>
      <c r="K19" s="27"/>
      <c r="L19" s="27"/>
      <c r="M19" s="38" t="n">
        <f aca="false">IF($B19="","",IFERROR(INDEX(Rubric!$C$14:$C$23,MATCH($B19,Rubric!$A$14:$A$23,0)),INDEX(Rubric!$C$14:$C$23,MATCH("other",Rubric!$A$14:$A$23,0))))</f>
        <v>11</v>
      </c>
      <c r="N19" s="39" t="n">
        <f aca="false">IF(OR($A19="",$C19=""),"",$C19*Rubric!$B$5+$D19*Rubric!$B$6+$E19*Rubric!$B$7+$F19*Rubric!$B$8+$G19*Rubric!$B$9)</f>
        <v>4.4</v>
      </c>
      <c r="O19" s="40" t="str">
        <f aca="false">IF($A19="","",IF(OR(UPPER($H19)="Y",UPPER($I19)="Y"),"FAIL","PASS"))</f>
        <v>PASS</v>
      </c>
      <c r="P19" s="41" t="n">
        <f aca="false">IF($N19="","",Assumptions!$B$6*MAX(0.05,($N19/Assumptions!$B$11)^Assumptions!$B$12))</f>
        <v>0.0146666666666667</v>
      </c>
      <c r="Q19" s="41" t="n">
        <f aca="false">IF($P19="","",1-(1-$P19)^Assumptions!$B$7)</f>
        <v>0.0712135411665691</v>
      </c>
      <c r="R19" s="42" t="n">
        <f aca="false">IF($M19="","",$M19*Assumptions!$B$7)</f>
        <v>55</v>
      </c>
      <c r="S19" s="42" t="n">
        <f aca="false">IF(OR($J19="",$Q19="",$Q19=0),"",($J19+$R19)/($Q19*(1-Assumptions!$B$4)))</f>
        <v>6583280.96482983</v>
      </c>
      <c r="T19" s="43" t="str">
        <f aca="false">IF(OR($K19="",$S19="",$S19=0),"",$K19/$S19)</f>
        <v/>
      </c>
      <c r="U19" s="44" t="str">
        <f aca="false">IF(OR($K19="",$Q19=""),"",MAX(0,($K19-MAX($K19*Assumptions!$B$4,Assumptions!$B$5))*$Q19-$R19))</f>
        <v/>
      </c>
      <c r="V19" s="40" t="str">
        <f aca="false">IF($A19="","",IF($O19="FAIL","REJECT",IF($J19="","NEEDS PRICE",IF(OR($K19="",$L19=""),"NEEDS VALUATION",IF($T19&gt;=Assumptions!$B$13,"BUY",IF($T19&gt;=1,"MARGINAL","PASS"))))))</f>
        <v>NEEDS VALUATION</v>
      </c>
      <c r="W19" s="25" t="s">
        <v>204</v>
      </c>
      <c r="X19" s="35" t="s">
        <v>207</v>
      </c>
    </row>
    <row r="20" customFormat="false" ht="15" hidden="false" customHeight="false" outlineLevel="0" collapsed="false">
      <c r="A20" s="22" t="s">
        <v>208</v>
      </c>
      <c r="B20" s="36" t="str">
        <f aca="false">IF($A20="","",IF(ISERROR(FIND(".",$A20)),"",LOWER(MID($A20,FIND(CHAR(1),SUBSTITUTE($A20,".",CHAR(1),LEN($A20)-LEN(SUBSTITUTE($A20,".",""))))+1,LEN($A20)))))</f>
        <v>com</v>
      </c>
      <c r="C20" s="37" t="n">
        <f aca="false">IF($B20="","",IFERROR(INDEX(Rubric!$B$14:$B$23,MATCH($B20,Rubric!$A$14:$A$23,0)),INDEX(Rubric!$B$14:$B$23,MATCH("other",Rubric!$A$14:$A$23,0))))</f>
        <v>5</v>
      </c>
      <c r="D20" s="25" t="n">
        <v>4</v>
      </c>
      <c r="E20" s="25" t="n">
        <v>2</v>
      </c>
      <c r="F20" s="25" t="n">
        <v>3</v>
      </c>
      <c r="G20" s="25" t="n">
        <v>5</v>
      </c>
      <c r="H20" s="25" t="s">
        <v>176</v>
      </c>
      <c r="I20" s="25" t="s">
        <v>176</v>
      </c>
      <c r="J20" s="26" t="n">
        <v>4888</v>
      </c>
      <c r="K20" s="27"/>
      <c r="L20" s="27"/>
      <c r="M20" s="38" t="n">
        <f aca="false">IF($B20="","",IFERROR(INDEX(Rubric!$C$14:$C$23,MATCH($B20,Rubric!$A$14:$A$23,0)),INDEX(Rubric!$C$14:$C$23,MATCH("other",Rubric!$A$14:$A$23,0))))</f>
        <v>11</v>
      </c>
      <c r="N20" s="39" t="n">
        <f aca="false">IF(OR($A20="",$C20=""),"",$C20*Rubric!$B$5+$D20*Rubric!$B$6+$E20*Rubric!$B$7+$F20*Rubric!$B$8+$G20*Rubric!$B$9)</f>
        <v>3.72</v>
      </c>
      <c r="O20" s="40" t="str">
        <f aca="false">IF($A20="","",IF(OR(UPPER($H20)="Y",UPPER($I20)="Y"),"FAIL","PASS"))</f>
        <v>PASS</v>
      </c>
      <c r="P20" s="41" t="n">
        <f aca="false">IF($N20="","",Assumptions!$B$6*MAX(0.05,($N20/Assumptions!$B$11)^Assumptions!$B$12))</f>
        <v>0.0124</v>
      </c>
      <c r="Q20" s="41" t="n">
        <f aca="false">IF($P20="","",1-(1-$P20)^Assumptions!$B$7)</f>
        <v>0.0604813483224743</v>
      </c>
      <c r="R20" s="42" t="n">
        <f aca="false">IF($M20="","",$M20*Assumptions!$B$7)</f>
        <v>55</v>
      </c>
      <c r="S20" s="42" t="n">
        <f aca="false">IF(OR($J20="",$Q20="",$Q20=0),"",($J20+$R20)/($Q20*(1-Assumptions!$B$4)))</f>
        <v>102159.594178624</v>
      </c>
      <c r="T20" s="43" t="str">
        <f aca="false">IF(OR($K20="",$S20="",$S20=0),"",$K20/$S20)</f>
        <v/>
      </c>
      <c r="U20" s="44" t="str">
        <f aca="false">IF(OR($K20="",$Q20=""),"",MAX(0,($K20-MAX($K20*Assumptions!$B$4,Assumptions!$B$5))*$Q20-$R20))</f>
        <v/>
      </c>
      <c r="V20" s="40" t="str">
        <f aca="false">IF($A20="","",IF($O20="FAIL","REJECT",IF($J20="","NEEDS PRICE",IF(OR($K20="",$L20=""),"NEEDS VALUATION",IF($T20&gt;=Assumptions!$B$13,"BUY",IF($T20&gt;=1,"MARGINAL","PASS"))))))</f>
        <v>NEEDS VALUATION</v>
      </c>
      <c r="W20" s="25" t="s">
        <v>204</v>
      </c>
      <c r="X20" s="35" t="s">
        <v>209</v>
      </c>
    </row>
    <row r="21" customFormat="false" ht="15" hidden="false" customHeight="false" outlineLevel="0" collapsed="false">
      <c r="A21" s="22" t="s">
        <v>210</v>
      </c>
      <c r="B21" s="36" t="str">
        <f aca="false">IF($A21="","",IF(ISERROR(FIND(".",$A21)),"",LOWER(MID($A21,FIND(CHAR(1),SUBSTITUTE($A21,".",CHAR(1),LEN($A21)-LEN(SUBSTITUTE($A21,".",""))))+1,LEN($A21)))))</f>
        <v>com</v>
      </c>
      <c r="C21" s="37" t="n">
        <f aca="false">IF($B21="","",IFERROR(INDEX(Rubric!$B$14:$B$23,MATCH($B21,Rubric!$A$14:$A$23,0)),INDEX(Rubric!$B$14:$B$23,MATCH("other",Rubric!$A$14:$A$23,0))))</f>
        <v>5</v>
      </c>
      <c r="D21" s="25" t="n">
        <v>4</v>
      </c>
      <c r="E21" s="25" t="n">
        <v>3</v>
      </c>
      <c r="F21" s="25" t="n">
        <v>3</v>
      </c>
      <c r="G21" s="25" t="n">
        <v>5</v>
      </c>
      <c r="H21" s="25" t="s">
        <v>176</v>
      </c>
      <c r="I21" s="25" t="s">
        <v>176</v>
      </c>
      <c r="J21" s="26"/>
      <c r="K21" s="27"/>
      <c r="L21" s="27"/>
      <c r="M21" s="38" t="n">
        <f aca="false">IF($B21="","",IFERROR(INDEX(Rubric!$C$14:$C$23,MATCH($B21,Rubric!$A$14:$A$23,0)),INDEX(Rubric!$C$14:$C$23,MATCH("other",Rubric!$A$14:$A$23,0))))</f>
        <v>11</v>
      </c>
      <c r="N21" s="39" t="n">
        <f aca="false">IF(OR($A21="",$C21=""),"",$C21*Rubric!$B$5+$D21*Rubric!$B$6+$E21*Rubric!$B$7+$F21*Rubric!$B$8+$G21*Rubric!$B$9)</f>
        <v>3.94</v>
      </c>
      <c r="O21" s="40" t="str">
        <f aca="false">IF($A21="","",IF(OR(UPPER($H21)="Y",UPPER($I21)="Y"),"FAIL","PASS"))</f>
        <v>PASS</v>
      </c>
      <c r="P21" s="41" t="n">
        <f aca="false">IF($N21="","",Assumptions!$B$6*MAX(0.05,($N21/Assumptions!$B$11)^Assumptions!$B$12))</f>
        <v>0.0131333333333333</v>
      </c>
      <c r="Q21" s="41" t="n">
        <f aca="false">IF($P21="","",1-(1-$P21)^Assumptions!$B$7)</f>
        <v>0.0639643268155696</v>
      </c>
      <c r="R21" s="42" t="n">
        <f aca="false">IF($M21="","",$M21*Assumptions!$B$7)</f>
        <v>55</v>
      </c>
      <c r="S21" s="42" t="str">
        <f aca="false">IF(OR($J21="",$Q21="",$Q21=0),"",($J21+$R21)/($Q21*(1-Assumptions!$B$4)))</f>
        <v/>
      </c>
      <c r="T21" s="43" t="str">
        <f aca="false">IF(OR($K21="",$S21="",$S21=0),"",$K21/$S21)</f>
        <v/>
      </c>
      <c r="U21" s="44" t="str">
        <f aca="false">IF(OR($K21="",$Q21=""),"",MAX(0,($K21-MAX($K21*Assumptions!$B$4,Assumptions!$B$5))*$Q21-$R21))</f>
        <v/>
      </c>
      <c r="V21" s="40" t="str">
        <f aca="false">IF($A21="","",IF($O21="FAIL","REJECT",IF($J21="","NEEDS PRICE",IF(OR($K21="",$L21=""),"NEEDS VALUATION",IF($T21&gt;=Assumptions!$B$13,"BUY",IF($T21&gt;=1,"MARGINAL","PASS"))))))</f>
        <v>NEEDS PRICE</v>
      </c>
      <c r="W21" s="25" t="s">
        <v>177</v>
      </c>
      <c r="X21" s="35" t="s">
        <v>211</v>
      </c>
    </row>
    <row r="22" customFormat="false" ht="15" hidden="false" customHeight="false" outlineLevel="0" collapsed="false">
      <c r="A22" s="22" t="s">
        <v>212</v>
      </c>
      <c r="B22" s="36" t="str">
        <f aca="false">IF($A22="","",IF(ISERROR(FIND(".",$A22)),"",LOWER(MID($A22,FIND(CHAR(1),SUBSTITUTE($A22,".",CHAR(1),LEN($A22)-LEN(SUBSTITUTE($A22,".",""))))+1,LEN($A22)))))</f>
        <v>com</v>
      </c>
      <c r="C22" s="37" t="n">
        <f aca="false">IF($B22="","",IFERROR(INDEX(Rubric!$B$14:$B$23,MATCH($B22,Rubric!$A$14:$A$23,0)),INDEX(Rubric!$B$14:$B$23,MATCH("other",Rubric!$A$14:$A$23,0))))</f>
        <v>5</v>
      </c>
      <c r="D22" s="25" t="n">
        <v>4</v>
      </c>
      <c r="E22" s="25" t="n">
        <v>3</v>
      </c>
      <c r="F22" s="25" t="n">
        <v>4</v>
      </c>
      <c r="G22" s="25" t="n">
        <v>4</v>
      </c>
      <c r="H22" s="25" t="s">
        <v>176</v>
      </c>
      <c r="I22" s="25" t="s">
        <v>176</v>
      </c>
      <c r="J22" s="26"/>
      <c r="K22" s="27"/>
      <c r="L22" s="27"/>
      <c r="M22" s="38" t="n">
        <f aca="false">IF($B22="","",IFERROR(INDEX(Rubric!$C$14:$C$23,MATCH($B22,Rubric!$A$14:$A$23,0)),INDEX(Rubric!$C$14:$C$23,MATCH("other",Rubric!$A$14:$A$23,0))))</f>
        <v>11</v>
      </c>
      <c r="N22" s="39" t="n">
        <f aca="false">IF(OR($A22="",$C22=""),"",$C22*Rubric!$B$5+$D22*Rubric!$B$6+$E22*Rubric!$B$7+$F22*Rubric!$B$8+$G22*Rubric!$B$9)</f>
        <v>4</v>
      </c>
      <c r="O22" s="40" t="str">
        <f aca="false">IF($A22="","",IF(OR(UPPER($H22)="Y",UPPER($I22)="Y"),"FAIL","PASS"))</f>
        <v>PASS</v>
      </c>
      <c r="P22" s="41" t="n">
        <f aca="false">IF($N22="","",Assumptions!$B$6*MAX(0.05,($N22/Assumptions!$B$11)^Assumptions!$B$12))</f>
        <v>0.0133333333333333</v>
      </c>
      <c r="Q22" s="41" t="n">
        <f aca="false">IF($P22="","",1-(1-$P22)^Assumptions!$B$7)</f>
        <v>0.0649124349893003</v>
      </c>
      <c r="R22" s="42" t="n">
        <f aca="false">IF($M22="","",$M22*Assumptions!$B$7)</f>
        <v>55</v>
      </c>
      <c r="S22" s="42" t="str">
        <f aca="false">IF(OR($J22="",$Q22="",$Q22=0),"",($J22+$R22)/($Q22*(1-Assumptions!$B$4)))</f>
        <v/>
      </c>
      <c r="T22" s="43" t="str">
        <f aca="false">IF(OR($K22="",$S22="",$S22=0),"",$K22/$S22)</f>
        <v/>
      </c>
      <c r="U22" s="44" t="str">
        <f aca="false">IF(OR($K22="",$Q22=""),"",MAX(0,($K22-MAX($K22*Assumptions!$B$4,Assumptions!$B$5))*$Q22-$R22))</f>
        <v/>
      </c>
      <c r="V22" s="40" t="str">
        <f aca="false">IF($A22="","",IF($O22="FAIL","REJECT",IF($J22="","NEEDS PRICE",IF(OR($K22="",$L22=""),"NEEDS VALUATION",IF($T22&gt;=Assumptions!$B$13,"BUY",IF($T22&gt;=1,"MARGINAL","PASS"))))))</f>
        <v>NEEDS PRICE</v>
      </c>
      <c r="W22" s="25" t="s">
        <v>177</v>
      </c>
      <c r="X22" s="35" t="s">
        <v>213</v>
      </c>
    </row>
    <row r="23" customFormat="false" ht="15" hidden="false" customHeight="false" outlineLevel="0" collapsed="false">
      <c r="A23" s="22" t="s">
        <v>214</v>
      </c>
      <c r="B23" s="36" t="str">
        <f aca="false">IF($A23="","",IF(ISERROR(FIND(".",$A23)),"",LOWER(MID($A23,FIND(CHAR(1),SUBSTITUTE($A23,".",CHAR(1),LEN($A23)-LEN(SUBSTITUTE($A23,".",""))))+1,LEN($A23)))))</f>
        <v>com</v>
      </c>
      <c r="C23" s="37" t="n">
        <f aca="false">IF($B23="","",IFERROR(INDEX(Rubric!$B$14:$B$23,MATCH($B23,Rubric!$A$14:$A$23,0)),INDEX(Rubric!$B$14:$B$23,MATCH("other",Rubric!$A$14:$A$23,0))))</f>
        <v>5</v>
      </c>
      <c r="D23" s="25" t="n">
        <v>4</v>
      </c>
      <c r="E23" s="25" t="n">
        <v>3</v>
      </c>
      <c r="F23" s="25" t="n">
        <v>4</v>
      </c>
      <c r="G23" s="25" t="n">
        <v>5</v>
      </c>
      <c r="H23" s="25" t="s">
        <v>176</v>
      </c>
      <c r="I23" s="25" t="s">
        <v>176</v>
      </c>
      <c r="J23" s="26"/>
      <c r="K23" s="27"/>
      <c r="L23" s="27"/>
      <c r="M23" s="38" t="n">
        <f aca="false">IF($B23="","",IFERROR(INDEX(Rubric!$C$14:$C$23,MATCH($B23,Rubric!$A$14:$A$23,0)),INDEX(Rubric!$C$14:$C$23,MATCH("other",Rubric!$A$14:$A$23,0))))</f>
        <v>11</v>
      </c>
      <c r="N23" s="39" t="n">
        <f aca="false">IF(OR($A23="",$C23=""),"",$C23*Rubric!$B$5+$D23*Rubric!$B$6+$E23*Rubric!$B$7+$F23*Rubric!$B$8+$G23*Rubric!$B$9)</f>
        <v>4.1</v>
      </c>
      <c r="O23" s="40" t="str">
        <f aca="false">IF($A23="","",IF(OR(UPPER($H23)="Y",UPPER($I23)="Y"),"FAIL","PASS"))</f>
        <v>PASS</v>
      </c>
      <c r="P23" s="41" t="n">
        <f aca="false">IF($N23="","",Assumptions!$B$6*MAX(0.05,($N23/Assumptions!$B$11)^Assumptions!$B$12))</f>
        <v>0.0136666666666667</v>
      </c>
      <c r="Q23" s="41" t="n">
        <f aca="false">IF($P23="","",1-(1-$P23)^Assumptions!$B$7)</f>
        <v>0.0664909078989352</v>
      </c>
      <c r="R23" s="42" t="n">
        <f aca="false">IF($M23="","",$M23*Assumptions!$B$7)</f>
        <v>55</v>
      </c>
      <c r="S23" s="42" t="str">
        <f aca="false">IF(OR($J23="",$Q23="",$Q23=0),"",($J23+$R23)/($Q23*(1-Assumptions!$B$4)))</f>
        <v/>
      </c>
      <c r="T23" s="43" t="str">
        <f aca="false">IF(OR($K23="",$S23="",$S23=0),"",$K23/$S23)</f>
        <v/>
      </c>
      <c r="U23" s="44" t="str">
        <f aca="false">IF(OR($K23="",$Q23=""),"",MAX(0,($K23-MAX($K23*Assumptions!$B$4,Assumptions!$B$5))*$Q23-$R23))</f>
        <v/>
      </c>
      <c r="V23" s="40" t="str">
        <f aca="false">IF($A23="","",IF($O23="FAIL","REJECT",IF($J23="","NEEDS PRICE",IF(OR($K23="",$L23=""),"NEEDS VALUATION",IF($T23&gt;=Assumptions!$B$13,"BUY",IF($T23&gt;=1,"MARGINAL","PASS"))))))</f>
        <v>NEEDS PRICE</v>
      </c>
      <c r="W23" s="25" t="s">
        <v>177</v>
      </c>
      <c r="X23" s="35" t="s">
        <v>215</v>
      </c>
    </row>
    <row r="24" customFormat="false" ht="15" hidden="false" customHeight="false" outlineLevel="0" collapsed="false">
      <c r="A24" s="22" t="s">
        <v>216</v>
      </c>
      <c r="B24" s="36" t="str">
        <f aca="false">IF($A24="","",IF(ISERROR(FIND(".",$A24)),"",LOWER(MID($A24,FIND(CHAR(1),SUBSTITUTE($A24,".",CHAR(1),LEN($A24)-LEN(SUBSTITUTE($A24,".",""))))+1,LEN($A24)))))</f>
        <v>com</v>
      </c>
      <c r="C24" s="37" t="n">
        <f aca="false">IF($B24="","",IFERROR(INDEX(Rubric!$B$14:$B$23,MATCH($B24,Rubric!$A$14:$A$23,0)),INDEX(Rubric!$B$14:$B$23,MATCH("other",Rubric!$A$14:$A$23,0))))</f>
        <v>5</v>
      </c>
      <c r="D24" s="25" t="n">
        <v>3</v>
      </c>
      <c r="E24" s="25" t="n">
        <v>2</v>
      </c>
      <c r="F24" s="25" t="n">
        <v>3</v>
      </c>
      <c r="G24" s="25" t="n">
        <v>4</v>
      </c>
      <c r="H24" s="25" t="s">
        <v>176</v>
      </c>
      <c r="I24" s="25" t="s">
        <v>176</v>
      </c>
      <c r="J24" s="26" t="n">
        <v>22.99</v>
      </c>
      <c r="K24" s="27" t="n">
        <v>285</v>
      </c>
      <c r="L24" s="45" t="s">
        <v>217</v>
      </c>
      <c r="M24" s="38" t="n">
        <f aca="false">IF($B24="","",IFERROR(INDEX(Rubric!$C$14:$C$23,MATCH($B24,Rubric!$A$14:$A$23,0)),INDEX(Rubric!$C$14:$C$23,MATCH("other",Rubric!$A$14:$A$23,0))))</f>
        <v>11</v>
      </c>
      <c r="N24" s="39" t="n">
        <f aca="false">IF(OR($A24="",$C24=""),"",$C24*Rubric!$B$5+$D24*Rubric!$B$6+$E24*Rubric!$B$7+$F24*Rubric!$B$8+$G24*Rubric!$B$9)</f>
        <v>3.32</v>
      </c>
      <c r="O24" s="40" t="str">
        <f aca="false">IF($A24="","",IF(OR(UPPER($H24)="Y",UPPER($I24)="Y"),"FAIL","PASS"))</f>
        <v>PASS</v>
      </c>
      <c r="P24" s="41" t="n">
        <f aca="false">IF($N24="","",Assumptions!$B$6*MAX(0.05,($N24/Assumptions!$B$11)^Assumptions!$B$12))</f>
        <v>0.0110666666666667</v>
      </c>
      <c r="Q24" s="41" t="n">
        <f aca="false">IF($P24="","",1-(1-$P24)^Assumptions!$B$7)</f>
        <v>0.0541221008619774</v>
      </c>
      <c r="R24" s="42" t="n">
        <f aca="false">IF($M24="","",$M24*Assumptions!$B$7)</f>
        <v>55</v>
      </c>
      <c r="S24" s="42" t="n">
        <f aca="false">IF(OR($J24="",$Q24="",$Q24=0),"",($J24+$R24)/($Q24*(1-Assumptions!$B$4)))</f>
        <v>1801.25121618271</v>
      </c>
      <c r="T24" s="43" t="n">
        <f aca="false">IF(OR($K24="",$S24="",$S24=0),"",$K24/$S24)</f>
        <v>0.158223349102845</v>
      </c>
      <c r="U24" s="44" t="n">
        <f aca="false">IF(OR($K24="",$Q24=""),"",MAX(0,($K24-MAX($K24*Assumptions!$B$4,Assumptions!$B$5))*$Q24-$R24))</f>
        <v>0</v>
      </c>
      <c r="V24" s="40" t="str">
        <f aca="false">IF($A24="","",IF($O24="FAIL","REJECT",IF($J24="","NEEDS PRICE",IF(OR($K24="",$L24=""),"NEEDS VALUATION",IF($T24&gt;=Assumptions!$B$13,"BUY",IF($T24&gt;=1,"MARGINAL","PASS"))))))</f>
        <v>PASS</v>
      </c>
      <c r="W24" s="25" t="s">
        <v>218</v>
      </c>
      <c r="X24" s="35" t="s">
        <v>219</v>
      </c>
    </row>
    <row r="25" customFormat="false" ht="15" hidden="false" customHeight="false" outlineLevel="0" collapsed="false">
      <c r="A25" s="22" t="s">
        <v>220</v>
      </c>
      <c r="B25" s="36" t="str">
        <f aca="false">IF($A25="","",IF(ISERROR(FIND(".",$A25)),"",LOWER(MID($A25,FIND(CHAR(1),SUBSTITUTE($A25,".",CHAR(1),LEN($A25)-LEN(SUBSTITUTE($A25,".",""))))+1,LEN($A25)))))</f>
        <v>com</v>
      </c>
      <c r="C25" s="37" t="n">
        <f aca="false">IF($B25="","",IFERROR(INDEX(Rubric!$B$14:$B$23,MATCH($B25,Rubric!$A$14:$A$23,0)),INDEX(Rubric!$B$14:$B$23,MATCH("other",Rubric!$A$14:$A$23,0))))</f>
        <v>5</v>
      </c>
      <c r="D25" s="25" t="n">
        <v>3</v>
      </c>
      <c r="E25" s="25" t="n">
        <v>2</v>
      </c>
      <c r="F25" s="25" t="n">
        <v>3</v>
      </c>
      <c r="G25" s="25" t="n">
        <v>4</v>
      </c>
      <c r="H25" s="25" t="s">
        <v>176</v>
      </c>
      <c r="I25" s="25" t="s">
        <v>176</v>
      </c>
      <c r="J25" s="26" t="n">
        <v>2788</v>
      </c>
      <c r="K25" s="27"/>
      <c r="L25" s="27"/>
      <c r="M25" s="38" t="n">
        <f aca="false">IF($B25="","",IFERROR(INDEX(Rubric!$C$14:$C$23,MATCH($B25,Rubric!$A$14:$A$23,0)),INDEX(Rubric!$C$14:$C$23,MATCH("other",Rubric!$A$14:$A$23,0))))</f>
        <v>11</v>
      </c>
      <c r="N25" s="39" t="n">
        <f aca="false">IF(OR($A25="",$C25=""),"",$C25*Rubric!$B$5+$D25*Rubric!$B$6+$E25*Rubric!$B$7+$F25*Rubric!$B$8+$G25*Rubric!$B$9)</f>
        <v>3.32</v>
      </c>
      <c r="O25" s="40" t="str">
        <f aca="false">IF($A25="","",IF(OR(UPPER($H25)="Y",UPPER($I25)="Y"),"FAIL","PASS"))</f>
        <v>PASS</v>
      </c>
      <c r="P25" s="41" t="n">
        <f aca="false">IF($N25="","",Assumptions!$B$6*MAX(0.05,($N25/Assumptions!$B$11)^Assumptions!$B$12))</f>
        <v>0.0110666666666667</v>
      </c>
      <c r="Q25" s="41" t="n">
        <f aca="false">IF($P25="","",1-(1-$P25)^Assumptions!$B$7)</f>
        <v>0.0541221008619774</v>
      </c>
      <c r="R25" s="42" t="n">
        <f aca="false">IF($M25="","",$M25*Assumptions!$B$7)</f>
        <v>55</v>
      </c>
      <c r="S25" s="42" t="n">
        <f aca="false">IF(OR($J25="",$Q25="",$Q25=0),"",($J25+$R25)/($Q25*(1-Assumptions!$B$4)))</f>
        <v>65661.7157021084</v>
      </c>
      <c r="T25" s="43" t="str">
        <f aca="false">IF(OR($K25="",$S25="",$S25=0),"",$K25/$S25)</f>
        <v/>
      </c>
      <c r="U25" s="44" t="str">
        <f aca="false">IF(OR($K25="",$Q25=""),"",MAX(0,($K25-MAX($K25*Assumptions!$B$4,Assumptions!$B$5))*$Q25-$R25))</f>
        <v/>
      </c>
      <c r="V25" s="40" t="str">
        <f aca="false">IF($A25="","",IF($O25="FAIL","REJECT",IF($J25="","NEEDS PRICE",IF(OR($K25="",$L25=""),"NEEDS VALUATION",IF($T25&gt;=Assumptions!$B$13,"BUY",IF($T25&gt;=1,"MARGINAL","PASS"))))))</f>
        <v>NEEDS VALUATION</v>
      </c>
      <c r="W25" s="25" t="s">
        <v>204</v>
      </c>
      <c r="X25" s="35" t="s">
        <v>221</v>
      </c>
    </row>
    <row r="26" customFormat="false" ht="15" hidden="false" customHeight="false" outlineLevel="0" collapsed="false">
      <c r="A26" s="22" t="s">
        <v>222</v>
      </c>
      <c r="B26" s="36" t="str">
        <f aca="false">IF($A26="","",IF(ISERROR(FIND(".",$A26)),"",LOWER(MID($A26,FIND(CHAR(1),SUBSTITUTE($A26,".",CHAR(1),LEN($A26)-LEN(SUBSTITUTE($A26,".",""))))+1,LEN($A26)))))</f>
        <v>com</v>
      </c>
      <c r="C26" s="37" t="n">
        <f aca="false">IF($B26="","",IFERROR(INDEX(Rubric!$B$14:$B$23,MATCH($B26,Rubric!$A$14:$A$23,0)),INDEX(Rubric!$B$14:$B$23,MATCH("other",Rubric!$A$14:$A$23,0))))</f>
        <v>5</v>
      </c>
      <c r="D26" s="25" t="n">
        <v>4</v>
      </c>
      <c r="E26" s="25" t="n">
        <v>3</v>
      </c>
      <c r="F26" s="25" t="n">
        <v>4</v>
      </c>
      <c r="G26" s="25" t="n">
        <v>4</v>
      </c>
      <c r="H26" s="25" t="s">
        <v>176</v>
      </c>
      <c r="I26" s="25" t="s">
        <v>176</v>
      </c>
      <c r="J26" s="26"/>
      <c r="K26" s="27"/>
      <c r="L26" s="27"/>
      <c r="M26" s="38" t="n">
        <f aca="false">IF($B26="","",IFERROR(INDEX(Rubric!$C$14:$C$23,MATCH($B26,Rubric!$A$14:$A$23,0)),INDEX(Rubric!$C$14:$C$23,MATCH("other",Rubric!$A$14:$A$23,0))))</f>
        <v>11</v>
      </c>
      <c r="N26" s="39" t="n">
        <f aca="false">IF(OR($A26="",$C26=""),"",$C26*Rubric!$B$5+$D26*Rubric!$B$6+$E26*Rubric!$B$7+$F26*Rubric!$B$8+$G26*Rubric!$B$9)</f>
        <v>4</v>
      </c>
      <c r="O26" s="40" t="str">
        <f aca="false">IF($A26="","",IF(OR(UPPER($H26)="Y",UPPER($I26)="Y"),"FAIL","PASS"))</f>
        <v>PASS</v>
      </c>
      <c r="P26" s="41" t="n">
        <f aca="false">IF($N26="","",Assumptions!$B$6*MAX(0.05,($N26/Assumptions!$B$11)^Assumptions!$B$12))</f>
        <v>0.0133333333333333</v>
      </c>
      <c r="Q26" s="41" t="n">
        <f aca="false">IF($P26="","",1-(1-$P26)^Assumptions!$B$7)</f>
        <v>0.0649124349893003</v>
      </c>
      <c r="R26" s="42" t="n">
        <f aca="false">IF($M26="","",$M26*Assumptions!$B$7)</f>
        <v>55</v>
      </c>
      <c r="S26" s="42" t="str">
        <f aca="false">IF(OR($J26="",$Q26="",$Q26=0),"",($J26+$R26)/($Q26*(1-Assumptions!$B$4)))</f>
        <v/>
      </c>
      <c r="T26" s="43" t="str">
        <f aca="false">IF(OR($K26="",$S26="",$S26=0),"",$K26/$S26)</f>
        <v/>
      </c>
      <c r="U26" s="44" t="str">
        <f aca="false">IF(OR($K26="",$Q26=""),"",MAX(0,($K26-MAX($K26*Assumptions!$B$4,Assumptions!$B$5))*$Q26-$R26))</f>
        <v/>
      </c>
      <c r="V26" s="40" t="str">
        <f aca="false">IF($A26="","",IF($O26="FAIL","REJECT",IF($J26="","NEEDS PRICE",IF(OR($K26="",$L26=""),"NEEDS VALUATION",IF($T26&gt;=Assumptions!$B$13,"BUY",IF($T26&gt;=1,"MARGINAL","PASS"))))))</f>
        <v>NEEDS PRICE</v>
      </c>
      <c r="W26" s="25" t="s">
        <v>177</v>
      </c>
      <c r="X26" s="35" t="s">
        <v>223</v>
      </c>
    </row>
    <row r="27" customFormat="false" ht="15" hidden="false" customHeight="false" outlineLevel="0" collapsed="false">
      <c r="A27" s="22" t="s">
        <v>224</v>
      </c>
      <c r="B27" s="36" t="str">
        <f aca="false">IF($A27="","",IF(ISERROR(FIND(".",$A27)),"",LOWER(MID($A27,FIND(CHAR(1),SUBSTITUTE($A27,".",CHAR(1),LEN($A27)-LEN(SUBSTITUTE($A27,".",""))))+1,LEN($A27)))))</f>
        <v>com</v>
      </c>
      <c r="C27" s="37" t="n">
        <f aca="false">IF($B27="","",IFERROR(INDEX(Rubric!$B$14:$B$23,MATCH($B27,Rubric!$A$14:$A$23,0)),INDEX(Rubric!$B$14:$B$23,MATCH("other",Rubric!$A$14:$A$23,0))))</f>
        <v>5</v>
      </c>
      <c r="D27" s="25" t="n">
        <v>3</v>
      </c>
      <c r="E27" s="25" t="n">
        <v>2</v>
      </c>
      <c r="F27" s="25" t="n">
        <v>4</v>
      </c>
      <c r="G27" s="25" t="n">
        <v>4</v>
      </c>
      <c r="H27" s="25" t="s">
        <v>176</v>
      </c>
      <c r="I27" s="25" t="s">
        <v>176</v>
      </c>
      <c r="J27" s="26" t="n">
        <v>22.99</v>
      </c>
      <c r="K27" s="27"/>
      <c r="L27" s="27"/>
      <c r="M27" s="38" t="n">
        <f aca="false">IF($B27="","",IFERROR(INDEX(Rubric!$C$14:$C$23,MATCH($B27,Rubric!$A$14:$A$23,0)),INDEX(Rubric!$C$14:$C$23,MATCH("other",Rubric!$A$14:$A$23,0))))</f>
        <v>11</v>
      </c>
      <c r="N27" s="39" t="n">
        <f aca="false">IF(OR($A27="",$C27=""),"",$C27*Rubric!$B$5+$D27*Rubric!$B$6+$E27*Rubric!$B$7+$F27*Rubric!$B$8+$G27*Rubric!$B$9)</f>
        <v>3.48</v>
      </c>
      <c r="O27" s="40" t="str">
        <f aca="false">IF($A27="","",IF(OR(UPPER($H27)="Y",UPPER($I27)="Y"),"FAIL","PASS"))</f>
        <v>PASS</v>
      </c>
      <c r="P27" s="41" t="n">
        <f aca="false">IF($N27="","",Assumptions!$B$6*MAX(0.05,($N27/Assumptions!$B$11)^Assumptions!$B$12))</f>
        <v>0.0116</v>
      </c>
      <c r="Q27" s="41" t="n">
        <f aca="false">IF($P27="","",1-(1-$P27)^Assumptions!$B$7)</f>
        <v>0.0566699186380665</v>
      </c>
      <c r="R27" s="42" t="n">
        <f aca="false">IF($M27="","",$M27*Assumptions!$B$7)</f>
        <v>55</v>
      </c>
      <c r="S27" s="42" t="n">
        <f aca="false">IF(OR($J27="",$Q27="",$Q27=0),"",($J27+$R27)/($Q27*(1-Assumptions!$B$4)))</f>
        <v>1720.26892472924</v>
      </c>
      <c r="T27" s="43" t="str">
        <f aca="false">IF(OR($K27="",$S27="",$S27=0),"",$K27/$S27)</f>
        <v/>
      </c>
      <c r="U27" s="44" t="str">
        <f aca="false">IF(OR($K27="",$Q27=""),"",MAX(0,($K27-MAX($K27*Assumptions!$B$4,Assumptions!$B$5))*$Q27-$R27))</f>
        <v/>
      </c>
      <c r="V27" s="40" t="str">
        <f aca="false">IF($A27="","",IF($O27="FAIL","REJECT",IF($J27="","NEEDS PRICE",IF(OR($K27="",$L27=""),"NEEDS VALUATION",IF($T27&gt;=Assumptions!$B$13,"BUY",IF($T27&gt;=1,"MARGINAL","PASS"))))))</f>
        <v>NEEDS VALUATION</v>
      </c>
      <c r="W27" s="25" t="s">
        <v>218</v>
      </c>
      <c r="X27" s="35" t="s">
        <v>225</v>
      </c>
    </row>
    <row r="28" customFormat="false" ht="15" hidden="false" customHeight="false" outlineLevel="0" collapsed="false">
      <c r="A28" s="22" t="s">
        <v>226</v>
      </c>
      <c r="B28" s="36" t="str">
        <f aca="false">IF($A28="","",IF(ISERROR(FIND(".",$A28)),"",LOWER(MID($A28,FIND(CHAR(1),SUBSTITUTE($A28,".",CHAR(1),LEN($A28)-LEN(SUBSTITUTE($A28,".",""))))+1,LEN($A28)))))</f>
        <v>com</v>
      </c>
      <c r="C28" s="37" t="n">
        <f aca="false">IF($B28="","",IFERROR(INDEX(Rubric!$B$14:$B$23,MATCH($B28,Rubric!$A$14:$A$23,0)),INDEX(Rubric!$B$14:$B$23,MATCH("other",Rubric!$A$14:$A$23,0))))</f>
        <v>5</v>
      </c>
      <c r="D28" s="25" t="n">
        <v>3</v>
      </c>
      <c r="E28" s="25" t="n">
        <v>2</v>
      </c>
      <c r="F28" s="25" t="n">
        <v>3</v>
      </c>
      <c r="G28" s="25" t="n">
        <v>4</v>
      </c>
      <c r="H28" s="25" t="s">
        <v>176</v>
      </c>
      <c r="I28" s="25" t="s">
        <v>176</v>
      </c>
      <c r="J28" s="26"/>
      <c r="K28" s="27"/>
      <c r="L28" s="27"/>
      <c r="M28" s="38" t="n">
        <f aca="false">IF($B28="","",IFERROR(INDEX(Rubric!$C$14:$C$23,MATCH($B28,Rubric!$A$14:$A$23,0)),INDEX(Rubric!$C$14:$C$23,MATCH("other",Rubric!$A$14:$A$23,0))))</f>
        <v>11</v>
      </c>
      <c r="N28" s="39" t="n">
        <f aca="false">IF(OR($A28="",$C28=""),"",$C28*Rubric!$B$5+$D28*Rubric!$B$6+$E28*Rubric!$B$7+$F28*Rubric!$B$8+$G28*Rubric!$B$9)</f>
        <v>3.32</v>
      </c>
      <c r="O28" s="40" t="str">
        <f aca="false">IF($A28="","",IF(OR(UPPER($H28)="Y",UPPER($I28)="Y"),"FAIL","PASS"))</f>
        <v>PASS</v>
      </c>
      <c r="P28" s="41" t="n">
        <f aca="false">IF($N28="","",Assumptions!$B$6*MAX(0.05,($N28/Assumptions!$B$11)^Assumptions!$B$12))</f>
        <v>0.0110666666666667</v>
      </c>
      <c r="Q28" s="41" t="n">
        <f aca="false">IF($P28="","",1-(1-$P28)^Assumptions!$B$7)</f>
        <v>0.0541221008619774</v>
      </c>
      <c r="R28" s="42" t="n">
        <f aca="false">IF($M28="","",$M28*Assumptions!$B$7)</f>
        <v>55</v>
      </c>
      <c r="S28" s="42" t="str">
        <f aca="false">IF(OR($J28="",$Q28="",$Q28=0),"",($J28+$R28)/($Q28*(1-Assumptions!$B$4)))</f>
        <v/>
      </c>
      <c r="T28" s="43" t="str">
        <f aca="false">IF(OR($K28="",$S28="",$S28=0),"",$K28/$S28)</f>
        <v/>
      </c>
      <c r="U28" s="44" t="str">
        <f aca="false">IF(OR($K28="",$Q28=""),"",MAX(0,($K28-MAX($K28*Assumptions!$B$4,Assumptions!$B$5))*$Q28-$R28))</f>
        <v/>
      </c>
      <c r="V28" s="40" t="str">
        <f aca="false">IF($A28="","",IF($O28="FAIL","REJECT",IF($J28="","NEEDS PRICE",IF(OR($K28="",$L28=""),"NEEDS VALUATION",IF($T28&gt;=Assumptions!$B$13,"BUY",IF($T28&gt;=1,"MARGINAL","PASS"))))))</f>
        <v>NEEDS PRICE</v>
      </c>
      <c r="W28" s="25" t="s">
        <v>177</v>
      </c>
      <c r="X28" s="35" t="s">
        <v>227</v>
      </c>
    </row>
    <row r="29" customFormat="false" ht="15" hidden="false" customHeight="false" outlineLevel="0" collapsed="false">
      <c r="A29" s="22" t="s">
        <v>228</v>
      </c>
      <c r="B29" s="36" t="str">
        <f aca="false">IF($A29="","",IF(ISERROR(FIND(".",$A29)),"",LOWER(MID($A29,FIND(CHAR(1),SUBSTITUTE($A29,".",CHAR(1),LEN($A29)-LEN(SUBSTITUTE($A29,".",""))))+1,LEN($A29)))))</f>
        <v>com</v>
      </c>
      <c r="C29" s="37" t="n">
        <f aca="false">IF($B29="","",IFERROR(INDEX(Rubric!$B$14:$B$23,MATCH($B29,Rubric!$A$14:$A$23,0)),INDEX(Rubric!$B$14:$B$23,MATCH("other",Rubric!$A$14:$A$23,0))))</f>
        <v>5</v>
      </c>
      <c r="D29" s="25" t="n">
        <v>3</v>
      </c>
      <c r="E29" s="25" t="n">
        <v>2</v>
      </c>
      <c r="F29" s="25" t="n">
        <v>4</v>
      </c>
      <c r="G29" s="25" t="n">
        <v>4</v>
      </c>
      <c r="H29" s="25" t="s">
        <v>176</v>
      </c>
      <c r="I29" s="25" t="s">
        <v>176</v>
      </c>
      <c r="J29" s="26" t="n">
        <v>18800</v>
      </c>
      <c r="K29" s="27"/>
      <c r="L29" s="27"/>
      <c r="M29" s="38" t="n">
        <f aca="false">IF($B29="","",IFERROR(INDEX(Rubric!$C$14:$C$23,MATCH($B29,Rubric!$A$14:$A$23,0)),INDEX(Rubric!$C$14:$C$23,MATCH("other",Rubric!$A$14:$A$23,0))))</f>
        <v>11</v>
      </c>
      <c r="N29" s="39" t="n">
        <f aca="false">IF(OR($A29="",$C29=""),"",$C29*Rubric!$B$5+$D29*Rubric!$B$6+$E29*Rubric!$B$7+$F29*Rubric!$B$8+$G29*Rubric!$B$9)</f>
        <v>3.48</v>
      </c>
      <c r="O29" s="40" t="str">
        <f aca="false">IF($A29="","",IF(OR(UPPER($H29)="Y",UPPER($I29)="Y"),"FAIL","PASS"))</f>
        <v>PASS</v>
      </c>
      <c r="P29" s="41" t="n">
        <f aca="false">IF($N29="","",Assumptions!$B$6*MAX(0.05,($N29/Assumptions!$B$11)^Assumptions!$B$12))</f>
        <v>0.0116</v>
      </c>
      <c r="Q29" s="41" t="n">
        <f aca="false">IF($P29="","",1-(1-$P29)^Assumptions!$B$7)</f>
        <v>0.0566699186380665</v>
      </c>
      <c r="R29" s="42" t="n">
        <f aca="false">IF($M29="","",$M29*Assumptions!$B$7)</f>
        <v>55</v>
      </c>
      <c r="S29" s="42" t="n">
        <f aca="false">IF(OR($J29="",$Q29="",$Q29=0),"",($J29+$R29)/($Q29*(1-Assumptions!$B$4)))</f>
        <v>415895.25036248</v>
      </c>
      <c r="T29" s="43" t="str">
        <f aca="false">IF(OR($K29="",$S29="",$S29=0),"",$K29/$S29)</f>
        <v/>
      </c>
      <c r="U29" s="44" t="str">
        <f aca="false">IF(OR($K29="",$Q29=""),"",MAX(0,($K29-MAX($K29*Assumptions!$B$4,Assumptions!$B$5))*$Q29-$R29))</f>
        <v/>
      </c>
      <c r="V29" s="40" t="str">
        <f aca="false">IF($A29="","",IF($O29="FAIL","REJECT",IF($J29="","NEEDS PRICE",IF(OR($K29="",$L29=""),"NEEDS VALUATION",IF($T29&gt;=Assumptions!$B$13,"BUY",IF($T29&gt;=1,"MARGINAL","PASS"))))))</f>
        <v>NEEDS VALUATION</v>
      </c>
      <c r="W29" s="25" t="s">
        <v>204</v>
      </c>
      <c r="X29" s="35" t="s">
        <v>229</v>
      </c>
    </row>
    <row r="30" customFormat="false" ht="15" hidden="false" customHeight="false" outlineLevel="0" collapsed="false">
      <c r="A30" s="22" t="s">
        <v>230</v>
      </c>
      <c r="B30" s="36" t="str">
        <f aca="false">IF($A30="","",IF(ISERROR(FIND(".",$A30)),"",LOWER(MID($A30,FIND(CHAR(1),SUBSTITUTE($A30,".",CHAR(1),LEN($A30)-LEN(SUBSTITUTE($A30,".",""))))+1,LEN($A30)))))</f>
        <v>com</v>
      </c>
      <c r="C30" s="37" t="n">
        <f aca="false">IF($B30="","",IFERROR(INDEX(Rubric!$B$14:$B$23,MATCH($B30,Rubric!$A$14:$A$23,0)),INDEX(Rubric!$B$14:$B$23,MATCH("other",Rubric!$A$14:$A$23,0))))</f>
        <v>5</v>
      </c>
      <c r="D30" s="25" t="n">
        <v>4</v>
      </c>
      <c r="E30" s="25" t="n">
        <v>3</v>
      </c>
      <c r="F30" s="25" t="n">
        <v>4</v>
      </c>
      <c r="G30" s="25" t="n">
        <v>5</v>
      </c>
      <c r="H30" s="25" t="s">
        <v>176</v>
      </c>
      <c r="I30" s="25" t="s">
        <v>176</v>
      </c>
      <c r="J30" s="26"/>
      <c r="K30" s="27"/>
      <c r="L30" s="27"/>
      <c r="M30" s="38" t="n">
        <f aca="false">IF($B30="","",IFERROR(INDEX(Rubric!$C$14:$C$23,MATCH($B30,Rubric!$A$14:$A$23,0)),INDEX(Rubric!$C$14:$C$23,MATCH("other",Rubric!$A$14:$A$23,0))))</f>
        <v>11</v>
      </c>
      <c r="N30" s="39" t="n">
        <f aca="false">IF(OR($A30="",$C30=""),"",$C30*Rubric!$B$5+$D30*Rubric!$B$6+$E30*Rubric!$B$7+$F30*Rubric!$B$8+$G30*Rubric!$B$9)</f>
        <v>4.1</v>
      </c>
      <c r="O30" s="40" t="str">
        <f aca="false">IF($A30="","",IF(OR(UPPER($H30)="Y",UPPER($I30)="Y"),"FAIL","PASS"))</f>
        <v>PASS</v>
      </c>
      <c r="P30" s="41" t="n">
        <f aca="false">IF($N30="","",Assumptions!$B$6*MAX(0.05,($N30/Assumptions!$B$11)^Assumptions!$B$12))</f>
        <v>0.0136666666666667</v>
      </c>
      <c r="Q30" s="41" t="n">
        <f aca="false">IF($P30="","",1-(1-$P30)^Assumptions!$B$7)</f>
        <v>0.0664909078989352</v>
      </c>
      <c r="R30" s="42" t="n">
        <f aca="false">IF($M30="","",$M30*Assumptions!$B$7)</f>
        <v>55</v>
      </c>
      <c r="S30" s="42" t="str">
        <f aca="false">IF(OR($J30="",$Q30="",$Q30=0),"",($J30+$R30)/($Q30*(1-Assumptions!$B$4)))</f>
        <v/>
      </c>
      <c r="T30" s="43" t="str">
        <f aca="false">IF(OR($K30="",$S30="",$S30=0),"",$K30/$S30)</f>
        <v/>
      </c>
      <c r="U30" s="44" t="str">
        <f aca="false">IF(OR($K30="",$Q30=""),"",MAX(0,($K30-MAX($K30*Assumptions!$B$4,Assumptions!$B$5))*$Q30-$R30))</f>
        <v/>
      </c>
      <c r="V30" s="40" t="str">
        <f aca="false">IF($A30="","",IF($O30="FAIL","REJECT",IF($J30="","NEEDS PRICE",IF(OR($K30="",$L30=""),"NEEDS VALUATION",IF($T30&gt;=Assumptions!$B$13,"BUY",IF($T30&gt;=1,"MARGINAL","PASS"))))))</f>
        <v>NEEDS PRICE</v>
      </c>
      <c r="W30" s="25" t="s">
        <v>177</v>
      </c>
      <c r="X30" s="35" t="s">
        <v>231</v>
      </c>
    </row>
    <row r="31" customFormat="false" ht="15" hidden="false" customHeight="false" outlineLevel="0" collapsed="false">
      <c r="A31" s="22" t="s">
        <v>232</v>
      </c>
      <c r="B31" s="36" t="str">
        <f aca="false">IF($A31="","",IF(ISERROR(FIND(".",$A31)),"",LOWER(MID($A31,FIND(CHAR(1),SUBSTITUTE($A31,".",CHAR(1),LEN($A31)-LEN(SUBSTITUTE($A31,".",""))))+1,LEN($A31)))))</f>
        <v>com</v>
      </c>
      <c r="C31" s="37" t="n">
        <f aca="false">IF($B31="","",IFERROR(INDEX(Rubric!$B$14:$B$23,MATCH($B31,Rubric!$A$14:$A$23,0)),INDEX(Rubric!$B$14:$B$23,MATCH("other",Rubric!$A$14:$A$23,0))))</f>
        <v>5</v>
      </c>
      <c r="D31" s="25" t="n">
        <v>3</v>
      </c>
      <c r="E31" s="25" t="n">
        <v>2</v>
      </c>
      <c r="F31" s="25" t="n">
        <v>3</v>
      </c>
      <c r="G31" s="25" t="n">
        <v>3</v>
      </c>
      <c r="H31" s="25" t="s">
        <v>176</v>
      </c>
      <c r="I31" s="25" t="s">
        <v>176</v>
      </c>
      <c r="J31" s="26" t="n">
        <v>22.99</v>
      </c>
      <c r="K31" s="27"/>
      <c r="L31" s="27"/>
      <c r="M31" s="38" t="n">
        <f aca="false">IF($B31="","",IFERROR(INDEX(Rubric!$C$14:$C$23,MATCH($B31,Rubric!$A$14:$A$23,0)),INDEX(Rubric!$C$14:$C$23,MATCH("other",Rubric!$A$14:$A$23,0))))</f>
        <v>11</v>
      </c>
      <c r="N31" s="39" t="n">
        <f aca="false">IF(OR($A31="",$C31=""),"",$C31*Rubric!$B$5+$D31*Rubric!$B$6+$E31*Rubric!$B$7+$F31*Rubric!$B$8+$G31*Rubric!$B$9)</f>
        <v>3.22</v>
      </c>
      <c r="O31" s="40" t="str">
        <f aca="false">IF($A31="","",IF(OR(UPPER($H31)="Y",UPPER($I31)="Y"),"FAIL","PASS"))</f>
        <v>PASS</v>
      </c>
      <c r="P31" s="41" t="n">
        <f aca="false">IF($N31="","",Assumptions!$B$6*MAX(0.05,($N31/Assumptions!$B$11)^Assumptions!$B$12))</f>
        <v>0.0107333333333333</v>
      </c>
      <c r="Q31" s="41" t="n">
        <f aca="false">IF($P31="","",1-(1-$P31)^Assumptions!$B$7)</f>
        <v>0.0525269212813928</v>
      </c>
      <c r="R31" s="42" t="n">
        <f aca="false">IF($M31="","",$M31*Assumptions!$B$7)</f>
        <v>55</v>
      </c>
      <c r="S31" s="42" t="n">
        <f aca="false">IF(OR($J31="",$Q31="",$Q31=0),"",($J31+$R31)/($Q31*(1-Assumptions!$B$4)))</f>
        <v>1855.95305458221</v>
      </c>
      <c r="T31" s="43" t="str">
        <f aca="false">IF(OR($K31="",$S31="",$S31=0),"",$K31/$S31)</f>
        <v/>
      </c>
      <c r="U31" s="44" t="str">
        <f aca="false">IF(OR($K31="",$Q31=""),"",MAX(0,($K31-MAX($K31*Assumptions!$B$4,Assumptions!$B$5))*$Q31-$R31))</f>
        <v/>
      </c>
      <c r="V31" s="40" t="str">
        <f aca="false">IF($A31="","",IF($O31="FAIL","REJECT",IF($J31="","NEEDS PRICE",IF(OR($K31="",$L31=""),"NEEDS VALUATION",IF($T31&gt;=Assumptions!$B$13,"BUY",IF($T31&gt;=1,"MARGINAL","PASS"))))))</f>
        <v>NEEDS VALUATION</v>
      </c>
      <c r="W31" s="25" t="s">
        <v>218</v>
      </c>
      <c r="X31" s="35" t="s">
        <v>233</v>
      </c>
    </row>
    <row r="32" customFormat="false" ht="15" hidden="false" customHeight="false" outlineLevel="0" collapsed="false">
      <c r="A32" s="22" t="s">
        <v>234</v>
      </c>
      <c r="B32" s="36" t="str">
        <f aca="false">IF($A32="","",IF(ISERROR(FIND(".",$A32)),"",LOWER(MID($A32,FIND(CHAR(1),SUBSTITUTE($A32,".",CHAR(1),LEN($A32)-LEN(SUBSTITUTE($A32,".",""))))+1,LEN($A32)))))</f>
        <v>com</v>
      </c>
      <c r="C32" s="37" t="n">
        <f aca="false">IF($B32="","",IFERROR(INDEX(Rubric!$B$14:$B$23,MATCH($B32,Rubric!$A$14:$A$23,0)),INDEX(Rubric!$B$14:$B$23,MATCH("other",Rubric!$A$14:$A$23,0))))</f>
        <v>5</v>
      </c>
      <c r="D32" s="25" t="n">
        <v>3</v>
      </c>
      <c r="E32" s="25" t="n">
        <v>2</v>
      </c>
      <c r="F32" s="25" t="n">
        <v>4</v>
      </c>
      <c r="G32" s="25" t="n">
        <v>3</v>
      </c>
      <c r="H32" s="25" t="s">
        <v>176</v>
      </c>
      <c r="I32" s="25" t="s">
        <v>176</v>
      </c>
      <c r="J32" s="26" t="n">
        <v>22.99</v>
      </c>
      <c r="K32" s="27"/>
      <c r="L32" s="27"/>
      <c r="M32" s="38" t="n">
        <f aca="false">IF($B32="","",IFERROR(INDEX(Rubric!$C$14:$C$23,MATCH($B32,Rubric!$A$14:$A$23,0)),INDEX(Rubric!$C$14:$C$23,MATCH("other",Rubric!$A$14:$A$23,0))))</f>
        <v>11</v>
      </c>
      <c r="N32" s="39" t="n">
        <f aca="false">IF(OR($A32="",$C32=""),"",$C32*Rubric!$B$5+$D32*Rubric!$B$6+$E32*Rubric!$B$7+$F32*Rubric!$B$8+$G32*Rubric!$B$9)</f>
        <v>3.38</v>
      </c>
      <c r="O32" s="40" t="str">
        <f aca="false">IF($A32="","",IF(OR(UPPER($H32)="Y",UPPER($I32)="Y"),"FAIL","PASS"))</f>
        <v>PASS</v>
      </c>
      <c r="P32" s="41" t="n">
        <f aca="false">IF($N32="","",Assumptions!$B$6*MAX(0.05,($N32/Assumptions!$B$11)^Assumptions!$B$12))</f>
        <v>0.0112666666666667</v>
      </c>
      <c r="Q32" s="41" t="n">
        <f aca="false">IF($P32="","",1-(1-$P32)^Assumptions!$B$7)</f>
        <v>0.0550781768273967</v>
      </c>
      <c r="R32" s="42" t="n">
        <f aca="false">IF($M32="","",$M32*Assumptions!$B$7)</f>
        <v>55</v>
      </c>
      <c r="S32" s="42" t="n">
        <f aca="false">IF(OR($J32="",$Q32="",$Q32=0),"",($J32+$R32)/($Q32*(1-Assumptions!$B$4)))</f>
        <v>1769.98415008371</v>
      </c>
      <c r="T32" s="43" t="str">
        <f aca="false">IF(OR($K32="",$S32="",$S32=0),"",$K32/$S32)</f>
        <v/>
      </c>
      <c r="U32" s="44" t="str">
        <f aca="false">IF(OR($K32="",$Q32=""),"",MAX(0,($K32-MAX($K32*Assumptions!$B$4,Assumptions!$B$5))*$Q32-$R32))</f>
        <v/>
      </c>
      <c r="V32" s="40" t="str">
        <f aca="false">IF($A32="","",IF($O32="FAIL","REJECT",IF($J32="","NEEDS PRICE",IF(OR($K32="",$L32=""),"NEEDS VALUATION",IF($T32&gt;=Assumptions!$B$13,"BUY",IF($T32&gt;=1,"MARGINAL","PASS"))))))</f>
        <v>NEEDS VALUATION</v>
      </c>
      <c r="W32" s="25" t="s">
        <v>218</v>
      </c>
      <c r="X32" s="35" t="s">
        <v>235</v>
      </c>
    </row>
    <row r="33" customFormat="false" ht="15" hidden="false" customHeight="false" outlineLevel="0" collapsed="false">
      <c r="A33" s="22" t="s">
        <v>236</v>
      </c>
      <c r="B33" s="36" t="str">
        <f aca="false">IF($A33="","",IF(ISERROR(FIND(".",$A33)),"",LOWER(MID($A33,FIND(CHAR(1),SUBSTITUTE($A33,".",CHAR(1),LEN($A33)-LEN(SUBSTITUTE($A33,".",""))))+1,LEN($A33)))))</f>
        <v>com</v>
      </c>
      <c r="C33" s="37" t="n">
        <f aca="false">IF($B33="","",IFERROR(INDEX(Rubric!$B$14:$B$23,MATCH($B33,Rubric!$A$14:$A$23,0)),INDEX(Rubric!$B$14:$B$23,MATCH("other",Rubric!$A$14:$A$23,0))))</f>
        <v>5</v>
      </c>
      <c r="D33" s="25" t="n">
        <v>5</v>
      </c>
      <c r="E33" s="25" t="n">
        <v>3</v>
      </c>
      <c r="F33" s="25" t="n">
        <v>4</v>
      </c>
      <c r="G33" s="25" t="n">
        <v>5</v>
      </c>
      <c r="H33" s="25" t="s">
        <v>176</v>
      </c>
      <c r="I33" s="25" t="s">
        <v>176</v>
      </c>
      <c r="J33" s="26"/>
      <c r="K33" s="27"/>
      <c r="L33" s="27"/>
      <c r="M33" s="38" t="n">
        <f aca="false">IF($B33="","",IFERROR(INDEX(Rubric!$C$14:$C$23,MATCH($B33,Rubric!$A$14:$A$23,0)),INDEX(Rubric!$C$14:$C$23,MATCH("other",Rubric!$A$14:$A$23,0))))</f>
        <v>11</v>
      </c>
      <c r="N33" s="39" t="n">
        <f aca="false">IF(OR($A33="",$C33=""),"",$C33*Rubric!$B$5+$D33*Rubric!$B$6+$E33*Rubric!$B$7+$F33*Rubric!$B$8+$G33*Rubric!$B$9)</f>
        <v>4.4</v>
      </c>
      <c r="O33" s="40" t="str">
        <f aca="false">IF($A33="","",IF(OR(UPPER($H33)="Y",UPPER($I33)="Y"),"FAIL","PASS"))</f>
        <v>PASS</v>
      </c>
      <c r="P33" s="41" t="n">
        <f aca="false">IF($N33="","",Assumptions!$B$6*MAX(0.05,($N33/Assumptions!$B$11)^Assumptions!$B$12))</f>
        <v>0.0146666666666667</v>
      </c>
      <c r="Q33" s="41" t="n">
        <f aca="false">IF($P33="","",1-(1-$P33)^Assumptions!$B$7)</f>
        <v>0.0712135411665691</v>
      </c>
      <c r="R33" s="42" t="n">
        <f aca="false">IF($M33="","",$M33*Assumptions!$B$7)</f>
        <v>55</v>
      </c>
      <c r="S33" s="42" t="str">
        <f aca="false">IF(OR($J33="",$Q33="",$Q33=0),"",($J33+$R33)/($Q33*(1-Assumptions!$B$4)))</f>
        <v/>
      </c>
      <c r="T33" s="43" t="str">
        <f aca="false">IF(OR($K33="",$S33="",$S33=0),"",$K33/$S33)</f>
        <v/>
      </c>
      <c r="U33" s="44" t="str">
        <f aca="false">IF(OR($K33="",$Q33=""),"",MAX(0,($K33-MAX($K33*Assumptions!$B$4,Assumptions!$B$5))*$Q33-$R33))</f>
        <v/>
      </c>
      <c r="V33" s="40" t="str">
        <f aca="false">IF($A33="","",IF($O33="FAIL","REJECT",IF($J33="","NEEDS PRICE",IF(OR($K33="",$L33=""),"NEEDS VALUATION",IF($T33&gt;=Assumptions!$B$13,"BUY",IF($T33&gt;=1,"MARGINAL","PASS"))))))</f>
        <v>NEEDS PRICE</v>
      </c>
      <c r="W33" s="25" t="s">
        <v>177</v>
      </c>
      <c r="X33" s="35" t="s">
        <v>237</v>
      </c>
    </row>
    <row r="34" customFormat="false" ht="15" hidden="false" customHeight="false" outlineLevel="0" collapsed="false">
      <c r="A34" s="22" t="s">
        <v>238</v>
      </c>
      <c r="B34" s="36" t="str">
        <f aca="false">IF($A34="","",IF(ISERROR(FIND(".",$A34)),"",LOWER(MID($A34,FIND(CHAR(1),SUBSTITUTE($A34,".",CHAR(1),LEN($A34)-LEN(SUBSTITUTE($A34,".",""))))+1,LEN($A34)))))</f>
        <v>com</v>
      </c>
      <c r="C34" s="37" t="n">
        <f aca="false">IF($B34="","",IFERROR(INDEX(Rubric!$B$14:$B$23,MATCH($B34,Rubric!$A$14:$A$23,0)),INDEX(Rubric!$B$14:$B$23,MATCH("other",Rubric!$A$14:$A$23,0))))</f>
        <v>5</v>
      </c>
      <c r="D34" s="25" t="n">
        <v>5</v>
      </c>
      <c r="E34" s="25" t="n">
        <v>3</v>
      </c>
      <c r="F34" s="25" t="n">
        <v>4</v>
      </c>
      <c r="G34" s="25" t="n">
        <v>5</v>
      </c>
      <c r="H34" s="25" t="s">
        <v>176</v>
      </c>
      <c r="I34" s="25" t="s">
        <v>176</v>
      </c>
      <c r="J34" s="26"/>
      <c r="K34" s="27"/>
      <c r="L34" s="27"/>
      <c r="M34" s="38" t="n">
        <f aca="false">IF($B34="","",IFERROR(INDEX(Rubric!$C$14:$C$23,MATCH($B34,Rubric!$A$14:$A$23,0)),INDEX(Rubric!$C$14:$C$23,MATCH("other",Rubric!$A$14:$A$23,0))))</f>
        <v>11</v>
      </c>
      <c r="N34" s="39" t="n">
        <f aca="false">IF(OR($A34="",$C34=""),"",$C34*Rubric!$B$5+$D34*Rubric!$B$6+$E34*Rubric!$B$7+$F34*Rubric!$B$8+$G34*Rubric!$B$9)</f>
        <v>4.4</v>
      </c>
      <c r="O34" s="40" t="str">
        <f aca="false">IF($A34="","",IF(OR(UPPER($H34)="Y",UPPER($I34)="Y"),"FAIL","PASS"))</f>
        <v>PASS</v>
      </c>
      <c r="P34" s="41" t="n">
        <f aca="false">IF($N34="","",Assumptions!$B$6*MAX(0.05,($N34/Assumptions!$B$11)^Assumptions!$B$12))</f>
        <v>0.0146666666666667</v>
      </c>
      <c r="Q34" s="41" t="n">
        <f aca="false">IF($P34="","",1-(1-$P34)^Assumptions!$B$7)</f>
        <v>0.0712135411665691</v>
      </c>
      <c r="R34" s="42" t="n">
        <f aca="false">IF($M34="","",$M34*Assumptions!$B$7)</f>
        <v>55</v>
      </c>
      <c r="S34" s="42" t="str">
        <f aca="false">IF(OR($J34="",$Q34="",$Q34=0),"",($J34+$R34)/($Q34*(1-Assumptions!$B$4)))</f>
        <v/>
      </c>
      <c r="T34" s="43" t="str">
        <f aca="false">IF(OR($K34="",$S34="",$S34=0),"",$K34/$S34)</f>
        <v/>
      </c>
      <c r="U34" s="44" t="str">
        <f aca="false">IF(OR($K34="",$Q34=""),"",MAX(0,($K34-MAX($K34*Assumptions!$B$4,Assumptions!$B$5))*$Q34-$R34))</f>
        <v/>
      </c>
      <c r="V34" s="40" t="str">
        <f aca="false">IF($A34="","",IF($O34="FAIL","REJECT",IF($J34="","NEEDS PRICE",IF(OR($K34="",$L34=""),"NEEDS VALUATION",IF($T34&gt;=Assumptions!$B$13,"BUY",IF($T34&gt;=1,"MARGINAL","PASS"))))))</f>
        <v>NEEDS PRICE</v>
      </c>
      <c r="W34" s="25" t="s">
        <v>177</v>
      </c>
      <c r="X34" s="35" t="s">
        <v>239</v>
      </c>
    </row>
    <row r="35" customFormat="false" ht="15" hidden="false" customHeight="false" outlineLevel="0" collapsed="false">
      <c r="A35" s="22" t="s">
        <v>240</v>
      </c>
      <c r="B35" s="36" t="str">
        <f aca="false">IF($A35="","",IF(ISERROR(FIND(".",$A35)),"",LOWER(MID($A35,FIND(CHAR(1),SUBSTITUTE($A35,".",CHAR(1),LEN($A35)-LEN(SUBSTITUTE($A35,".",""))))+1,LEN($A35)))))</f>
        <v>com</v>
      </c>
      <c r="C35" s="37" t="n">
        <f aca="false">IF($B35="","",IFERROR(INDEX(Rubric!$B$14:$B$23,MATCH($B35,Rubric!$A$14:$A$23,0)),INDEX(Rubric!$B$14:$B$23,MATCH("other",Rubric!$A$14:$A$23,0))))</f>
        <v>5</v>
      </c>
      <c r="D35" s="25" t="n">
        <v>5</v>
      </c>
      <c r="E35" s="25" t="n">
        <v>3</v>
      </c>
      <c r="F35" s="25" t="n">
        <v>4</v>
      </c>
      <c r="G35" s="25" t="n">
        <v>5</v>
      </c>
      <c r="H35" s="25" t="s">
        <v>176</v>
      </c>
      <c r="I35" s="25" t="s">
        <v>176</v>
      </c>
      <c r="J35" s="26"/>
      <c r="K35" s="27"/>
      <c r="L35" s="27"/>
      <c r="M35" s="38" t="n">
        <f aca="false">IF($B35="","",IFERROR(INDEX(Rubric!$C$14:$C$23,MATCH($B35,Rubric!$A$14:$A$23,0)),INDEX(Rubric!$C$14:$C$23,MATCH("other",Rubric!$A$14:$A$23,0))))</f>
        <v>11</v>
      </c>
      <c r="N35" s="39" t="n">
        <f aca="false">IF(OR($A35="",$C35=""),"",$C35*Rubric!$B$5+$D35*Rubric!$B$6+$E35*Rubric!$B$7+$F35*Rubric!$B$8+$G35*Rubric!$B$9)</f>
        <v>4.4</v>
      </c>
      <c r="O35" s="40" t="str">
        <f aca="false">IF($A35="","",IF(OR(UPPER($H35)="Y",UPPER($I35)="Y"),"FAIL","PASS"))</f>
        <v>PASS</v>
      </c>
      <c r="P35" s="41" t="n">
        <f aca="false">IF($N35="","",Assumptions!$B$6*MAX(0.05,($N35/Assumptions!$B$11)^Assumptions!$B$12))</f>
        <v>0.0146666666666667</v>
      </c>
      <c r="Q35" s="41" t="n">
        <f aca="false">IF($P35="","",1-(1-$P35)^Assumptions!$B$7)</f>
        <v>0.0712135411665691</v>
      </c>
      <c r="R35" s="42" t="n">
        <f aca="false">IF($M35="","",$M35*Assumptions!$B$7)</f>
        <v>55</v>
      </c>
      <c r="S35" s="42" t="str">
        <f aca="false">IF(OR($J35="",$Q35="",$Q35=0),"",($J35+$R35)/($Q35*(1-Assumptions!$B$4)))</f>
        <v/>
      </c>
      <c r="T35" s="43" t="str">
        <f aca="false">IF(OR($K35="",$S35="",$S35=0),"",$K35/$S35)</f>
        <v/>
      </c>
      <c r="U35" s="44" t="str">
        <f aca="false">IF(OR($K35="",$Q35=""),"",MAX(0,($K35-MAX($K35*Assumptions!$B$4,Assumptions!$B$5))*$Q35-$R35))</f>
        <v/>
      </c>
      <c r="V35" s="40" t="str">
        <f aca="false">IF($A35="","",IF($O35="FAIL","REJECT",IF($J35="","NEEDS PRICE",IF(OR($K35="",$L35=""),"NEEDS VALUATION",IF($T35&gt;=Assumptions!$B$13,"BUY",IF($T35&gt;=1,"MARGINAL","PASS"))))))</f>
        <v>NEEDS PRICE</v>
      </c>
      <c r="W35" s="25" t="s">
        <v>177</v>
      </c>
      <c r="X35" s="35" t="s">
        <v>239</v>
      </c>
    </row>
    <row r="36" customFormat="false" ht="15" hidden="false" customHeight="false" outlineLevel="0" collapsed="false">
      <c r="A36" s="22" t="s">
        <v>241</v>
      </c>
      <c r="B36" s="36" t="str">
        <f aca="false">IF($A36="","",IF(ISERROR(FIND(".",$A36)),"",LOWER(MID($A36,FIND(CHAR(1),SUBSTITUTE($A36,".",CHAR(1),LEN($A36)-LEN(SUBSTITUTE($A36,".",""))))+1,LEN($A36)))))</f>
        <v>com</v>
      </c>
      <c r="C36" s="37" t="n">
        <f aca="false">IF($B36="","",IFERROR(INDEX(Rubric!$B$14:$B$23,MATCH($B36,Rubric!$A$14:$A$23,0)),INDEX(Rubric!$B$14:$B$23,MATCH("other",Rubric!$A$14:$A$23,0))))</f>
        <v>5</v>
      </c>
      <c r="D36" s="25" t="n">
        <v>4</v>
      </c>
      <c r="E36" s="25" t="n">
        <v>3</v>
      </c>
      <c r="F36" s="25" t="n">
        <v>4</v>
      </c>
      <c r="G36" s="25" t="n">
        <v>5</v>
      </c>
      <c r="H36" s="25" t="s">
        <v>176</v>
      </c>
      <c r="I36" s="25" t="s">
        <v>176</v>
      </c>
      <c r="J36" s="26" t="n">
        <v>6495</v>
      </c>
      <c r="K36" s="27"/>
      <c r="L36" s="27"/>
      <c r="M36" s="38" t="n">
        <f aca="false">IF($B36="","",IFERROR(INDEX(Rubric!$C$14:$C$23,MATCH($B36,Rubric!$A$14:$A$23,0)),INDEX(Rubric!$C$14:$C$23,MATCH("other",Rubric!$A$14:$A$23,0))))</f>
        <v>11</v>
      </c>
      <c r="N36" s="39" t="n">
        <f aca="false">IF(OR($A36="",$C36=""),"",$C36*Rubric!$B$5+$D36*Rubric!$B$6+$E36*Rubric!$B$7+$F36*Rubric!$B$8+$G36*Rubric!$B$9)</f>
        <v>4.1</v>
      </c>
      <c r="O36" s="40" t="str">
        <f aca="false">IF($A36="","",IF(OR(UPPER($H36)="Y",UPPER($I36)="Y"),"FAIL","PASS"))</f>
        <v>PASS</v>
      </c>
      <c r="P36" s="41" t="n">
        <f aca="false">IF($N36="","",Assumptions!$B$6*MAX(0.05,($N36/Assumptions!$B$11)^Assumptions!$B$12))</f>
        <v>0.0136666666666667</v>
      </c>
      <c r="Q36" s="41" t="n">
        <f aca="false">IF($P36="","",1-(1-$P36)^Assumptions!$B$7)</f>
        <v>0.0664909078989352</v>
      </c>
      <c r="R36" s="42" t="n">
        <f aca="false">IF($M36="","",$M36*Assumptions!$B$7)</f>
        <v>55</v>
      </c>
      <c r="S36" s="42" t="n">
        <f aca="false">IF(OR($J36="",$Q36="",$Q36=0),"",($J36+$R36)/($Q36*(1-Assumptions!$B$4)))</f>
        <v>123137.136470521</v>
      </c>
      <c r="T36" s="43" t="str">
        <f aca="false">IF(OR($K36="",$S36="",$S36=0),"",$K36/$S36)</f>
        <v/>
      </c>
      <c r="U36" s="44" t="str">
        <f aca="false">IF(OR($K36="",$Q36=""),"",MAX(0,($K36-MAX($K36*Assumptions!$B$4,Assumptions!$B$5))*$Q36-$R36))</f>
        <v/>
      </c>
      <c r="V36" s="40" t="str">
        <f aca="false">IF($A36="","",IF($O36="FAIL","REJECT",IF($J36="","NEEDS PRICE",IF(OR($K36="",$L36=""),"NEEDS VALUATION",IF($T36&gt;=Assumptions!$B$13,"BUY",IF($T36&gt;=1,"MARGINAL","PASS"))))))</f>
        <v>NEEDS VALUATION</v>
      </c>
      <c r="W36" s="25" t="s">
        <v>204</v>
      </c>
      <c r="X36" s="35" t="s">
        <v>242</v>
      </c>
    </row>
    <row r="37" customFormat="false" ht="15" hidden="false" customHeight="false" outlineLevel="0" collapsed="false">
      <c r="A37" s="22" t="s">
        <v>243</v>
      </c>
      <c r="B37" s="36" t="str">
        <f aca="false">IF($A37="","",IF(ISERROR(FIND(".",$A37)),"",LOWER(MID($A37,FIND(CHAR(1),SUBSTITUTE($A37,".",CHAR(1),LEN($A37)-LEN(SUBSTITUTE($A37,".",""))))+1,LEN($A37)))))</f>
        <v>com</v>
      </c>
      <c r="C37" s="37" t="n">
        <f aca="false">IF($B37="","",IFERROR(INDEX(Rubric!$B$14:$B$23,MATCH($B37,Rubric!$A$14:$A$23,0)),INDEX(Rubric!$B$14:$B$23,MATCH("other",Rubric!$A$14:$A$23,0))))</f>
        <v>5</v>
      </c>
      <c r="D37" s="25" t="n">
        <v>4</v>
      </c>
      <c r="E37" s="25" t="n">
        <v>3</v>
      </c>
      <c r="F37" s="25" t="n">
        <v>5</v>
      </c>
      <c r="G37" s="25" t="n">
        <v>5</v>
      </c>
      <c r="H37" s="25" t="s">
        <v>176</v>
      </c>
      <c r="I37" s="25" t="s">
        <v>176</v>
      </c>
      <c r="J37" s="26"/>
      <c r="K37" s="27"/>
      <c r="L37" s="27"/>
      <c r="M37" s="38" t="n">
        <f aca="false">IF($B37="","",IFERROR(INDEX(Rubric!$C$14:$C$23,MATCH($B37,Rubric!$A$14:$A$23,0)),INDEX(Rubric!$C$14:$C$23,MATCH("other",Rubric!$A$14:$A$23,0))))</f>
        <v>11</v>
      </c>
      <c r="N37" s="39" t="n">
        <f aca="false">IF(OR($A37="",$C37=""),"",$C37*Rubric!$B$5+$D37*Rubric!$B$6+$E37*Rubric!$B$7+$F37*Rubric!$B$8+$G37*Rubric!$B$9)</f>
        <v>4.26</v>
      </c>
      <c r="O37" s="40" t="str">
        <f aca="false">IF($A37="","",IF(OR(UPPER($H37)="Y",UPPER($I37)="Y"),"FAIL","PASS"))</f>
        <v>PASS</v>
      </c>
      <c r="P37" s="41" t="n">
        <f aca="false">IF($N37="","",Assumptions!$B$6*MAX(0.05,($N37/Assumptions!$B$11)^Assumptions!$B$12))</f>
        <v>0.0142</v>
      </c>
      <c r="Q37" s="41" t="n">
        <f aca="false">IF($P37="","",1-(1-$P37)^Assumptions!$B$7)</f>
        <v>0.0690120301639053</v>
      </c>
      <c r="R37" s="42" t="n">
        <f aca="false">IF($M37="","",$M37*Assumptions!$B$7)</f>
        <v>55</v>
      </c>
      <c r="S37" s="42" t="str">
        <f aca="false">IF(OR($J37="",$Q37="",$Q37=0),"",($J37+$R37)/($Q37*(1-Assumptions!$B$4)))</f>
        <v/>
      </c>
      <c r="T37" s="43" t="str">
        <f aca="false">IF(OR($K37="",$S37="",$S37=0),"",$K37/$S37)</f>
        <v/>
      </c>
      <c r="U37" s="44" t="str">
        <f aca="false">IF(OR($K37="",$Q37=""),"",MAX(0,($K37-MAX($K37*Assumptions!$B$4,Assumptions!$B$5))*$Q37-$R37))</f>
        <v/>
      </c>
      <c r="V37" s="40" t="str">
        <f aca="false">IF($A37="","",IF($O37="FAIL","REJECT",IF($J37="","NEEDS PRICE",IF(OR($K37="",$L37=""),"NEEDS VALUATION",IF($T37&gt;=Assumptions!$B$13,"BUY",IF($T37&gt;=1,"MARGINAL","PASS"))))))</f>
        <v>NEEDS PRICE</v>
      </c>
      <c r="W37" s="25" t="s">
        <v>177</v>
      </c>
      <c r="X37" s="35" t="s">
        <v>244</v>
      </c>
    </row>
    <row r="38" customFormat="false" ht="15" hidden="false" customHeight="false" outlineLevel="0" collapsed="false">
      <c r="A38" s="22" t="s">
        <v>245</v>
      </c>
      <c r="B38" s="36" t="str">
        <f aca="false">IF($A38="","",IF(ISERROR(FIND(".",$A38)),"",LOWER(MID($A38,FIND(CHAR(1),SUBSTITUTE($A38,".",CHAR(1),LEN($A38)-LEN(SUBSTITUTE($A38,".",""))))+1,LEN($A38)))))</f>
        <v>com</v>
      </c>
      <c r="C38" s="37" t="n">
        <f aca="false">IF($B38="","",IFERROR(INDEX(Rubric!$B$14:$B$23,MATCH($B38,Rubric!$A$14:$A$23,0)),INDEX(Rubric!$B$14:$B$23,MATCH("other",Rubric!$A$14:$A$23,0))))</f>
        <v>5</v>
      </c>
      <c r="D38" s="25" t="n">
        <v>4</v>
      </c>
      <c r="E38" s="25" t="n">
        <v>3</v>
      </c>
      <c r="F38" s="25" t="n">
        <v>5</v>
      </c>
      <c r="G38" s="25" t="n">
        <v>5</v>
      </c>
      <c r="H38" s="25" t="s">
        <v>176</v>
      </c>
      <c r="I38" s="25" t="s">
        <v>176</v>
      </c>
      <c r="J38" s="26" t="n">
        <v>4900</v>
      </c>
      <c r="K38" s="27"/>
      <c r="L38" s="27"/>
      <c r="M38" s="38" t="n">
        <f aca="false">IF($B38="","",IFERROR(INDEX(Rubric!$C$14:$C$23,MATCH($B38,Rubric!$A$14:$A$23,0)),INDEX(Rubric!$C$14:$C$23,MATCH("other",Rubric!$A$14:$A$23,0))))</f>
        <v>11</v>
      </c>
      <c r="N38" s="39" t="n">
        <f aca="false">IF(OR($A38="",$C38=""),"",$C38*Rubric!$B$5+$D38*Rubric!$B$6+$E38*Rubric!$B$7+$F38*Rubric!$B$8+$G38*Rubric!$B$9)</f>
        <v>4.26</v>
      </c>
      <c r="O38" s="40" t="str">
        <f aca="false">IF($A38="","",IF(OR(UPPER($H38)="Y",UPPER($I38)="Y"),"FAIL","PASS"))</f>
        <v>PASS</v>
      </c>
      <c r="P38" s="41" t="n">
        <f aca="false">IF($N38="","",Assumptions!$B$6*MAX(0.05,($N38/Assumptions!$B$11)^Assumptions!$B$12))</f>
        <v>0.0142</v>
      </c>
      <c r="Q38" s="41" t="n">
        <f aca="false">IF($P38="","",1-(1-$P38)^Assumptions!$B$7)</f>
        <v>0.0690120301639053</v>
      </c>
      <c r="R38" s="42" t="n">
        <f aca="false">IF($M38="","",$M38*Assumptions!$B$7)</f>
        <v>55</v>
      </c>
      <c r="S38" s="42" t="n">
        <f aca="false">IF(OR($J38="",$Q38="",$Q38=0),"",($J38+$R38)/($Q38*(1-Assumptions!$B$4)))</f>
        <v>89748.8450244064</v>
      </c>
      <c r="T38" s="43" t="str">
        <f aca="false">IF(OR($K38="",$S38="",$S38=0),"",$K38/$S38)</f>
        <v/>
      </c>
      <c r="U38" s="44" t="str">
        <f aca="false">IF(OR($K38="",$Q38=""),"",MAX(0,($K38-MAX($K38*Assumptions!$B$4,Assumptions!$B$5))*$Q38-$R38))</f>
        <v/>
      </c>
      <c r="V38" s="40" t="str">
        <f aca="false">IF($A38="","",IF($O38="FAIL","REJECT",IF($J38="","NEEDS PRICE",IF(OR($K38="",$L38=""),"NEEDS VALUATION",IF($T38&gt;=Assumptions!$B$13,"BUY",IF($T38&gt;=1,"MARGINAL","PASS"))))))</f>
        <v>NEEDS VALUATION</v>
      </c>
      <c r="W38" s="25" t="s">
        <v>204</v>
      </c>
      <c r="X38" s="35" t="s">
        <v>246</v>
      </c>
    </row>
    <row r="39" customFormat="false" ht="15" hidden="false" customHeight="false" outlineLevel="0" collapsed="false">
      <c r="A39" s="22" t="s">
        <v>247</v>
      </c>
      <c r="B39" s="36" t="str">
        <f aca="false">IF($A39="","",IF(ISERROR(FIND(".",$A39)),"",LOWER(MID($A39,FIND(CHAR(1),SUBSTITUTE($A39,".",CHAR(1),LEN($A39)-LEN(SUBSTITUTE($A39,".",""))))+1,LEN($A39)))))</f>
        <v>com</v>
      </c>
      <c r="C39" s="37" t="n">
        <f aca="false">IF($B39="","",IFERROR(INDEX(Rubric!$B$14:$B$23,MATCH($B39,Rubric!$A$14:$A$23,0)),INDEX(Rubric!$B$14:$B$23,MATCH("other",Rubric!$A$14:$A$23,0))))</f>
        <v>5</v>
      </c>
      <c r="D39" s="25" t="n">
        <v>4</v>
      </c>
      <c r="E39" s="25" t="n">
        <v>3</v>
      </c>
      <c r="F39" s="25" t="n">
        <v>5</v>
      </c>
      <c r="G39" s="25" t="n">
        <v>5</v>
      </c>
      <c r="H39" s="25" t="s">
        <v>176</v>
      </c>
      <c r="I39" s="25" t="s">
        <v>176</v>
      </c>
      <c r="J39" s="26"/>
      <c r="K39" s="27"/>
      <c r="L39" s="27"/>
      <c r="M39" s="38" t="n">
        <f aca="false">IF($B39="","",IFERROR(INDEX(Rubric!$C$14:$C$23,MATCH($B39,Rubric!$A$14:$A$23,0)),INDEX(Rubric!$C$14:$C$23,MATCH("other",Rubric!$A$14:$A$23,0))))</f>
        <v>11</v>
      </c>
      <c r="N39" s="39" t="n">
        <f aca="false">IF(OR($A39="",$C39=""),"",$C39*Rubric!$B$5+$D39*Rubric!$B$6+$E39*Rubric!$B$7+$F39*Rubric!$B$8+$G39*Rubric!$B$9)</f>
        <v>4.26</v>
      </c>
      <c r="O39" s="40" t="str">
        <f aca="false">IF($A39="","",IF(OR(UPPER($H39)="Y",UPPER($I39)="Y"),"FAIL","PASS"))</f>
        <v>PASS</v>
      </c>
      <c r="P39" s="41" t="n">
        <f aca="false">IF($N39="","",Assumptions!$B$6*MAX(0.05,($N39/Assumptions!$B$11)^Assumptions!$B$12))</f>
        <v>0.0142</v>
      </c>
      <c r="Q39" s="41" t="n">
        <f aca="false">IF($P39="","",1-(1-$P39)^Assumptions!$B$7)</f>
        <v>0.0690120301639053</v>
      </c>
      <c r="R39" s="42" t="n">
        <f aca="false">IF($M39="","",$M39*Assumptions!$B$7)</f>
        <v>55</v>
      </c>
      <c r="S39" s="42" t="str">
        <f aca="false">IF(OR($J39="",$Q39="",$Q39=0),"",($J39+$R39)/($Q39*(1-Assumptions!$B$4)))</f>
        <v/>
      </c>
      <c r="T39" s="43" t="str">
        <f aca="false">IF(OR($K39="",$S39="",$S39=0),"",$K39/$S39)</f>
        <v/>
      </c>
      <c r="U39" s="44" t="str">
        <f aca="false">IF(OR($K39="",$Q39=""),"",MAX(0,($K39-MAX($K39*Assumptions!$B$4,Assumptions!$B$5))*$Q39-$R39))</f>
        <v/>
      </c>
      <c r="V39" s="40" t="str">
        <f aca="false">IF($A39="","",IF($O39="FAIL","REJECT",IF($J39="","NEEDS PRICE",IF(OR($K39="",$L39=""),"NEEDS VALUATION",IF($T39&gt;=Assumptions!$B$13,"BUY",IF($T39&gt;=1,"MARGINAL","PASS"))))))</f>
        <v>NEEDS PRICE</v>
      </c>
      <c r="W39" s="25" t="s">
        <v>177</v>
      </c>
      <c r="X39" s="35" t="s">
        <v>246</v>
      </c>
    </row>
    <row r="40" customFormat="false" ht="15" hidden="false" customHeight="false" outlineLevel="0" collapsed="false">
      <c r="A40" s="22" t="s">
        <v>248</v>
      </c>
      <c r="B40" s="36" t="str">
        <f aca="false">IF($A40="","",IF(ISERROR(FIND(".",$A40)),"",LOWER(MID($A40,FIND(CHAR(1),SUBSTITUTE($A40,".",CHAR(1),LEN($A40)-LEN(SUBSTITUTE($A40,".",""))))+1,LEN($A40)))))</f>
        <v>com</v>
      </c>
      <c r="C40" s="37" t="n">
        <f aca="false">IF($B40="","",IFERROR(INDEX(Rubric!$B$14:$B$23,MATCH($B40,Rubric!$A$14:$A$23,0)),INDEX(Rubric!$B$14:$B$23,MATCH("other",Rubric!$A$14:$A$23,0))))</f>
        <v>5</v>
      </c>
      <c r="D40" s="25" t="n">
        <v>4</v>
      </c>
      <c r="E40" s="25" t="n">
        <v>3</v>
      </c>
      <c r="F40" s="25" t="n">
        <v>5</v>
      </c>
      <c r="G40" s="25" t="n">
        <v>5</v>
      </c>
      <c r="H40" s="25" t="s">
        <v>176</v>
      </c>
      <c r="I40" s="25" t="s">
        <v>176</v>
      </c>
      <c r="J40" s="26" t="n">
        <v>500000</v>
      </c>
      <c r="K40" s="27"/>
      <c r="L40" s="27"/>
      <c r="M40" s="38" t="n">
        <f aca="false">IF($B40="","",IFERROR(INDEX(Rubric!$C$14:$C$23,MATCH($B40,Rubric!$A$14:$A$23,0)),INDEX(Rubric!$C$14:$C$23,MATCH("other",Rubric!$A$14:$A$23,0))))</f>
        <v>11</v>
      </c>
      <c r="N40" s="39" t="n">
        <f aca="false">IF(OR($A40="",$C40=""),"",$C40*Rubric!$B$5+$D40*Rubric!$B$6+$E40*Rubric!$B$7+$F40*Rubric!$B$8+$G40*Rubric!$B$9)</f>
        <v>4.26</v>
      </c>
      <c r="O40" s="40" t="str">
        <f aca="false">IF($A40="","",IF(OR(UPPER($H40)="Y",UPPER($I40)="Y"),"FAIL","PASS"))</f>
        <v>PASS</v>
      </c>
      <c r="P40" s="41" t="n">
        <f aca="false">IF($N40="","",Assumptions!$B$6*MAX(0.05,($N40/Assumptions!$B$11)^Assumptions!$B$12))</f>
        <v>0.0142</v>
      </c>
      <c r="Q40" s="41" t="n">
        <f aca="false">IF($P40="","",1-(1-$P40)^Assumptions!$B$7)</f>
        <v>0.0690120301639053</v>
      </c>
      <c r="R40" s="42" t="n">
        <f aca="false">IF($M40="","",$M40*Assumptions!$B$7)</f>
        <v>55</v>
      </c>
      <c r="S40" s="42" t="n">
        <f aca="false">IF(OR($J40="",$Q40="",$Q40=0),"",($J40+$R40)/($Q40*(1-Assumptions!$B$4)))</f>
        <v>9057388.23384047</v>
      </c>
      <c r="T40" s="43" t="str">
        <f aca="false">IF(OR($K40="",$S40="",$S40=0),"",$K40/$S40)</f>
        <v/>
      </c>
      <c r="U40" s="44" t="str">
        <f aca="false">IF(OR($K40="",$Q40=""),"",MAX(0,($K40-MAX($K40*Assumptions!$B$4,Assumptions!$B$5))*$Q40-$R40))</f>
        <v/>
      </c>
      <c r="V40" s="40" t="str">
        <f aca="false">IF($A40="","",IF($O40="FAIL","REJECT",IF($J40="","NEEDS PRICE",IF(OR($K40="",$L40=""),"NEEDS VALUATION",IF($T40&gt;=Assumptions!$B$13,"BUY",IF($T40&gt;=1,"MARGINAL","PASS"))))))</f>
        <v>NEEDS VALUATION</v>
      </c>
      <c r="W40" s="25" t="s">
        <v>204</v>
      </c>
      <c r="X40" s="35" t="s">
        <v>246</v>
      </c>
    </row>
    <row r="41" customFormat="false" ht="15" hidden="false" customHeight="false" outlineLevel="0" collapsed="false">
      <c r="A41" s="22" t="s">
        <v>249</v>
      </c>
      <c r="B41" s="36" t="str">
        <f aca="false">IF($A41="","",IF(ISERROR(FIND(".",$A41)),"",LOWER(MID($A41,FIND(CHAR(1),SUBSTITUTE($A41,".",CHAR(1),LEN($A41)-LEN(SUBSTITUTE($A41,".",""))))+1,LEN($A41)))))</f>
        <v>com</v>
      </c>
      <c r="C41" s="37" t="n">
        <f aca="false">IF($B41="","",IFERROR(INDEX(Rubric!$B$14:$B$23,MATCH($B41,Rubric!$A$14:$A$23,0)),INDEX(Rubric!$B$14:$B$23,MATCH("other",Rubric!$A$14:$A$23,0))))</f>
        <v>5</v>
      </c>
      <c r="D41" s="25" t="n">
        <v>4</v>
      </c>
      <c r="E41" s="25" t="n">
        <v>3</v>
      </c>
      <c r="F41" s="25" t="n">
        <v>5</v>
      </c>
      <c r="G41" s="25" t="n">
        <v>5</v>
      </c>
      <c r="H41" s="25" t="s">
        <v>176</v>
      </c>
      <c r="I41" s="25" t="s">
        <v>176</v>
      </c>
      <c r="J41" s="26"/>
      <c r="K41" s="27"/>
      <c r="L41" s="27"/>
      <c r="M41" s="38" t="n">
        <f aca="false">IF($B41="","",IFERROR(INDEX(Rubric!$C$14:$C$23,MATCH($B41,Rubric!$A$14:$A$23,0)),INDEX(Rubric!$C$14:$C$23,MATCH("other",Rubric!$A$14:$A$23,0))))</f>
        <v>11</v>
      </c>
      <c r="N41" s="39" t="n">
        <f aca="false">IF(OR($A41="",$C41=""),"",$C41*Rubric!$B$5+$D41*Rubric!$B$6+$E41*Rubric!$B$7+$F41*Rubric!$B$8+$G41*Rubric!$B$9)</f>
        <v>4.26</v>
      </c>
      <c r="O41" s="40" t="str">
        <f aca="false">IF($A41="","",IF(OR(UPPER($H41)="Y",UPPER($I41)="Y"),"FAIL","PASS"))</f>
        <v>PASS</v>
      </c>
      <c r="P41" s="41" t="n">
        <f aca="false">IF($N41="","",Assumptions!$B$6*MAX(0.05,($N41/Assumptions!$B$11)^Assumptions!$B$12))</f>
        <v>0.0142</v>
      </c>
      <c r="Q41" s="41" t="n">
        <f aca="false">IF($P41="","",1-(1-$P41)^Assumptions!$B$7)</f>
        <v>0.0690120301639053</v>
      </c>
      <c r="R41" s="42" t="n">
        <f aca="false">IF($M41="","",$M41*Assumptions!$B$7)</f>
        <v>55</v>
      </c>
      <c r="S41" s="42" t="str">
        <f aca="false">IF(OR($J41="",$Q41="",$Q41=0),"",($J41+$R41)/($Q41*(1-Assumptions!$B$4)))</f>
        <v/>
      </c>
      <c r="T41" s="43" t="str">
        <f aca="false">IF(OR($K41="",$S41="",$S41=0),"",$K41/$S41)</f>
        <v/>
      </c>
      <c r="U41" s="44" t="str">
        <f aca="false">IF(OR($K41="",$Q41=""),"",MAX(0,($K41-MAX($K41*Assumptions!$B$4,Assumptions!$B$5))*$Q41-$R41))</f>
        <v/>
      </c>
      <c r="V41" s="40" t="str">
        <f aca="false">IF($A41="","",IF($O41="FAIL","REJECT",IF($J41="","NEEDS PRICE",IF(OR($K41="",$L41=""),"NEEDS VALUATION",IF($T41&gt;=Assumptions!$B$13,"BUY",IF($T41&gt;=1,"MARGINAL","PASS"))))))</f>
        <v>NEEDS PRICE</v>
      </c>
      <c r="W41" s="25" t="s">
        <v>177</v>
      </c>
      <c r="X41" s="35" t="s">
        <v>250</v>
      </c>
    </row>
    <row r="42" customFormat="false" ht="15" hidden="false" customHeight="false" outlineLevel="0" collapsed="false">
      <c r="A42" s="22" t="s">
        <v>251</v>
      </c>
      <c r="B42" s="36" t="str">
        <f aca="false">IF($A42="","",IF(ISERROR(FIND(".",$A42)),"",LOWER(MID($A42,FIND(CHAR(1),SUBSTITUTE($A42,".",CHAR(1),LEN($A42)-LEN(SUBSTITUTE($A42,".",""))))+1,LEN($A42)))))</f>
        <v>com</v>
      </c>
      <c r="C42" s="37" t="n">
        <f aca="false">IF($B42="","",IFERROR(INDEX(Rubric!$B$14:$B$23,MATCH($B42,Rubric!$A$14:$A$23,0)),INDEX(Rubric!$B$14:$B$23,MATCH("other",Rubric!$A$14:$A$23,0))))</f>
        <v>5</v>
      </c>
      <c r="D42" s="25" t="n">
        <v>4</v>
      </c>
      <c r="E42" s="25" t="n">
        <v>3</v>
      </c>
      <c r="F42" s="25" t="n">
        <v>5</v>
      </c>
      <c r="G42" s="25" t="n">
        <v>5</v>
      </c>
      <c r="H42" s="25" t="s">
        <v>176</v>
      </c>
      <c r="I42" s="25" t="s">
        <v>176</v>
      </c>
      <c r="J42" s="26"/>
      <c r="K42" s="27"/>
      <c r="L42" s="27"/>
      <c r="M42" s="38" t="n">
        <f aca="false">IF($B42="","",IFERROR(INDEX(Rubric!$C$14:$C$23,MATCH($B42,Rubric!$A$14:$A$23,0)),INDEX(Rubric!$C$14:$C$23,MATCH("other",Rubric!$A$14:$A$23,0))))</f>
        <v>11</v>
      </c>
      <c r="N42" s="39" t="n">
        <f aca="false">IF(OR($A42="",$C42=""),"",$C42*Rubric!$B$5+$D42*Rubric!$B$6+$E42*Rubric!$B$7+$F42*Rubric!$B$8+$G42*Rubric!$B$9)</f>
        <v>4.26</v>
      </c>
      <c r="O42" s="40" t="str">
        <f aca="false">IF($A42="","",IF(OR(UPPER($H42)="Y",UPPER($I42)="Y"),"FAIL","PASS"))</f>
        <v>PASS</v>
      </c>
      <c r="P42" s="41" t="n">
        <f aca="false">IF($N42="","",Assumptions!$B$6*MAX(0.05,($N42/Assumptions!$B$11)^Assumptions!$B$12))</f>
        <v>0.0142</v>
      </c>
      <c r="Q42" s="41" t="n">
        <f aca="false">IF($P42="","",1-(1-$P42)^Assumptions!$B$7)</f>
        <v>0.0690120301639053</v>
      </c>
      <c r="R42" s="42" t="n">
        <f aca="false">IF($M42="","",$M42*Assumptions!$B$7)</f>
        <v>55</v>
      </c>
      <c r="S42" s="42" t="str">
        <f aca="false">IF(OR($J42="",$Q42="",$Q42=0),"",($J42+$R42)/($Q42*(1-Assumptions!$B$4)))</f>
        <v/>
      </c>
      <c r="T42" s="43" t="str">
        <f aca="false">IF(OR($K42="",$S42="",$S42=0),"",$K42/$S42)</f>
        <v/>
      </c>
      <c r="U42" s="44" t="str">
        <f aca="false">IF(OR($K42="",$Q42=""),"",MAX(0,($K42-MAX($K42*Assumptions!$B$4,Assumptions!$B$5))*$Q42-$R42))</f>
        <v/>
      </c>
      <c r="V42" s="40" t="str">
        <f aca="false">IF($A42="","",IF($O42="FAIL","REJECT",IF($J42="","NEEDS PRICE",IF(OR($K42="",$L42=""),"NEEDS VALUATION",IF($T42&gt;=Assumptions!$B$13,"BUY",IF($T42&gt;=1,"MARGINAL","PASS"))))))</f>
        <v>NEEDS PRICE</v>
      </c>
      <c r="W42" s="25" t="s">
        <v>177</v>
      </c>
      <c r="X42" s="35" t="s">
        <v>252</v>
      </c>
    </row>
    <row r="43" customFormat="false" ht="15" hidden="false" customHeight="false" outlineLevel="0" collapsed="false">
      <c r="A43" s="22" t="s">
        <v>253</v>
      </c>
      <c r="B43" s="36" t="str">
        <f aca="false">IF($A43="","",IF(ISERROR(FIND(".",$A43)),"",LOWER(MID($A43,FIND(CHAR(1),SUBSTITUTE($A43,".",CHAR(1),LEN($A43)-LEN(SUBSTITUTE($A43,".",""))))+1,LEN($A43)))))</f>
        <v>com</v>
      </c>
      <c r="C43" s="37" t="n">
        <f aca="false">IF($B43="","",IFERROR(INDEX(Rubric!$B$14:$B$23,MATCH($B43,Rubric!$A$14:$A$23,0)),INDEX(Rubric!$B$14:$B$23,MATCH("other",Rubric!$A$14:$A$23,0))))</f>
        <v>5</v>
      </c>
      <c r="D43" s="25" t="n">
        <v>4</v>
      </c>
      <c r="E43" s="25" t="n">
        <v>2</v>
      </c>
      <c r="F43" s="25" t="n">
        <v>5</v>
      </c>
      <c r="G43" s="25" t="n">
        <v>3</v>
      </c>
      <c r="H43" s="25" t="s">
        <v>176</v>
      </c>
      <c r="I43" s="25" t="s">
        <v>254</v>
      </c>
      <c r="J43" s="26" t="n">
        <v>2795</v>
      </c>
      <c r="K43" s="27"/>
      <c r="L43" s="27"/>
      <c r="M43" s="38" t="n">
        <f aca="false">IF($B43="","",IFERROR(INDEX(Rubric!$C$14:$C$23,MATCH($B43,Rubric!$A$14:$A$23,0)),INDEX(Rubric!$C$14:$C$23,MATCH("other",Rubric!$A$14:$A$23,0))))</f>
        <v>11</v>
      </c>
      <c r="N43" s="39" t="n">
        <f aca="false">IF(OR($A43="",$C43=""),"",$C43*Rubric!$B$5+$D43*Rubric!$B$6+$E43*Rubric!$B$7+$F43*Rubric!$B$8+$G43*Rubric!$B$9)</f>
        <v>3.84</v>
      </c>
      <c r="O43" s="40" t="str">
        <f aca="false">IF($A43="","",IF(OR(UPPER($H43)="Y",UPPER($I43)="Y"),"FAIL","PASS"))</f>
        <v>FAIL</v>
      </c>
      <c r="P43" s="41" t="n">
        <f aca="false">IF($N43="","",Assumptions!$B$6*MAX(0.05,($N43/Assumptions!$B$11)^Assumptions!$B$12))</f>
        <v>0.0128</v>
      </c>
      <c r="Q43" s="41" t="n">
        <f aca="false">IF($P43="","",1-(1-$P43)^Assumptions!$B$7)</f>
        <v>0.0623824376458696</v>
      </c>
      <c r="R43" s="42" t="n">
        <f aca="false">IF($M43="","",$M43*Assumptions!$B$7)</f>
        <v>55</v>
      </c>
      <c r="S43" s="42" t="n">
        <f aca="false">IF(OR($J43="",$Q43="",$Q43=0),"",($J43+$R43)/($Q43*(1-Assumptions!$B$4)))</f>
        <v>57107.418921708</v>
      </c>
      <c r="T43" s="43" t="str">
        <f aca="false">IF(OR($K43="",$S43="",$S43=0),"",$K43/$S43)</f>
        <v/>
      </c>
      <c r="U43" s="44" t="str">
        <f aca="false">IF(OR($K43="",$Q43=""),"",MAX(0,($K43-MAX($K43*Assumptions!$B$4,Assumptions!$B$5))*$Q43-$R43))</f>
        <v/>
      </c>
      <c r="V43" s="40" t="str">
        <f aca="false">IF($A43="","",IF($O43="FAIL","REJECT",IF($J43="","NEEDS PRICE",IF(OR($K43="",$L43=""),"NEEDS VALUATION",IF($T43&gt;=Assumptions!$B$13,"BUY",IF($T43&gt;=1,"MARGINAL","PASS"))))))</f>
        <v>REJECT</v>
      </c>
      <c r="W43" s="25" t="s">
        <v>204</v>
      </c>
      <c r="X43" s="35" t="s">
        <v>255</v>
      </c>
    </row>
    <row r="44" customFormat="false" ht="23.85" hidden="false" customHeight="false" outlineLevel="0" collapsed="false">
      <c r="A44" s="22" t="s">
        <v>256</v>
      </c>
      <c r="B44" s="36" t="str">
        <f aca="false">IF($A44="","",IF(ISERROR(FIND(".",$A44)),"",LOWER(MID($A44,FIND(CHAR(1),SUBSTITUTE($A44,".",CHAR(1),LEN($A44)-LEN(SUBSTITUTE($A44,".",""))))+1,LEN($A44)))))</f>
        <v>com</v>
      </c>
      <c r="C44" s="37" t="n">
        <f aca="false">IF($B44="","",IFERROR(INDEX(Rubric!$B$14:$B$23,MATCH($B44,Rubric!$A$14:$A$23,0)),INDEX(Rubric!$B$14:$B$23,MATCH("other",Rubric!$A$14:$A$23,0))))</f>
        <v>5</v>
      </c>
      <c r="D44" s="25" t="n">
        <v>4</v>
      </c>
      <c r="E44" s="25" t="n">
        <v>2</v>
      </c>
      <c r="F44" s="25" t="n">
        <v>2</v>
      </c>
      <c r="G44" s="25" t="n">
        <v>4</v>
      </c>
      <c r="H44" s="25" t="s">
        <v>176</v>
      </c>
      <c r="I44" s="25" t="s">
        <v>254</v>
      </c>
      <c r="J44" s="26" t="n">
        <v>22.99</v>
      </c>
      <c r="K44" s="27"/>
      <c r="L44" s="27"/>
      <c r="M44" s="38" t="n">
        <f aca="false">IF($B44="","",IFERROR(INDEX(Rubric!$C$14:$C$23,MATCH($B44,Rubric!$A$14:$A$23,0)),INDEX(Rubric!$C$14:$C$23,MATCH("other",Rubric!$A$14:$A$23,0))))</f>
        <v>11</v>
      </c>
      <c r="N44" s="39" t="n">
        <f aca="false">IF(OR($A44="",$C44=""),"",$C44*Rubric!$B$5+$D44*Rubric!$B$6+$E44*Rubric!$B$7+$F44*Rubric!$B$8+$G44*Rubric!$B$9)</f>
        <v>3.46</v>
      </c>
      <c r="O44" s="40" t="str">
        <f aca="false">IF($A44="","",IF(OR(UPPER($H44)="Y",UPPER($I44)="Y"),"FAIL","PASS"))</f>
        <v>FAIL</v>
      </c>
      <c r="P44" s="41" t="n">
        <f aca="false">IF($N44="","",Assumptions!$B$6*MAX(0.05,($N44/Assumptions!$B$11)^Assumptions!$B$12))</f>
        <v>0.0115333333333333</v>
      </c>
      <c r="Q44" s="41" t="n">
        <f aca="false">IF($P44="","",1-(1-$P44)^Assumptions!$B$7)</f>
        <v>0.056351742008014</v>
      </c>
      <c r="R44" s="42" t="n">
        <f aca="false">IF($M44="","",$M44*Assumptions!$B$7)</f>
        <v>55</v>
      </c>
      <c r="S44" s="42" t="n">
        <f aca="false">IF(OR($J44="",$Q44="",$Q44=0),"",($J44+$R44)/($Q44*(1-Assumptions!$B$4)))</f>
        <v>1729.98201166764</v>
      </c>
      <c r="T44" s="43" t="str">
        <f aca="false">IF(OR($K44="",$S44="",$S44=0),"",$K44/$S44)</f>
        <v/>
      </c>
      <c r="U44" s="44" t="str">
        <f aca="false">IF(OR($K44="",$Q44=""),"",MAX(0,($K44-MAX($K44*Assumptions!$B$4,Assumptions!$B$5))*$Q44-$R44))</f>
        <v/>
      </c>
      <c r="V44" s="40" t="str">
        <f aca="false">IF($A44="","",IF($O44="FAIL","REJECT",IF($J44="","NEEDS PRICE",IF(OR($K44="",$L44=""),"NEEDS VALUATION",IF($T44&gt;=Assumptions!$B$13,"BUY",IF($T44&gt;=1,"MARGINAL","PASS"))))))</f>
        <v>REJECT</v>
      </c>
      <c r="W44" s="25" t="s">
        <v>218</v>
      </c>
      <c r="X44" s="35" t="s">
        <v>257</v>
      </c>
    </row>
    <row r="45" customFormat="false" ht="15" hidden="false" customHeight="false" outlineLevel="0" collapsed="false">
      <c r="A45" s="22" t="s">
        <v>258</v>
      </c>
      <c r="B45" s="36" t="str">
        <f aca="false">IF($A45="","",IF(ISERROR(FIND(".",$A45)),"",LOWER(MID($A45,FIND(CHAR(1),SUBSTITUTE($A45,".",CHAR(1),LEN($A45)-LEN(SUBSTITUTE($A45,".",""))))+1,LEN($A45)))))</f>
        <v>com</v>
      </c>
      <c r="C45" s="37" t="n">
        <f aca="false">IF($B45="","",IFERROR(INDEX(Rubric!$B$14:$B$23,MATCH($B45,Rubric!$A$14:$A$23,0)),INDEX(Rubric!$B$14:$B$23,MATCH("other",Rubric!$A$14:$A$23,0))))</f>
        <v>5</v>
      </c>
      <c r="D45" s="25" t="n">
        <v>4</v>
      </c>
      <c r="E45" s="25" t="n">
        <v>2</v>
      </c>
      <c r="F45" s="25" t="n">
        <v>3</v>
      </c>
      <c r="G45" s="25" t="n">
        <v>4</v>
      </c>
      <c r="H45" s="25" t="s">
        <v>176</v>
      </c>
      <c r="I45" s="25" t="s">
        <v>254</v>
      </c>
      <c r="J45" s="26" t="n">
        <v>3595</v>
      </c>
      <c r="K45" s="27"/>
      <c r="L45" s="27"/>
      <c r="M45" s="38" t="n">
        <f aca="false">IF($B45="","",IFERROR(INDEX(Rubric!$C$14:$C$23,MATCH($B45,Rubric!$A$14:$A$23,0)),INDEX(Rubric!$C$14:$C$23,MATCH("other",Rubric!$A$14:$A$23,0))))</f>
        <v>11</v>
      </c>
      <c r="N45" s="39" t="n">
        <f aca="false">IF(OR($A45="",$C45=""),"",$C45*Rubric!$B$5+$D45*Rubric!$B$6+$E45*Rubric!$B$7+$F45*Rubric!$B$8+$G45*Rubric!$B$9)</f>
        <v>3.62</v>
      </c>
      <c r="O45" s="40" t="str">
        <f aca="false">IF($A45="","",IF(OR(UPPER($H45)="Y",UPPER($I45)="Y"),"FAIL","PASS"))</f>
        <v>FAIL</v>
      </c>
      <c r="P45" s="41" t="n">
        <f aca="false">IF($N45="","",Assumptions!$B$6*MAX(0.05,($N45/Assumptions!$B$11)^Assumptions!$B$12))</f>
        <v>0.0120666666666667</v>
      </c>
      <c r="Q45" s="41" t="n">
        <f aca="false">IF($P45="","",1-(1-$P45)^Assumptions!$B$7)</f>
        <v>0.0588947527444019</v>
      </c>
      <c r="R45" s="42" t="n">
        <f aca="false">IF($M45="","",$M45*Assumptions!$B$7)</f>
        <v>55</v>
      </c>
      <c r="S45" s="42" t="n">
        <f aca="false">IF(OR($J45="",$Q45="",$Q45=0),"",($J45+$R45)/($Q45*(1-Assumptions!$B$4)))</f>
        <v>77468.7011557863</v>
      </c>
      <c r="T45" s="43" t="str">
        <f aca="false">IF(OR($K45="",$S45="",$S45=0),"",$K45/$S45)</f>
        <v/>
      </c>
      <c r="U45" s="44" t="str">
        <f aca="false">IF(OR($K45="",$Q45=""),"",MAX(0,($K45-MAX($K45*Assumptions!$B$4,Assumptions!$B$5))*$Q45-$R45))</f>
        <v/>
      </c>
      <c r="V45" s="40" t="str">
        <f aca="false">IF($A45="","",IF($O45="FAIL","REJECT",IF($J45="","NEEDS PRICE",IF(OR($K45="",$L45=""),"NEEDS VALUATION",IF($T45&gt;=Assumptions!$B$13,"BUY",IF($T45&gt;=1,"MARGINAL","PASS"))))))</f>
        <v>REJECT</v>
      </c>
      <c r="W45" s="25" t="s">
        <v>204</v>
      </c>
      <c r="X45" s="35" t="s">
        <v>259</v>
      </c>
    </row>
    <row r="46" customFormat="false" ht="15" hidden="false" customHeight="false" outlineLevel="0" collapsed="false">
      <c r="A46" s="22" t="s">
        <v>260</v>
      </c>
      <c r="B46" s="36" t="str">
        <f aca="false">IF($A46="","",IF(ISERROR(FIND(".",$A46)),"",LOWER(MID($A46,FIND(CHAR(1),SUBSTITUTE($A46,".",CHAR(1),LEN($A46)-LEN(SUBSTITUTE($A46,".",""))))+1,LEN($A46)))))</f>
        <v>com</v>
      </c>
      <c r="C46" s="37" t="n">
        <f aca="false">IF($B46="","",IFERROR(INDEX(Rubric!$B$14:$B$23,MATCH($B46,Rubric!$A$14:$A$23,0)),INDEX(Rubric!$B$14:$B$23,MATCH("other",Rubric!$A$14:$A$23,0))))</f>
        <v>5</v>
      </c>
      <c r="D46" s="25" t="n">
        <v>4</v>
      </c>
      <c r="E46" s="25" t="n">
        <v>3</v>
      </c>
      <c r="F46" s="25" t="n">
        <v>4</v>
      </c>
      <c r="G46" s="25" t="n">
        <v>5</v>
      </c>
      <c r="H46" s="25" t="s">
        <v>176</v>
      </c>
      <c r="I46" s="25" t="s">
        <v>176</v>
      </c>
      <c r="J46" s="26" t="n">
        <v>19000</v>
      </c>
      <c r="K46" s="27"/>
      <c r="L46" s="27"/>
      <c r="M46" s="38" t="n">
        <f aca="false">IF($B46="","",IFERROR(INDEX(Rubric!$C$14:$C$23,MATCH($B46,Rubric!$A$14:$A$23,0)),INDEX(Rubric!$C$14:$C$23,MATCH("other",Rubric!$A$14:$A$23,0))))</f>
        <v>11</v>
      </c>
      <c r="N46" s="39" t="n">
        <f aca="false">IF(OR($A46="",$C46=""),"",$C46*Rubric!$B$5+$D46*Rubric!$B$6+$E46*Rubric!$B$7+$F46*Rubric!$B$8+$G46*Rubric!$B$9)</f>
        <v>4.1</v>
      </c>
      <c r="O46" s="40" t="str">
        <f aca="false">IF($A46="","",IF(OR(UPPER($H46)="Y",UPPER($I46)="Y"),"FAIL","PASS"))</f>
        <v>PASS</v>
      </c>
      <c r="P46" s="41" t="n">
        <f aca="false">IF($N46="","",Assumptions!$B$6*MAX(0.05,($N46/Assumptions!$B$11)^Assumptions!$B$12))</f>
        <v>0.0136666666666667</v>
      </c>
      <c r="Q46" s="41" t="n">
        <f aca="false">IF($P46="","",1-(1-$P46)^Assumptions!$B$7)</f>
        <v>0.0664909078989352</v>
      </c>
      <c r="R46" s="42" t="n">
        <f aca="false">IF($M46="","",$M46*Assumptions!$B$7)</f>
        <v>55</v>
      </c>
      <c r="S46" s="42" t="n">
        <f aca="false">IF(OR($J46="",$Q46="",$Q46=0),"",($J46+$R46)/($Q46*(1-Assumptions!$B$4)))</f>
        <v>358225.669533705</v>
      </c>
      <c r="T46" s="43" t="str">
        <f aca="false">IF(OR($K46="",$S46="",$S46=0),"",$K46/$S46)</f>
        <v/>
      </c>
      <c r="U46" s="44" t="str">
        <f aca="false">IF(OR($K46="",$Q46=""),"",MAX(0,($K46-MAX($K46*Assumptions!$B$4,Assumptions!$B$5))*$Q46-$R46))</f>
        <v/>
      </c>
      <c r="V46" s="40" t="str">
        <f aca="false">IF($A46="","",IF($O46="FAIL","REJECT",IF($J46="","NEEDS PRICE",IF(OR($K46="",$L46=""),"NEEDS VALUATION",IF($T46&gt;=Assumptions!$B$13,"BUY",IF($T46&gt;=1,"MARGINAL","PASS"))))))</f>
        <v>NEEDS VALUATION</v>
      </c>
      <c r="W46" s="25" t="s">
        <v>204</v>
      </c>
      <c r="X46" s="35" t="s">
        <v>261</v>
      </c>
    </row>
    <row r="47" customFormat="false" ht="15" hidden="false" customHeight="false" outlineLevel="0" collapsed="false">
      <c r="A47" s="22" t="s">
        <v>262</v>
      </c>
      <c r="B47" s="36" t="str">
        <f aca="false">IF($A47="","",IF(ISERROR(FIND(".",$A47)),"",LOWER(MID($A47,FIND(CHAR(1),SUBSTITUTE($A47,".",CHAR(1),LEN($A47)-LEN(SUBSTITUTE($A47,".",""))))+1,LEN($A47)))))</f>
        <v>com</v>
      </c>
      <c r="C47" s="37" t="n">
        <f aca="false">IF($B47="","",IFERROR(INDEX(Rubric!$B$14:$B$23,MATCH($B47,Rubric!$A$14:$A$23,0)),INDEX(Rubric!$B$14:$B$23,MATCH("other",Rubric!$A$14:$A$23,0))))</f>
        <v>5</v>
      </c>
      <c r="D47" s="25" t="n">
        <v>4</v>
      </c>
      <c r="E47" s="25" t="n">
        <v>3</v>
      </c>
      <c r="F47" s="25" t="n">
        <v>4</v>
      </c>
      <c r="G47" s="25" t="n">
        <v>4</v>
      </c>
      <c r="H47" s="25" t="s">
        <v>176</v>
      </c>
      <c r="I47" s="25" t="s">
        <v>176</v>
      </c>
      <c r="J47" s="26"/>
      <c r="K47" s="27"/>
      <c r="L47" s="27"/>
      <c r="M47" s="38" t="n">
        <f aca="false">IF($B47="","",IFERROR(INDEX(Rubric!$C$14:$C$23,MATCH($B47,Rubric!$A$14:$A$23,0)),INDEX(Rubric!$C$14:$C$23,MATCH("other",Rubric!$A$14:$A$23,0))))</f>
        <v>11</v>
      </c>
      <c r="N47" s="39" t="n">
        <f aca="false">IF(OR($A47="",$C47=""),"",$C47*Rubric!$B$5+$D47*Rubric!$B$6+$E47*Rubric!$B$7+$F47*Rubric!$B$8+$G47*Rubric!$B$9)</f>
        <v>4</v>
      </c>
      <c r="O47" s="40" t="str">
        <f aca="false">IF($A47="","",IF(OR(UPPER($H47)="Y",UPPER($I47)="Y"),"FAIL","PASS"))</f>
        <v>PASS</v>
      </c>
      <c r="P47" s="41" t="n">
        <f aca="false">IF($N47="","",Assumptions!$B$6*MAX(0.05,($N47/Assumptions!$B$11)^Assumptions!$B$12))</f>
        <v>0.0133333333333333</v>
      </c>
      <c r="Q47" s="41" t="n">
        <f aca="false">IF($P47="","",1-(1-$P47)^Assumptions!$B$7)</f>
        <v>0.0649124349893003</v>
      </c>
      <c r="R47" s="42" t="n">
        <f aca="false">IF($M47="","",$M47*Assumptions!$B$7)</f>
        <v>55</v>
      </c>
      <c r="S47" s="42" t="str">
        <f aca="false">IF(OR($J47="",$Q47="",$Q47=0),"",($J47+$R47)/($Q47*(1-Assumptions!$B$4)))</f>
        <v/>
      </c>
      <c r="T47" s="43" t="str">
        <f aca="false">IF(OR($K47="",$S47="",$S47=0),"",$K47/$S47)</f>
        <v/>
      </c>
      <c r="U47" s="44" t="str">
        <f aca="false">IF(OR($K47="",$Q47=""),"",MAX(0,($K47-MAX($K47*Assumptions!$B$4,Assumptions!$B$5))*$Q47-$R47))</f>
        <v/>
      </c>
      <c r="V47" s="40" t="str">
        <f aca="false">IF($A47="","",IF($O47="FAIL","REJECT",IF($J47="","NEEDS PRICE",IF(OR($K47="",$L47=""),"NEEDS VALUATION",IF($T47&gt;=Assumptions!$B$13,"BUY",IF($T47&gt;=1,"MARGINAL","PASS"))))))</f>
        <v>NEEDS PRICE</v>
      </c>
      <c r="W47" s="25" t="s">
        <v>177</v>
      </c>
      <c r="X47" s="35" t="s">
        <v>263</v>
      </c>
    </row>
    <row r="48" customFormat="false" ht="15" hidden="false" customHeight="false" outlineLevel="0" collapsed="false">
      <c r="A48" s="22" t="s">
        <v>264</v>
      </c>
      <c r="B48" s="36" t="str">
        <f aca="false">IF($A48="","",IF(ISERROR(FIND(".",$A48)),"",LOWER(MID($A48,FIND(CHAR(1),SUBSTITUTE($A48,".",CHAR(1),LEN($A48)-LEN(SUBSTITUTE($A48,".",""))))+1,LEN($A48)))))</f>
        <v>com</v>
      </c>
      <c r="C48" s="37" t="n">
        <f aca="false">IF($B48="","",IFERROR(INDEX(Rubric!$B$14:$B$23,MATCH($B48,Rubric!$A$14:$A$23,0)),INDEX(Rubric!$B$14:$B$23,MATCH("other",Rubric!$A$14:$A$23,0))))</f>
        <v>5</v>
      </c>
      <c r="D48" s="25" t="n">
        <v>4</v>
      </c>
      <c r="E48" s="25" t="n">
        <v>3</v>
      </c>
      <c r="F48" s="25" t="n">
        <v>4</v>
      </c>
      <c r="G48" s="25" t="n">
        <v>5</v>
      </c>
      <c r="H48" s="25" t="s">
        <v>176</v>
      </c>
      <c r="I48" s="25" t="s">
        <v>176</v>
      </c>
      <c r="J48" s="26" t="n">
        <v>8995</v>
      </c>
      <c r="K48" s="27"/>
      <c r="L48" s="27"/>
      <c r="M48" s="38" t="n">
        <f aca="false">IF($B48="","",IFERROR(INDEX(Rubric!$C$14:$C$23,MATCH($B48,Rubric!$A$14:$A$23,0)),INDEX(Rubric!$C$14:$C$23,MATCH("other",Rubric!$A$14:$A$23,0))))</f>
        <v>11</v>
      </c>
      <c r="N48" s="39" t="n">
        <f aca="false">IF(OR($A48="",$C48=""),"",$C48*Rubric!$B$5+$D48*Rubric!$B$6+$E48*Rubric!$B$7+$F48*Rubric!$B$8+$G48*Rubric!$B$9)</f>
        <v>4.1</v>
      </c>
      <c r="O48" s="40" t="str">
        <f aca="false">IF($A48="","",IF(OR(UPPER($H48)="Y",UPPER($I48)="Y"),"FAIL","PASS"))</f>
        <v>PASS</v>
      </c>
      <c r="P48" s="41" t="n">
        <f aca="false">IF($N48="","",Assumptions!$B$6*MAX(0.05,($N48/Assumptions!$B$11)^Assumptions!$B$12))</f>
        <v>0.0136666666666667</v>
      </c>
      <c r="Q48" s="41" t="n">
        <f aca="false">IF($P48="","",1-(1-$P48)^Assumptions!$B$7)</f>
        <v>0.0664909078989352</v>
      </c>
      <c r="R48" s="42" t="n">
        <f aca="false">IF($M48="","",$M48*Assumptions!$B$7)</f>
        <v>55</v>
      </c>
      <c r="S48" s="42" t="n">
        <f aca="false">IF(OR($J48="",$Q48="",$Q48=0),"",($J48+$R48)/($Q48*(1-Assumptions!$B$4)))</f>
        <v>170136.043520338</v>
      </c>
      <c r="T48" s="43" t="str">
        <f aca="false">IF(OR($K48="",$S48="",$S48=0),"",$K48/$S48)</f>
        <v/>
      </c>
      <c r="U48" s="44" t="str">
        <f aca="false">IF(OR($K48="",$Q48=""),"",MAX(0,($K48-MAX($K48*Assumptions!$B$4,Assumptions!$B$5))*$Q48-$R48))</f>
        <v/>
      </c>
      <c r="V48" s="40" t="str">
        <f aca="false">IF($A48="","",IF($O48="FAIL","REJECT",IF($J48="","NEEDS PRICE",IF(OR($K48="",$L48=""),"NEEDS VALUATION",IF($T48&gt;=Assumptions!$B$13,"BUY",IF($T48&gt;=1,"MARGINAL","PASS"))))))</f>
        <v>NEEDS VALUATION</v>
      </c>
      <c r="W48" s="25" t="s">
        <v>204</v>
      </c>
      <c r="X48" s="35" t="s">
        <v>265</v>
      </c>
    </row>
    <row r="49" customFormat="false" ht="15" hidden="false" customHeight="false" outlineLevel="0" collapsed="false">
      <c r="A49" s="22" t="s">
        <v>266</v>
      </c>
      <c r="B49" s="36" t="str">
        <f aca="false">IF($A49="","",IF(ISERROR(FIND(".",$A49)),"",LOWER(MID($A49,FIND(CHAR(1),SUBSTITUTE($A49,".",CHAR(1),LEN($A49)-LEN(SUBSTITUTE($A49,".",""))))+1,LEN($A49)))))</f>
        <v>com</v>
      </c>
      <c r="C49" s="37" t="n">
        <f aca="false">IF($B49="","",IFERROR(INDEX(Rubric!$B$14:$B$23,MATCH($B49,Rubric!$A$14:$A$23,0)),INDEX(Rubric!$B$14:$B$23,MATCH("other",Rubric!$A$14:$A$23,0))))</f>
        <v>5</v>
      </c>
      <c r="D49" s="25" t="n">
        <v>3</v>
      </c>
      <c r="E49" s="25" t="n">
        <v>2</v>
      </c>
      <c r="F49" s="25" t="n">
        <v>4</v>
      </c>
      <c r="G49" s="25" t="n">
        <v>4</v>
      </c>
      <c r="H49" s="25" t="s">
        <v>176</v>
      </c>
      <c r="I49" s="25" t="s">
        <v>176</v>
      </c>
      <c r="J49" s="26"/>
      <c r="K49" s="27"/>
      <c r="L49" s="27"/>
      <c r="M49" s="38" t="n">
        <f aca="false">IF($B49="","",IFERROR(INDEX(Rubric!$C$14:$C$23,MATCH($B49,Rubric!$A$14:$A$23,0)),INDEX(Rubric!$C$14:$C$23,MATCH("other",Rubric!$A$14:$A$23,0))))</f>
        <v>11</v>
      </c>
      <c r="N49" s="39" t="n">
        <f aca="false">IF(OR($A49="",$C49=""),"",$C49*Rubric!$B$5+$D49*Rubric!$B$6+$E49*Rubric!$B$7+$F49*Rubric!$B$8+$G49*Rubric!$B$9)</f>
        <v>3.48</v>
      </c>
      <c r="O49" s="40" t="str">
        <f aca="false">IF($A49="","",IF(OR(UPPER($H49)="Y",UPPER($I49)="Y"),"FAIL","PASS"))</f>
        <v>PASS</v>
      </c>
      <c r="P49" s="41" t="n">
        <f aca="false">IF($N49="","",Assumptions!$B$6*MAX(0.05,($N49/Assumptions!$B$11)^Assumptions!$B$12))</f>
        <v>0.0116</v>
      </c>
      <c r="Q49" s="41" t="n">
        <f aca="false">IF($P49="","",1-(1-$P49)^Assumptions!$B$7)</f>
        <v>0.0566699186380665</v>
      </c>
      <c r="R49" s="42" t="n">
        <f aca="false">IF($M49="","",$M49*Assumptions!$B$7)</f>
        <v>55</v>
      </c>
      <c r="S49" s="42" t="str">
        <f aca="false">IF(OR($J49="",$Q49="",$Q49=0),"",($J49+$R49)/($Q49*(1-Assumptions!$B$4)))</f>
        <v/>
      </c>
      <c r="T49" s="43" t="str">
        <f aca="false">IF(OR($K49="",$S49="",$S49=0),"",$K49/$S49)</f>
        <v/>
      </c>
      <c r="U49" s="44" t="str">
        <f aca="false">IF(OR($K49="",$Q49=""),"",MAX(0,($K49-MAX($K49*Assumptions!$B$4,Assumptions!$B$5))*$Q49-$R49))</f>
        <v/>
      </c>
      <c r="V49" s="40" t="str">
        <f aca="false">IF($A49="","",IF($O49="FAIL","REJECT",IF($J49="","NEEDS PRICE",IF(OR($K49="",$L49=""),"NEEDS VALUATION",IF($T49&gt;=Assumptions!$B$13,"BUY",IF($T49&gt;=1,"MARGINAL","PASS"))))))</f>
        <v>NEEDS PRICE</v>
      </c>
      <c r="W49" s="25" t="s">
        <v>177</v>
      </c>
      <c r="X49" s="35" t="s">
        <v>267</v>
      </c>
    </row>
    <row r="50" customFormat="false" ht="15" hidden="false" customHeight="false" outlineLevel="0" collapsed="false">
      <c r="A50" s="22" t="s">
        <v>268</v>
      </c>
      <c r="B50" s="36" t="str">
        <f aca="false">IF($A50="","",IF(ISERROR(FIND(".",$A50)),"",LOWER(MID($A50,FIND(CHAR(1),SUBSTITUTE($A50,".",CHAR(1),LEN($A50)-LEN(SUBSTITUTE($A50,".",""))))+1,LEN($A50)))))</f>
        <v>com</v>
      </c>
      <c r="C50" s="37" t="n">
        <f aca="false">IF($B50="","",IFERROR(INDEX(Rubric!$B$14:$B$23,MATCH($B50,Rubric!$A$14:$A$23,0)),INDEX(Rubric!$B$14:$B$23,MATCH("other",Rubric!$A$14:$A$23,0))))</f>
        <v>5</v>
      </c>
      <c r="D50" s="25" t="n">
        <v>3</v>
      </c>
      <c r="E50" s="25" t="n">
        <v>2</v>
      </c>
      <c r="F50" s="25" t="n">
        <v>5</v>
      </c>
      <c r="G50" s="25" t="n">
        <v>4</v>
      </c>
      <c r="H50" s="25" t="s">
        <v>176</v>
      </c>
      <c r="I50" s="25" t="s">
        <v>176</v>
      </c>
      <c r="J50" s="26"/>
      <c r="K50" s="27"/>
      <c r="L50" s="27"/>
      <c r="M50" s="38" t="n">
        <f aca="false">IF($B50="","",IFERROR(INDEX(Rubric!$C$14:$C$23,MATCH($B50,Rubric!$A$14:$A$23,0)),INDEX(Rubric!$C$14:$C$23,MATCH("other",Rubric!$A$14:$A$23,0))))</f>
        <v>11</v>
      </c>
      <c r="N50" s="39" t="n">
        <f aca="false">IF(OR($A50="",$C50=""),"",$C50*Rubric!$B$5+$D50*Rubric!$B$6+$E50*Rubric!$B$7+$F50*Rubric!$B$8+$G50*Rubric!$B$9)</f>
        <v>3.64</v>
      </c>
      <c r="O50" s="40" t="str">
        <f aca="false">IF($A50="","",IF(OR(UPPER($H50)="Y",UPPER($I50)="Y"),"FAIL","PASS"))</f>
        <v>PASS</v>
      </c>
      <c r="P50" s="41" t="n">
        <f aca="false">IF($N50="","",Assumptions!$B$6*MAX(0.05,($N50/Assumptions!$B$11)^Assumptions!$B$12))</f>
        <v>0.0121333333333333</v>
      </c>
      <c r="Q50" s="41" t="n">
        <f aca="false">IF($P50="","",1-(1-$P50)^Assumptions!$B$7)</f>
        <v>0.0592122432101887</v>
      </c>
      <c r="R50" s="42" t="n">
        <f aca="false">IF($M50="","",$M50*Assumptions!$B$7)</f>
        <v>55</v>
      </c>
      <c r="S50" s="42" t="str">
        <f aca="false">IF(OR($J50="",$Q50="",$Q50=0),"",($J50+$R50)/($Q50*(1-Assumptions!$B$4)))</f>
        <v/>
      </c>
      <c r="T50" s="43" t="str">
        <f aca="false">IF(OR($K50="",$S50="",$S50=0),"",$K50/$S50)</f>
        <v/>
      </c>
      <c r="U50" s="44" t="str">
        <f aca="false">IF(OR($K50="",$Q50=""),"",MAX(0,($K50-MAX($K50*Assumptions!$B$4,Assumptions!$B$5))*$Q50-$R50))</f>
        <v/>
      </c>
      <c r="V50" s="40" t="str">
        <f aca="false">IF($A50="","",IF($O50="FAIL","REJECT",IF($J50="","NEEDS PRICE",IF(OR($K50="",$L50=""),"NEEDS VALUATION",IF($T50&gt;=Assumptions!$B$13,"BUY",IF($T50&gt;=1,"MARGINAL","PASS"))))))</f>
        <v>NEEDS PRICE</v>
      </c>
      <c r="W50" s="25" t="s">
        <v>177</v>
      </c>
      <c r="X50" s="35" t="s">
        <v>269</v>
      </c>
    </row>
    <row r="51" customFormat="false" ht="15" hidden="false" customHeight="false" outlineLevel="0" collapsed="false">
      <c r="A51" s="22" t="s">
        <v>270</v>
      </c>
      <c r="B51" s="36" t="str">
        <f aca="false">IF($A51="","",IF(ISERROR(FIND(".",$A51)),"",LOWER(MID($A51,FIND(CHAR(1),SUBSTITUTE($A51,".",CHAR(1),LEN($A51)-LEN(SUBSTITUTE($A51,".",""))))+1,LEN($A51)))))</f>
        <v>com</v>
      </c>
      <c r="C51" s="37" t="n">
        <f aca="false">IF($B51="","",IFERROR(INDEX(Rubric!$B$14:$B$23,MATCH($B51,Rubric!$A$14:$A$23,0)),INDEX(Rubric!$B$14:$B$23,MATCH("other",Rubric!$A$14:$A$23,0))))</f>
        <v>5</v>
      </c>
      <c r="D51" s="25" t="n">
        <v>3</v>
      </c>
      <c r="E51" s="25" t="n">
        <v>2</v>
      </c>
      <c r="F51" s="25" t="n">
        <v>4</v>
      </c>
      <c r="G51" s="25" t="n">
        <v>4</v>
      </c>
      <c r="H51" s="25" t="s">
        <v>176</v>
      </c>
      <c r="I51" s="25" t="s">
        <v>176</v>
      </c>
      <c r="J51" s="26"/>
      <c r="K51" s="27"/>
      <c r="L51" s="27"/>
      <c r="M51" s="38" t="n">
        <f aca="false">IF($B51="","",IFERROR(INDEX(Rubric!$C$14:$C$23,MATCH($B51,Rubric!$A$14:$A$23,0)),INDEX(Rubric!$C$14:$C$23,MATCH("other",Rubric!$A$14:$A$23,0))))</f>
        <v>11</v>
      </c>
      <c r="N51" s="39" t="n">
        <f aca="false">IF(OR($A51="",$C51=""),"",$C51*Rubric!$B$5+$D51*Rubric!$B$6+$E51*Rubric!$B$7+$F51*Rubric!$B$8+$G51*Rubric!$B$9)</f>
        <v>3.48</v>
      </c>
      <c r="O51" s="40" t="str">
        <f aca="false">IF($A51="","",IF(OR(UPPER($H51)="Y",UPPER($I51)="Y"),"FAIL","PASS"))</f>
        <v>PASS</v>
      </c>
      <c r="P51" s="41" t="n">
        <f aca="false">IF($N51="","",Assumptions!$B$6*MAX(0.05,($N51/Assumptions!$B$11)^Assumptions!$B$12))</f>
        <v>0.0116</v>
      </c>
      <c r="Q51" s="41" t="n">
        <f aca="false">IF($P51="","",1-(1-$P51)^Assumptions!$B$7)</f>
        <v>0.0566699186380665</v>
      </c>
      <c r="R51" s="42" t="n">
        <f aca="false">IF($M51="","",$M51*Assumptions!$B$7)</f>
        <v>55</v>
      </c>
      <c r="S51" s="42" t="str">
        <f aca="false">IF(OR($J51="",$Q51="",$Q51=0),"",($J51+$R51)/($Q51*(1-Assumptions!$B$4)))</f>
        <v/>
      </c>
      <c r="T51" s="43" t="str">
        <f aca="false">IF(OR($K51="",$S51="",$S51=0),"",$K51/$S51)</f>
        <v/>
      </c>
      <c r="U51" s="44" t="str">
        <f aca="false">IF(OR($K51="",$Q51=""),"",MAX(0,($K51-MAX($K51*Assumptions!$B$4,Assumptions!$B$5))*$Q51-$R51))</f>
        <v/>
      </c>
      <c r="V51" s="40" t="str">
        <f aca="false">IF($A51="","",IF($O51="FAIL","REJECT",IF($J51="","NEEDS PRICE",IF(OR($K51="",$L51=""),"NEEDS VALUATION",IF($T51&gt;=Assumptions!$B$13,"BUY",IF($T51&gt;=1,"MARGINAL","PASS"))))))</f>
        <v>NEEDS PRICE</v>
      </c>
      <c r="W51" s="25" t="s">
        <v>177</v>
      </c>
      <c r="X51" s="35" t="s">
        <v>271</v>
      </c>
    </row>
    <row r="52" customFormat="false" ht="15" hidden="false" customHeight="false" outlineLevel="0" collapsed="false">
      <c r="A52" s="22" t="s">
        <v>272</v>
      </c>
      <c r="B52" s="36" t="str">
        <f aca="false">IF($A52="","",IF(ISERROR(FIND(".",$A52)),"",LOWER(MID($A52,FIND(CHAR(1),SUBSTITUTE($A52,".",CHAR(1),LEN($A52)-LEN(SUBSTITUTE($A52,".",""))))+1,LEN($A52)))))</f>
        <v>com</v>
      </c>
      <c r="C52" s="37" t="n">
        <f aca="false">IF($B52="","",IFERROR(INDEX(Rubric!$B$14:$B$23,MATCH($B52,Rubric!$A$14:$A$23,0)),INDEX(Rubric!$B$14:$B$23,MATCH("other",Rubric!$A$14:$A$23,0))))</f>
        <v>5</v>
      </c>
      <c r="D52" s="25" t="n">
        <v>3</v>
      </c>
      <c r="E52" s="25" t="n">
        <v>2</v>
      </c>
      <c r="F52" s="25" t="n">
        <v>4</v>
      </c>
      <c r="G52" s="25" t="n">
        <v>4</v>
      </c>
      <c r="H52" s="25" t="s">
        <v>176</v>
      </c>
      <c r="I52" s="25" t="s">
        <v>176</v>
      </c>
      <c r="J52" s="26"/>
      <c r="K52" s="27"/>
      <c r="L52" s="27"/>
      <c r="M52" s="38" t="n">
        <f aca="false">IF($B52="","",IFERROR(INDEX(Rubric!$C$14:$C$23,MATCH($B52,Rubric!$A$14:$A$23,0)),INDEX(Rubric!$C$14:$C$23,MATCH("other",Rubric!$A$14:$A$23,0))))</f>
        <v>11</v>
      </c>
      <c r="N52" s="39" t="n">
        <f aca="false">IF(OR($A52="",$C52=""),"",$C52*Rubric!$B$5+$D52*Rubric!$B$6+$E52*Rubric!$B$7+$F52*Rubric!$B$8+$G52*Rubric!$B$9)</f>
        <v>3.48</v>
      </c>
      <c r="O52" s="40" t="str">
        <f aca="false">IF($A52="","",IF(OR(UPPER($H52)="Y",UPPER($I52)="Y"),"FAIL","PASS"))</f>
        <v>PASS</v>
      </c>
      <c r="P52" s="41" t="n">
        <f aca="false">IF($N52="","",Assumptions!$B$6*MAX(0.05,($N52/Assumptions!$B$11)^Assumptions!$B$12))</f>
        <v>0.0116</v>
      </c>
      <c r="Q52" s="41" t="n">
        <f aca="false">IF($P52="","",1-(1-$P52)^Assumptions!$B$7)</f>
        <v>0.0566699186380665</v>
      </c>
      <c r="R52" s="42" t="n">
        <f aca="false">IF($M52="","",$M52*Assumptions!$B$7)</f>
        <v>55</v>
      </c>
      <c r="S52" s="42" t="str">
        <f aca="false">IF(OR($J52="",$Q52="",$Q52=0),"",($J52+$R52)/($Q52*(1-Assumptions!$B$4)))</f>
        <v/>
      </c>
      <c r="T52" s="43" t="str">
        <f aca="false">IF(OR($K52="",$S52="",$S52=0),"",$K52/$S52)</f>
        <v/>
      </c>
      <c r="U52" s="44" t="str">
        <f aca="false">IF(OR($K52="",$Q52=""),"",MAX(0,($K52-MAX($K52*Assumptions!$B$4,Assumptions!$B$5))*$Q52-$R52))</f>
        <v/>
      </c>
      <c r="V52" s="40" t="str">
        <f aca="false">IF($A52="","",IF($O52="FAIL","REJECT",IF($J52="","NEEDS PRICE",IF(OR($K52="",$L52=""),"NEEDS VALUATION",IF($T52&gt;=Assumptions!$B$13,"BUY",IF($T52&gt;=1,"MARGINAL","PASS"))))))</f>
        <v>NEEDS PRICE</v>
      </c>
      <c r="W52" s="25" t="s">
        <v>177</v>
      </c>
      <c r="X52" s="35" t="s">
        <v>273</v>
      </c>
    </row>
    <row r="53" customFormat="false" ht="15" hidden="false" customHeight="false" outlineLevel="0" collapsed="false">
      <c r="A53" s="22" t="s">
        <v>274</v>
      </c>
      <c r="B53" s="36" t="str">
        <f aca="false">IF($A53="","",IF(ISERROR(FIND(".",$A53)),"",LOWER(MID($A53,FIND(CHAR(1),SUBSTITUTE($A53,".",CHAR(1),LEN($A53)-LEN(SUBSTITUTE($A53,".",""))))+1,LEN($A53)))))</f>
        <v>com</v>
      </c>
      <c r="C53" s="37" t="n">
        <f aca="false">IF($B53="","",IFERROR(INDEX(Rubric!$B$14:$B$23,MATCH($B53,Rubric!$A$14:$A$23,0)),INDEX(Rubric!$B$14:$B$23,MATCH("other",Rubric!$A$14:$A$23,0))))</f>
        <v>5</v>
      </c>
      <c r="D53" s="25" t="n">
        <v>3</v>
      </c>
      <c r="E53" s="25" t="n">
        <v>2</v>
      </c>
      <c r="F53" s="25" t="n">
        <v>4</v>
      </c>
      <c r="G53" s="25" t="n">
        <v>4</v>
      </c>
      <c r="H53" s="25" t="s">
        <v>176</v>
      </c>
      <c r="I53" s="25" t="s">
        <v>176</v>
      </c>
      <c r="J53" s="26" t="n">
        <v>22.99</v>
      </c>
      <c r="K53" s="27"/>
      <c r="L53" s="27"/>
      <c r="M53" s="38" t="n">
        <f aca="false">IF($B53="","",IFERROR(INDEX(Rubric!$C$14:$C$23,MATCH($B53,Rubric!$A$14:$A$23,0)),INDEX(Rubric!$C$14:$C$23,MATCH("other",Rubric!$A$14:$A$23,0))))</f>
        <v>11</v>
      </c>
      <c r="N53" s="39" t="n">
        <f aca="false">IF(OR($A53="",$C53=""),"",$C53*Rubric!$B$5+$D53*Rubric!$B$6+$E53*Rubric!$B$7+$F53*Rubric!$B$8+$G53*Rubric!$B$9)</f>
        <v>3.48</v>
      </c>
      <c r="O53" s="40" t="str">
        <f aca="false">IF($A53="","",IF(OR(UPPER($H53)="Y",UPPER($I53)="Y"),"FAIL","PASS"))</f>
        <v>PASS</v>
      </c>
      <c r="P53" s="41" t="n">
        <f aca="false">IF($N53="","",Assumptions!$B$6*MAX(0.05,($N53/Assumptions!$B$11)^Assumptions!$B$12))</f>
        <v>0.0116</v>
      </c>
      <c r="Q53" s="41" t="n">
        <f aca="false">IF($P53="","",1-(1-$P53)^Assumptions!$B$7)</f>
        <v>0.0566699186380665</v>
      </c>
      <c r="R53" s="42" t="n">
        <f aca="false">IF($M53="","",$M53*Assumptions!$B$7)</f>
        <v>55</v>
      </c>
      <c r="S53" s="42" t="n">
        <f aca="false">IF(OR($J53="",$Q53="",$Q53=0),"",($J53+$R53)/($Q53*(1-Assumptions!$B$4)))</f>
        <v>1720.26892472924</v>
      </c>
      <c r="T53" s="43" t="str">
        <f aca="false">IF(OR($K53="",$S53="",$S53=0),"",$K53/$S53)</f>
        <v/>
      </c>
      <c r="U53" s="44" t="str">
        <f aca="false">IF(OR($K53="",$Q53=""),"",MAX(0,($K53-MAX($K53*Assumptions!$B$4,Assumptions!$B$5))*$Q53-$R53))</f>
        <v/>
      </c>
      <c r="V53" s="40" t="str">
        <f aca="false">IF($A53="","",IF($O53="FAIL","REJECT",IF($J53="","NEEDS PRICE",IF(OR($K53="",$L53=""),"NEEDS VALUATION",IF($T53&gt;=Assumptions!$B$13,"BUY",IF($T53&gt;=1,"MARGINAL","PASS"))))))</f>
        <v>NEEDS VALUATION</v>
      </c>
      <c r="W53" s="25" t="s">
        <v>218</v>
      </c>
      <c r="X53" s="35" t="s">
        <v>275</v>
      </c>
    </row>
    <row r="54" customFormat="false" ht="23.85" hidden="false" customHeight="false" outlineLevel="0" collapsed="false">
      <c r="A54" s="22" t="s">
        <v>276</v>
      </c>
      <c r="B54" s="36" t="str">
        <f aca="false">IF($A54="","",IF(ISERROR(FIND(".",$A54)),"",LOWER(MID($A54,FIND(CHAR(1),SUBSTITUTE($A54,".",CHAR(1),LEN($A54)-LEN(SUBSTITUTE($A54,".",""))))+1,LEN($A54)))))</f>
        <v>com</v>
      </c>
      <c r="C54" s="37" t="n">
        <f aca="false">IF($B54="","",IFERROR(INDEX(Rubric!$B$14:$B$23,MATCH($B54,Rubric!$A$14:$A$23,0)),INDEX(Rubric!$B$14:$B$23,MATCH("other",Rubric!$A$14:$A$23,0))))</f>
        <v>5</v>
      </c>
      <c r="D54" s="25" t="n">
        <v>3</v>
      </c>
      <c r="E54" s="25" t="n">
        <v>2</v>
      </c>
      <c r="F54" s="25" t="n">
        <v>4</v>
      </c>
      <c r="G54" s="25" t="n">
        <v>5</v>
      </c>
      <c r="H54" s="25" t="s">
        <v>254</v>
      </c>
      <c r="I54" s="25" t="s">
        <v>176</v>
      </c>
      <c r="J54" s="26"/>
      <c r="K54" s="27"/>
      <c r="L54" s="27"/>
      <c r="M54" s="38" t="n">
        <f aca="false">IF($B54="","",IFERROR(INDEX(Rubric!$C$14:$C$23,MATCH($B54,Rubric!$A$14:$A$23,0)),INDEX(Rubric!$C$14:$C$23,MATCH("other",Rubric!$A$14:$A$23,0))))</f>
        <v>11</v>
      </c>
      <c r="N54" s="39" t="n">
        <f aca="false">IF(OR($A54="",$C54=""),"",$C54*Rubric!$B$5+$D54*Rubric!$B$6+$E54*Rubric!$B$7+$F54*Rubric!$B$8+$G54*Rubric!$B$9)</f>
        <v>3.58</v>
      </c>
      <c r="O54" s="40" t="str">
        <f aca="false">IF($A54="","",IF(OR(UPPER($H54)="Y",UPPER($I54)="Y"),"FAIL","PASS"))</f>
        <v>FAIL</v>
      </c>
      <c r="P54" s="41" t="n">
        <f aca="false">IF($N54="","",Assumptions!$B$6*MAX(0.05,($N54/Assumptions!$B$11)^Assumptions!$B$12))</f>
        <v>0.0119333333333333</v>
      </c>
      <c r="Q54" s="41" t="n">
        <f aca="false">IF($P54="","",1-(1-$P54)^Assumptions!$B$7)</f>
        <v>0.0582595146661268</v>
      </c>
      <c r="R54" s="42" t="n">
        <f aca="false">IF($M54="","",$M54*Assumptions!$B$7)</f>
        <v>55</v>
      </c>
      <c r="S54" s="42" t="str">
        <f aca="false">IF(OR($J54="",$Q54="",$Q54=0),"",($J54+$R54)/($Q54*(1-Assumptions!$B$4)))</f>
        <v/>
      </c>
      <c r="T54" s="43" t="str">
        <f aca="false">IF(OR($K54="",$S54="",$S54=0),"",$K54/$S54)</f>
        <v/>
      </c>
      <c r="U54" s="44" t="str">
        <f aca="false">IF(OR($K54="",$Q54=""),"",MAX(0,($K54-MAX($K54*Assumptions!$B$4,Assumptions!$B$5))*$Q54-$R54))</f>
        <v/>
      </c>
      <c r="V54" s="40" t="str">
        <f aca="false">IF($A54="","",IF($O54="FAIL","REJECT",IF($J54="","NEEDS PRICE",IF(OR($K54="",$L54=""),"NEEDS VALUATION",IF($T54&gt;=Assumptions!$B$13,"BUY",IF($T54&gt;=1,"MARGINAL","PASS"))))))</f>
        <v>REJECT</v>
      </c>
      <c r="W54" s="25" t="s">
        <v>177</v>
      </c>
      <c r="X54" s="35" t="s">
        <v>277</v>
      </c>
    </row>
    <row r="55" customFormat="false" ht="15" hidden="false" customHeight="false" outlineLevel="0" collapsed="false">
      <c r="A55" s="22" t="s">
        <v>278</v>
      </c>
      <c r="B55" s="36" t="str">
        <f aca="false">IF($A55="","",IF(ISERROR(FIND(".",$A55)),"",LOWER(MID($A55,FIND(CHAR(1),SUBSTITUTE($A55,".",CHAR(1),LEN($A55)-LEN(SUBSTITUTE($A55,".",""))))+1,LEN($A55)))))</f>
        <v>com</v>
      </c>
      <c r="C55" s="37" t="n">
        <f aca="false">IF($B55="","",IFERROR(INDEX(Rubric!$B$14:$B$23,MATCH($B55,Rubric!$A$14:$A$23,0)),INDEX(Rubric!$B$14:$B$23,MATCH("other",Rubric!$A$14:$A$23,0))))</f>
        <v>5</v>
      </c>
      <c r="D55" s="25" t="n">
        <v>4</v>
      </c>
      <c r="E55" s="25" t="n">
        <v>3</v>
      </c>
      <c r="F55" s="25" t="n">
        <v>5</v>
      </c>
      <c r="G55" s="25" t="n">
        <v>5</v>
      </c>
      <c r="H55" s="25" t="s">
        <v>176</v>
      </c>
      <c r="I55" s="25" t="s">
        <v>176</v>
      </c>
      <c r="J55" s="26"/>
      <c r="K55" s="27"/>
      <c r="L55" s="27"/>
      <c r="M55" s="38" t="n">
        <f aca="false">IF($B55="","",IFERROR(INDEX(Rubric!$C$14:$C$23,MATCH($B55,Rubric!$A$14:$A$23,0)),INDEX(Rubric!$C$14:$C$23,MATCH("other",Rubric!$A$14:$A$23,0))))</f>
        <v>11</v>
      </c>
      <c r="N55" s="39" t="n">
        <f aca="false">IF(OR($A55="",$C55=""),"",$C55*Rubric!$B$5+$D55*Rubric!$B$6+$E55*Rubric!$B$7+$F55*Rubric!$B$8+$G55*Rubric!$B$9)</f>
        <v>4.26</v>
      </c>
      <c r="O55" s="40" t="str">
        <f aca="false">IF($A55="","",IF(OR(UPPER($H55)="Y",UPPER($I55)="Y"),"FAIL","PASS"))</f>
        <v>PASS</v>
      </c>
      <c r="P55" s="41" t="n">
        <f aca="false">IF($N55="","",Assumptions!$B$6*MAX(0.05,($N55/Assumptions!$B$11)^Assumptions!$B$12))</f>
        <v>0.0142</v>
      </c>
      <c r="Q55" s="41" t="n">
        <f aca="false">IF($P55="","",1-(1-$P55)^Assumptions!$B$7)</f>
        <v>0.0690120301639053</v>
      </c>
      <c r="R55" s="42" t="n">
        <f aca="false">IF($M55="","",$M55*Assumptions!$B$7)</f>
        <v>55</v>
      </c>
      <c r="S55" s="42" t="str">
        <f aca="false">IF(OR($J55="",$Q55="",$Q55=0),"",($J55+$R55)/($Q55*(1-Assumptions!$B$4)))</f>
        <v/>
      </c>
      <c r="T55" s="43" t="str">
        <f aca="false">IF(OR($K55="",$S55="",$S55=0),"",$K55/$S55)</f>
        <v/>
      </c>
      <c r="U55" s="44" t="str">
        <f aca="false">IF(OR($K55="",$Q55=""),"",MAX(0,($K55-MAX($K55*Assumptions!$B$4,Assumptions!$B$5))*$Q55-$R55))</f>
        <v/>
      </c>
      <c r="V55" s="40" t="str">
        <f aca="false">IF($A55="","",IF($O55="FAIL","REJECT",IF($J55="","NEEDS PRICE",IF(OR($K55="",$L55=""),"NEEDS VALUATION",IF($T55&gt;=Assumptions!$B$13,"BUY",IF($T55&gt;=1,"MARGINAL","PASS"))))))</f>
        <v>NEEDS PRICE</v>
      </c>
      <c r="W55" s="25" t="s">
        <v>177</v>
      </c>
      <c r="X55" s="35" t="s">
        <v>279</v>
      </c>
    </row>
    <row r="56" customFormat="false" ht="15" hidden="false" customHeight="false" outlineLevel="0" collapsed="false">
      <c r="A56" s="22" t="s">
        <v>280</v>
      </c>
      <c r="B56" s="36" t="str">
        <f aca="false">IF($A56="","",IF(ISERROR(FIND(".",$A56)),"",LOWER(MID($A56,FIND(CHAR(1),SUBSTITUTE($A56,".",CHAR(1),LEN($A56)-LEN(SUBSTITUTE($A56,".",""))))+1,LEN($A56)))))</f>
        <v>com</v>
      </c>
      <c r="C56" s="37" t="n">
        <f aca="false">IF($B56="","",IFERROR(INDEX(Rubric!$B$14:$B$23,MATCH($B56,Rubric!$A$14:$A$23,0)),INDEX(Rubric!$B$14:$B$23,MATCH("other",Rubric!$A$14:$A$23,0))))</f>
        <v>5</v>
      </c>
      <c r="D56" s="25" t="n">
        <v>4</v>
      </c>
      <c r="E56" s="25" t="n">
        <v>3</v>
      </c>
      <c r="F56" s="25" t="n">
        <v>5</v>
      </c>
      <c r="G56" s="25" t="n">
        <v>5</v>
      </c>
      <c r="H56" s="25" t="s">
        <v>176</v>
      </c>
      <c r="I56" s="25" t="s">
        <v>176</v>
      </c>
      <c r="J56" s="26"/>
      <c r="K56" s="27"/>
      <c r="L56" s="27"/>
      <c r="M56" s="38" t="n">
        <f aca="false">IF($B56="","",IFERROR(INDEX(Rubric!$C$14:$C$23,MATCH($B56,Rubric!$A$14:$A$23,0)),INDEX(Rubric!$C$14:$C$23,MATCH("other",Rubric!$A$14:$A$23,0))))</f>
        <v>11</v>
      </c>
      <c r="N56" s="39" t="n">
        <f aca="false">IF(OR($A56="",$C56=""),"",$C56*Rubric!$B$5+$D56*Rubric!$B$6+$E56*Rubric!$B$7+$F56*Rubric!$B$8+$G56*Rubric!$B$9)</f>
        <v>4.26</v>
      </c>
      <c r="O56" s="40" t="str">
        <f aca="false">IF($A56="","",IF(OR(UPPER($H56)="Y",UPPER($I56)="Y"),"FAIL","PASS"))</f>
        <v>PASS</v>
      </c>
      <c r="P56" s="41" t="n">
        <f aca="false">IF($N56="","",Assumptions!$B$6*MAX(0.05,($N56/Assumptions!$B$11)^Assumptions!$B$12))</f>
        <v>0.0142</v>
      </c>
      <c r="Q56" s="41" t="n">
        <f aca="false">IF($P56="","",1-(1-$P56)^Assumptions!$B$7)</f>
        <v>0.0690120301639053</v>
      </c>
      <c r="R56" s="42" t="n">
        <f aca="false">IF($M56="","",$M56*Assumptions!$B$7)</f>
        <v>55</v>
      </c>
      <c r="S56" s="42" t="str">
        <f aca="false">IF(OR($J56="",$Q56="",$Q56=0),"",($J56+$R56)/($Q56*(1-Assumptions!$B$4)))</f>
        <v/>
      </c>
      <c r="T56" s="43" t="str">
        <f aca="false">IF(OR($K56="",$S56="",$S56=0),"",$K56/$S56)</f>
        <v/>
      </c>
      <c r="U56" s="44" t="str">
        <f aca="false">IF(OR($K56="",$Q56=""),"",MAX(0,($K56-MAX($K56*Assumptions!$B$4,Assumptions!$B$5))*$Q56-$R56))</f>
        <v/>
      </c>
      <c r="V56" s="40" t="str">
        <f aca="false">IF($A56="","",IF($O56="FAIL","REJECT",IF($J56="","NEEDS PRICE",IF(OR($K56="",$L56=""),"NEEDS VALUATION",IF($T56&gt;=Assumptions!$B$13,"BUY",IF($T56&gt;=1,"MARGINAL","PASS"))))))</f>
        <v>NEEDS PRICE</v>
      </c>
      <c r="W56" s="25" t="s">
        <v>177</v>
      </c>
      <c r="X56" s="35" t="s">
        <v>281</v>
      </c>
    </row>
    <row r="57" customFormat="false" ht="15" hidden="false" customHeight="false" outlineLevel="0" collapsed="false">
      <c r="A57" s="22" t="s">
        <v>282</v>
      </c>
      <c r="B57" s="36" t="str">
        <f aca="false">IF($A57="","",IF(ISERROR(FIND(".",$A57)),"",LOWER(MID($A57,FIND(CHAR(1),SUBSTITUTE($A57,".",CHAR(1),LEN($A57)-LEN(SUBSTITUTE($A57,".",""))))+1,LEN($A57)))))</f>
        <v>com</v>
      </c>
      <c r="C57" s="37" t="n">
        <f aca="false">IF($B57="","",IFERROR(INDEX(Rubric!$B$14:$B$23,MATCH($B57,Rubric!$A$14:$A$23,0)),INDEX(Rubric!$B$14:$B$23,MATCH("other",Rubric!$A$14:$A$23,0))))</f>
        <v>5</v>
      </c>
      <c r="D57" s="25" t="n">
        <v>4</v>
      </c>
      <c r="E57" s="25" t="n">
        <v>3</v>
      </c>
      <c r="F57" s="25" t="n">
        <v>5</v>
      </c>
      <c r="G57" s="25" t="n">
        <v>5</v>
      </c>
      <c r="H57" s="25" t="s">
        <v>176</v>
      </c>
      <c r="I57" s="25" t="s">
        <v>176</v>
      </c>
      <c r="J57" s="26" t="n">
        <v>70000</v>
      </c>
      <c r="K57" s="27"/>
      <c r="L57" s="27"/>
      <c r="M57" s="38" t="n">
        <f aca="false">IF($B57="","",IFERROR(INDEX(Rubric!$C$14:$C$23,MATCH($B57,Rubric!$A$14:$A$23,0)),INDEX(Rubric!$C$14:$C$23,MATCH("other",Rubric!$A$14:$A$23,0))))</f>
        <v>11</v>
      </c>
      <c r="N57" s="39" t="n">
        <f aca="false">IF(OR($A57="",$C57=""),"",$C57*Rubric!$B$5+$D57*Rubric!$B$6+$E57*Rubric!$B$7+$F57*Rubric!$B$8+$G57*Rubric!$B$9)</f>
        <v>4.26</v>
      </c>
      <c r="O57" s="40" t="str">
        <f aca="false">IF($A57="","",IF(OR(UPPER($H57)="Y",UPPER($I57)="Y"),"FAIL","PASS"))</f>
        <v>PASS</v>
      </c>
      <c r="P57" s="41" t="n">
        <f aca="false">IF($N57="","",Assumptions!$B$6*MAX(0.05,($N57/Assumptions!$B$11)^Assumptions!$B$12))</f>
        <v>0.0142</v>
      </c>
      <c r="Q57" s="41" t="n">
        <f aca="false">IF($P57="","",1-(1-$P57)^Assumptions!$B$7)</f>
        <v>0.0690120301639053</v>
      </c>
      <c r="R57" s="42" t="n">
        <f aca="false">IF($M57="","",$M57*Assumptions!$B$7)</f>
        <v>55</v>
      </c>
      <c r="S57" s="42" t="n">
        <f aca="false">IF(OR($J57="",$Q57="",$Q57=0),"",($J57+$R57)/($Q57*(1-Assumptions!$B$4)))</f>
        <v>1268891.08742377</v>
      </c>
      <c r="T57" s="43" t="str">
        <f aca="false">IF(OR($K57="",$S57="",$S57=0),"",$K57/$S57)</f>
        <v/>
      </c>
      <c r="U57" s="44" t="str">
        <f aca="false">IF(OR($K57="",$Q57=""),"",MAX(0,($K57-MAX($K57*Assumptions!$B$4,Assumptions!$B$5))*$Q57-$R57))</f>
        <v/>
      </c>
      <c r="V57" s="40" t="str">
        <f aca="false">IF($A57="","",IF($O57="FAIL","REJECT",IF($J57="","NEEDS PRICE",IF(OR($K57="",$L57=""),"NEEDS VALUATION",IF($T57&gt;=Assumptions!$B$13,"BUY",IF($T57&gt;=1,"MARGINAL","PASS"))))))</f>
        <v>NEEDS VALUATION</v>
      </c>
      <c r="W57" s="25" t="s">
        <v>204</v>
      </c>
      <c r="X57" s="35" t="s">
        <v>283</v>
      </c>
    </row>
    <row r="58" customFormat="false" ht="15" hidden="false" customHeight="false" outlineLevel="0" collapsed="false">
      <c r="A58" s="22" t="s">
        <v>284</v>
      </c>
      <c r="B58" s="36" t="str">
        <f aca="false">IF($A58="","",IF(ISERROR(FIND(".",$A58)),"",LOWER(MID($A58,FIND(CHAR(1),SUBSTITUTE($A58,".",CHAR(1),LEN($A58)-LEN(SUBSTITUTE($A58,".",""))))+1,LEN($A58)))))</f>
        <v>com</v>
      </c>
      <c r="C58" s="37" t="n">
        <f aca="false">IF($B58="","",IFERROR(INDEX(Rubric!$B$14:$B$23,MATCH($B58,Rubric!$A$14:$A$23,0)),INDEX(Rubric!$B$14:$B$23,MATCH("other",Rubric!$A$14:$A$23,0))))</f>
        <v>5</v>
      </c>
      <c r="D58" s="25" t="n">
        <v>3</v>
      </c>
      <c r="E58" s="25" t="n">
        <v>2</v>
      </c>
      <c r="F58" s="25" t="n">
        <v>5</v>
      </c>
      <c r="G58" s="25" t="n">
        <v>4</v>
      </c>
      <c r="H58" s="25" t="s">
        <v>176</v>
      </c>
      <c r="I58" s="25" t="s">
        <v>176</v>
      </c>
      <c r="J58" s="26" t="n">
        <v>2995</v>
      </c>
      <c r="K58" s="27"/>
      <c r="L58" s="27"/>
      <c r="M58" s="38" t="n">
        <f aca="false">IF($B58="","",IFERROR(INDEX(Rubric!$C$14:$C$23,MATCH($B58,Rubric!$A$14:$A$23,0)),INDEX(Rubric!$C$14:$C$23,MATCH("other",Rubric!$A$14:$A$23,0))))</f>
        <v>11</v>
      </c>
      <c r="N58" s="39" t="n">
        <f aca="false">IF(OR($A58="",$C58=""),"",$C58*Rubric!$B$5+$D58*Rubric!$B$6+$E58*Rubric!$B$7+$F58*Rubric!$B$8+$G58*Rubric!$B$9)</f>
        <v>3.64</v>
      </c>
      <c r="O58" s="40" t="str">
        <f aca="false">IF($A58="","",IF(OR(UPPER($H58)="Y",UPPER($I58)="Y"),"FAIL","PASS"))</f>
        <v>PASS</v>
      </c>
      <c r="P58" s="41" t="n">
        <f aca="false">IF($N58="","",Assumptions!$B$6*MAX(0.05,($N58/Assumptions!$B$11)^Assumptions!$B$12))</f>
        <v>0.0121333333333333</v>
      </c>
      <c r="Q58" s="41" t="n">
        <f aca="false">IF($P58="","",1-(1-$P58)^Assumptions!$B$7)</f>
        <v>0.0592122432101887</v>
      </c>
      <c r="R58" s="42" t="n">
        <f aca="false">IF($M58="","",$M58*Assumptions!$B$7)</f>
        <v>55</v>
      </c>
      <c r="S58" s="42" t="n">
        <f aca="false">IF(OR($J58="",$Q58="",$Q58=0),"",($J58+$R58)/($Q58*(1-Assumptions!$B$4)))</f>
        <v>64387.0218945527</v>
      </c>
      <c r="T58" s="43" t="str">
        <f aca="false">IF(OR($K58="",$S58="",$S58=0),"",$K58/$S58)</f>
        <v/>
      </c>
      <c r="U58" s="44" t="str">
        <f aca="false">IF(OR($K58="",$Q58=""),"",MAX(0,($K58-MAX($K58*Assumptions!$B$4,Assumptions!$B$5))*$Q58-$R58))</f>
        <v/>
      </c>
      <c r="V58" s="40" t="str">
        <f aca="false">IF($A58="","",IF($O58="FAIL","REJECT",IF($J58="","NEEDS PRICE",IF(OR($K58="",$L58=""),"NEEDS VALUATION",IF($T58&gt;=Assumptions!$B$13,"BUY",IF($T58&gt;=1,"MARGINAL","PASS"))))))</f>
        <v>NEEDS VALUATION</v>
      </c>
      <c r="W58" s="25" t="s">
        <v>204</v>
      </c>
      <c r="X58" s="35" t="s">
        <v>285</v>
      </c>
    </row>
    <row r="59" customFormat="false" ht="15" hidden="false" customHeight="false" outlineLevel="0" collapsed="false">
      <c r="A59" s="22" t="s">
        <v>286</v>
      </c>
      <c r="B59" s="36" t="str">
        <f aca="false">IF($A59="","",IF(ISERROR(FIND(".",$A59)),"",LOWER(MID($A59,FIND(CHAR(1),SUBSTITUTE($A59,".",CHAR(1),LEN($A59)-LEN(SUBSTITUTE($A59,".",""))))+1,LEN($A59)))))</f>
        <v>com</v>
      </c>
      <c r="C59" s="37" t="n">
        <f aca="false">IF($B59="","",IFERROR(INDEX(Rubric!$B$14:$B$23,MATCH($B59,Rubric!$A$14:$A$23,0)),INDEX(Rubric!$B$14:$B$23,MATCH("other",Rubric!$A$14:$A$23,0))))</f>
        <v>5</v>
      </c>
      <c r="D59" s="25" t="n">
        <v>3</v>
      </c>
      <c r="E59" s="25" t="n">
        <v>2</v>
      </c>
      <c r="F59" s="25" t="n">
        <v>5</v>
      </c>
      <c r="G59" s="25" t="n">
        <v>4</v>
      </c>
      <c r="H59" s="25" t="s">
        <v>176</v>
      </c>
      <c r="I59" s="25" t="s">
        <v>176</v>
      </c>
      <c r="J59" s="26"/>
      <c r="K59" s="27"/>
      <c r="L59" s="27"/>
      <c r="M59" s="38" t="n">
        <f aca="false">IF($B59="","",IFERROR(INDEX(Rubric!$C$14:$C$23,MATCH($B59,Rubric!$A$14:$A$23,0)),INDEX(Rubric!$C$14:$C$23,MATCH("other",Rubric!$A$14:$A$23,0))))</f>
        <v>11</v>
      </c>
      <c r="N59" s="39" t="n">
        <f aca="false">IF(OR($A59="",$C59=""),"",$C59*Rubric!$B$5+$D59*Rubric!$B$6+$E59*Rubric!$B$7+$F59*Rubric!$B$8+$G59*Rubric!$B$9)</f>
        <v>3.64</v>
      </c>
      <c r="O59" s="40" t="str">
        <f aca="false">IF($A59="","",IF(OR(UPPER($H59)="Y",UPPER($I59)="Y"),"FAIL","PASS"))</f>
        <v>PASS</v>
      </c>
      <c r="P59" s="41" t="n">
        <f aca="false">IF($N59="","",Assumptions!$B$6*MAX(0.05,($N59/Assumptions!$B$11)^Assumptions!$B$12))</f>
        <v>0.0121333333333333</v>
      </c>
      <c r="Q59" s="41" t="n">
        <f aca="false">IF($P59="","",1-(1-$P59)^Assumptions!$B$7)</f>
        <v>0.0592122432101887</v>
      </c>
      <c r="R59" s="42" t="n">
        <f aca="false">IF($M59="","",$M59*Assumptions!$B$7)</f>
        <v>55</v>
      </c>
      <c r="S59" s="42" t="str">
        <f aca="false">IF(OR($J59="",$Q59="",$Q59=0),"",($J59+$R59)/($Q59*(1-Assumptions!$B$4)))</f>
        <v/>
      </c>
      <c r="T59" s="43" t="str">
        <f aca="false">IF(OR($K59="",$S59="",$S59=0),"",$K59/$S59)</f>
        <v/>
      </c>
      <c r="U59" s="44" t="str">
        <f aca="false">IF(OR($K59="",$Q59=""),"",MAX(0,($K59-MAX($K59*Assumptions!$B$4,Assumptions!$B$5))*$Q59-$R59))</f>
        <v/>
      </c>
      <c r="V59" s="40" t="str">
        <f aca="false">IF($A59="","",IF($O59="FAIL","REJECT",IF($J59="","NEEDS PRICE",IF(OR($K59="",$L59=""),"NEEDS VALUATION",IF($T59&gt;=Assumptions!$B$13,"BUY",IF($T59&gt;=1,"MARGINAL","PASS"))))))</f>
        <v>NEEDS PRICE</v>
      </c>
      <c r="W59" s="25" t="s">
        <v>177</v>
      </c>
      <c r="X59" s="35" t="s">
        <v>287</v>
      </c>
    </row>
    <row r="60" customFormat="false" ht="15" hidden="false" customHeight="false" outlineLevel="0" collapsed="false">
      <c r="A60" s="22" t="s">
        <v>288</v>
      </c>
      <c r="B60" s="36" t="str">
        <f aca="false">IF($A60="","",IF(ISERROR(FIND(".",$A60)),"",LOWER(MID($A60,FIND(CHAR(1),SUBSTITUTE($A60,".",CHAR(1),LEN($A60)-LEN(SUBSTITUTE($A60,".",""))))+1,LEN($A60)))))</f>
        <v>com</v>
      </c>
      <c r="C60" s="37" t="n">
        <f aca="false">IF($B60="","",IFERROR(INDEX(Rubric!$B$14:$B$23,MATCH($B60,Rubric!$A$14:$A$23,0)),INDEX(Rubric!$B$14:$B$23,MATCH("other",Rubric!$A$14:$A$23,0))))</f>
        <v>5</v>
      </c>
      <c r="D60" s="25" t="n">
        <v>3</v>
      </c>
      <c r="E60" s="25" t="n">
        <v>2</v>
      </c>
      <c r="F60" s="25" t="n">
        <v>4</v>
      </c>
      <c r="G60" s="25" t="n">
        <v>4</v>
      </c>
      <c r="H60" s="25" t="s">
        <v>176</v>
      </c>
      <c r="I60" s="25" t="s">
        <v>176</v>
      </c>
      <c r="J60" s="26"/>
      <c r="K60" s="27"/>
      <c r="L60" s="27"/>
      <c r="M60" s="38" t="n">
        <f aca="false">IF($B60="","",IFERROR(INDEX(Rubric!$C$14:$C$23,MATCH($B60,Rubric!$A$14:$A$23,0)),INDEX(Rubric!$C$14:$C$23,MATCH("other",Rubric!$A$14:$A$23,0))))</f>
        <v>11</v>
      </c>
      <c r="N60" s="39" t="n">
        <f aca="false">IF(OR($A60="",$C60=""),"",$C60*Rubric!$B$5+$D60*Rubric!$B$6+$E60*Rubric!$B$7+$F60*Rubric!$B$8+$G60*Rubric!$B$9)</f>
        <v>3.48</v>
      </c>
      <c r="O60" s="40" t="str">
        <f aca="false">IF($A60="","",IF(OR(UPPER($H60)="Y",UPPER($I60)="Y"),"FAIL","PASS"))</f>
        <v>PASS</v>
      </c>
      <c r="P60" s="41" t="n">
        <f aca="false">IF($N60="","",Assumptions!$B$6*MAX(0.05,($N60/Assumptions!$B$11)^Assumptions!$B$12))</f>
        <v>0.0116</v>
      </c>
      <c r="Q60" s="41" t="n">
        <f aca="false">IF($P60="","",1-(1-$P60)^Assumptions!$B$7)</f>
        <v>0.0566699186380665</v>
      </c>
      <c r="R60" s="42" t="n">
        <f aca="false">IF($M60="","",$M60*Assumptions!$B$7)</f>
        <v>55</v>
      </c>
      <c r="S60" s="42" t="str">
        <f aca="false">IF(OR($J60="",$Q60="",$Q60=0),"",($J60+$R60)/($Q60*(1-Assumptions!$B$4)))</f>
        <v/>
      </c>
      <c r="T60" s="43" t="str">
        <f aca="false">IF(OR($K60="",$S60="",$S60=0),"",$K60/$S60)</f>
        <v/>
      </c>
      <c r="U60" s="44" t="str">
        <f aca="false">IF(OR($K60="",$Q60=""),"",MAX(0,($K60-MAX($K60*Assumptions!$B$4,Assumptions!$B$5))*$Q60-$R60))</f>
        <v/>
      </c>
      <c r="V60" s="40" t="str">
        <f aca="false">IF($A60="","",IF($O60="FAIL","REJECT",IF($J60="","NEEDS PRICE",IF(OR($K60="",$L60=""),"NEEDS VALUATION",IF($T60&gt;=Assumptions!$B$13,"BUY",IF($T60&gt;=1,"MARGINAL","PASS"))))))</f>
        <v>NEEDS PRICE</v>
      </c>
      <c r="W60" s="25" t="s">
        <v>177</v>
      </c>
      <c r="X60" s="35" t="s">
        <v>289</v>
      </c>
    </row>
    <row r="61" customFormat="false" ht="23.85" hidden="false" customHeight="false" outlineLevel="0" collapsed="false">
      <c r="A61" s="22" t="s">
        <v>290</v>
      </c>
      <c r="B61" s="36" t="str">
        <f aca="false">IF($A61="","",IF(ISERROR(FIND(".",$A61)),"",LOWER(MID($A61,FIND(CHAR(1),SUBSTITUTE($A61,".",CHAR(1),LEN($A61)-LEN(SUBSTITUTE($A61,".",""))))+1,LEN($A61)))))</f>
        <v>com</v>
      </c>
      <c r="C61" s="37" t="n">
        <f aca="false">IF($B61="","",IFERROR(INDEX(Rubric!$B$14:$B$23,MATCH($B61,Rubric!$A$14:$A$23,0)),INDEX(Rubric!$B$14:$B$23,MATCH("other",Rubric!$A$14:$A$23,0))))</f>
        <v>5</v>
      </c>
      <c r="D61" s="25" t="n">
        <v>4</v>
      </c>
      <c r="E61" s="25" t="n">
        <v>2</v>
      </c>
      <c r="F61" s="25" t="n">
        <v>5</v>
      </c>
      <c r="G61" s="25" t="n">
        <v>5</v>
      </c>
      <c r="H61" s="25" t="s">
        <v>176</v>
      </c>
      <c r="I61" s="25" t="s">
        <v>176</v>
      </c>
      <c r="J61" s="26"/>
      <c r="K61" s="27"/>
      <c r="L61" s="25"/>
      <c r="M61" s="38" t="n">
        <f aca="false">IF($B61="","",IFERROR(INDEX(Rubric!$C$14:$C$23,MATCH($B61,Rubric!$A$14:$A$23,0)),INDEX(Rubric!$C$14:$C$23,MATCH("other",Rubric!$A$14:$A$23,0))))</f>
        <v>11</v>
      </c>
      <c r="N61" s="39" t="n">
        <f aca="false">IF(OR($A61="",$C61=""),"",$C61*Rubric!$B$5+$D61*Rubric!$B$6+$E61*Rubric!$B$7+$F61*Rubric!$B$8+$G61*Rubric!$B$9)</f>
        <v>4.04</v>
      </c>
      <c r="O61" s="40" t="str">
        <f aca="false">IF($A61="","",IF(OR(UPPER($H61)="Y",UPPER($I61)="Y"),"FAIL","PASS"))</f>
        <v>PASS</v>
      </c>
      <c r="P61" s="41" t="n">
        <f aca="false">IF($N61="","",Assumptions!$B$6*MAX(0.05,($N61/Assumptions!$B$11)^Assumptions!$B$12))</f>
        <v>0.0134666666666667</v>
      </c>
      <c r="Q61" s="41" t="n">
        <f aca="false">IF($P61="","",1-(1-$P61)^Assumptions!$B$7)</f>
        <v>0.0655440801736189</v>
      </c>
      <c r="R61" s="42" t="n">
        <f aca="false">IF($M61="","",$M61*Assumptions!$B$7)</f>
        <v>55</v>
      </c>
      <c r="S61" s="42" t="str">
        <f aca="false">IF(OR($J61="",$Q61="",$Q61=0),"",($J61+$R61)/($Q61*(1-Assumptions!$B$4)))</f>
        <v/>
      </c>
      <c r="T61" s="43" t="str">
        <f aca="false">IF(OR($K61="",$S61="",$S61=0),"",$K61/$S61)</f>
        <v/>
      </c>
      <c r="U61" s="44" t="str">
        <f aca="false">IF(OR($K61="",$Q61=""),"",MAX(0,($K61-MAX($K61*Assumptions!$B$4,Assumptions!$B$5))*$Q61-$R61))</f>
        <v/>
      </c>
      <c r="V61" s="40" t="str">
        <f aca="false">IF($A61="","",IF($O61="FAIL","REJECT",IF($J61="","NEEDS PRICE",IF(OR($K61="",$L61=""),"NEEDS VALUATION",IF($T61&gt;=Assumptions!$B$13,"BUY",IF($T61&gt;=1,"MARGINAL","PASS"))))))</f>
        <v>NEEDS PRICE</v>
      </c>
      <c r="W61" s="25" t="s">
        <v>177</v>
      </c>
      <c r="X61" s="35" t="s">
        <v>291</v>
      </c>
    </row>
    <row r="62" customFormat="false" ht="23.85" hidden="false" customHeight="false" outlineLevel="0" collapsed="false">
      <c r="A62" s="22" t="s">
        <v>292</v>
      </c>
      <c r="B62" s="36" t="str">
        <f aca="false">IF($A62="","",IF(ISERROR(FIND(".",$A62)),"",LOWER(MID($A62,FIND(CHAR(1),SUBSTITUTE($A62,".",CHAR(1),LEN($A62)-LEN(SUBSTITUTE($A62,".",""))))+1,LEN($A62)))))</f>
        <v>com</v>
      </c>
      <c r="C62" s="37" t="n">
        <f aca="false">IF($B62="","",IFERROR(INDEX(Rubric!$B$14:$B$23,MATCH($B62,Rubric!$A$14:$A$23,0)),INDEX(Rubric!$B$14:$B$23,MATCH("other",Rubric!$A$14:$A$23,0))))</f>
        <v>5</v>
      </c>
      <c r="D62" s="25" t="n">
        <v>4</v>
      </c>
      <c r="E62" s="25" t="n">
        <v>2</v>
      </c>
      <c r="F62" s="25" t="n">
        <v>3</v>
      </c>
      <c r="G62" s="25" t="n">
        <v>5</v>
      </c>
      <c r="H62" s="25" t="s">
        <v>176</v>
      </c>
      <c r="I62" s="25" t="s">
        <v>176</v>
      </c>
      <c r="J62" s="26" t="n">
        <v>14499</v>
      </c>
      <c r="K62" s="27"/>
      <c r="L62" s="25"/>
      <c r="M62" s="38" t="n">
        <f aca="false">IF($B62="","",IFERROR(INDEX(Rubric!$C$14:$C$23,MATCH($B62,Rubric!$A$14:$A$23,0)),INDEX(Rubric!$C$14:$C$23,MATCH("other",Rubric!$A$14:$A$23,0))))</f>
        <v>11</v>
      </c>
      <c r="N62" s="39" t="n">
        <f aca="false">IF(OR($A62="",$C62=""),"",$C62*Rubric!$B$5+$D62*Rubric!$B$6+$E62*Rubric!$B$7+$F62*Rubric!$B$8+$G62*Rubric!$B$9)</f>
        <v>3.72</v>
      </c>
      <c r="O62" s="40" t="str">
        <f aca="false">IF($A62="","",IF(OR(UPPER($H62)="Y",UPPER($I62)="Y"),"FAIL","PASS"))</f>
        <v>PASS</v>
      </c>
      <c r="P62" s="41" t="n">
        <f aca="false">IF($N62="","",Assumptions!$B$6*MAX(0.05,($N62/Assumptions!$B$11)^Assumptions!$B$12))</f>
        <v>0.0124</v>
      </c>
      <c r="Q62" s="41" t="n">
        <f aca="false">IF($P62="","",1-(1-$P62)^Assumptions!$B$7)</f>
        <v>0.0604813483224743</v>
      </c>
      <c r="R62" s="42" t="n">
        <f aca="false">IF($M62="","",$M62*Assumptions!$B$7)</f>
        <v>55</v>
      </c>
      <c r="S62" s="42" t="n">
        <f aca="false">IF(OR($J62="",$Q62="",$Q62=0),"",($J62+$R62)/($Q62*(1-Assumptions!$B$4)))</f>
        <v>300795.212153692</v>
      </c>
      <c r="T62" s="43" t="str">
        <f aca="false">IF(OR($K62="",$S62="",$S62=0),"",$K62/$S62)</f>
        <v/>
      </c>
      <c r="U62" s="44" t="str">
        <f aca="false">IF(OR($K62="",$Q62=""),"",MAX(0,($K62-MAX($K62*Assumptions!$B$4,Assumptions!$B$5))*$Q62-$R62))</f>
        <v/>
      </c>
      <c r="V62" s="40" t="str">
        <f aca="false">IF($A62="","",IF($O62="FAIL","REJECT",IF($J62="","NEEDS PRICE",IF(OR($K62="",$L62=""),"NEEDS VALUATION",IF($T62&gt;=Assumptions!$B$13,"BUY",IF($T62&gt;=1,"MARGINAL","PASS"))))))</f>
        <v>NEEDS VALUATION</v>
      </c>
      <c r="W62" s="25" t="s">
        <v>204</v>
      </c>
      <c r="X62" s="35" t="s">
        <v>293</v>
      </c>
    </row>
    <row r="63" customFormat="false" ht="23.85" hidden="false" customHeight="false" outlineLevel="0" collapsed="false">
      <c r="A63" s="22" t="s">
        <v>294</v>
      </c>
      <c r="B63" s="36" t="str">
        <f aca="false">IF($A63="","",IF(ISERROR(FIND(".",$A63)),"",LOWER(MID($A63,FIND(CHAR(1),SUBSTITUTE($A63,".",CHAR(1),LEN($A63)-LEN(SUBSTITUTE($A63,".",""))))+1,LEN($A63)))))</f>
        <v>com</v>
      </c>
      <c r="C63" s="37" t="n">
        <f aca="false">IF($B63="","",IFERROR(INDEX(Rubric!$B$14:$B$23,MATCH($B63,Rubric!$A$14:$A$23,0)),INDEX(Rubric!$B$14:$B$23,MATCH("other",Rubric!$A$14:$A$23,0))))</f>
        <v>5</v>
      </c>
      <c r="D63" s="25" t="n">
        <v>4</v>
      </c>
      <c r="E63" s="25" t="n">
        <v>2</v>
      </c>
      <c r="F63" s="25" t="n">
        <v>5</v>
      </c>
      <c r="G63" s="25" t="n">
        <v>5</v>
      </c>
      <c r="H63" s="25" t="s">
        <v>176</v>
      </c>
      <c r="I63" s="25" t="s">
        <v>176</v>
      </c>
      <c r="J63" s="26"/>
      <c r="K63" s="27"/>
      <c r="L63" s="25"/>
      <c r="M63" s="38" t="n">
        <f aca="false">IF($B63="","",IFERROR(INDEX(Rubric!$C$14:$C$23,MATCH($B63,Rubric!$A$14:$A$23,0)),INDEX(Rubric!$C$14:$C$23,MATCH("other",Rubric!$A$14:$A$23,0))))</f>
        <v>11</v>
      </c>
      <c r="N63" s="39" t="n">
        <f aca="false">IF(OR($A63="",$C63=""),"",$C63*Rubric!$B$5+$D63*Rubric!$B$6+$E63*Rubric!$B$7+$F63*Rubric!$B$8+$G63*Rubric!$B$9)</f>
        <v>4.04</v>
      </c>
      <c r="O63" s="40" t="str">
        <f aca="false">IF($A63="","",IF(OR(UPPER($H63)="Y",UPPER($I63)="Y"),"FAIL","PASS"))</f>
        <v>PASS</v>
      </c>
      <c r="P63" s="41" t="n">
        <f aca="false">IF($N63="","",Assumptions!$B$6*MAX(0.05,($N63/Assumptions!$B$11)^Assumptions!$B$12))</f>
        <v>0.0134666666666667</v>
      </c>
      <c r="Q63" s="41" t="n">
        <f aca="false">IF($P63="","",1-(1-$P63)^Assumptions!$B$7)</f>
        <v>0.0655440801736189</v>
      </c>
      <c r="R63" s="42" t="n">
        <f aca="false">IF($M63="","",$M63*Assumptions!$B$7)</f>
        <v>55</v>
      </c>
      <c r="S63" s="42" t="str">
        <f aca="false">IF(OR($J63="",$Q63="",$Q63=0),"",($J63+$R63)/($Q63*(1-Assumptions!$B$4)))</f>
        <v/>
      </c>
      <c r="T63" s="43" t="str">
        <f aca="false">IF(OR($K63="",$S63="",$S63=0),"",$K63/$S63)</f>
        <v/>
      </c>
      <c r="U63" s="44" t="str">
        <f aca="false">IF(OR($K63="",$Q63=""),"",MAX(0,($K63-MAX($K63*Assumptions!$B$4,Assumptions!$B$5))*$Q63-$R63))</f>
        <v/>
      </c>
      <c r="V63" s="40" t="str">
        <f aca="false">IF($A63="","",IF($O63="FAIL","REJECT",IF($J63="","NEEDS PRICE",IF(OR($K63="",$L63=""),"NEEDS VALUATION",IF($T63&gt;=Assumptions!$B$13,"BUY",IF($T63&gt;=1,"MARGINAL","PASS"))))))</f>
        <v>NEEDS PRICE</v>
      </c>
      <c r="W63" s="25" t="s">
        <v>177</v>
      </c>
      <c r="X63" s="35" t="s">
        <v>295</v>
      </c>
    </row>
    <row r="64" customFormat="false" ht="15" hidden="false" customHeight="false" outlineLevel="0" collapsed="false">
      <c r="A64" s="22" t="s">
        <v>296</v>
      </c>
      <c r="B64" s="36" t="str">
        <f aca="false">IF($A64="","",IF(ISERROR(FIND(".",$A64)),"",LOWER(MID($A64,FIND(CHAR(1),SUBSTITUTE($A64,".",CHAR(1),LEN($A64)-LEN(SUBSTITUTE($A64,".",""))))+1,LEN($A64)))))</f>
        <v>com</v>
      </c>
      <c r="C64" s="37" t="n">
        <f aca="false">IF($B64="","",IFERROR(INDEX(Rubric!$B$14:$B$23,MATCH($B64,Rubric!$A$14:$A$23,0)),INDEX(Rubric!$B$14:$B$23,MATCH("other",Rubric!$A$14:$A$23,0))))</f>
        <v>5</v>
      </c>
      <c r="D64" s="25" t="n">
        <v>3</v>
      </c>
      <c r="E64" s="25" t="n">
        <v>2</v>
      </c>
      <c r="F64" s="25" t="n">
        <v>4</v>
      </c>
      <c r="G64" s="25" t="n">
        <v>5</v>
      </c>
      <c r="H64" s="25" t="s">
        <v>176</v>
      </c>
      <c r="I64" s="25" t="s">
        <v>176</v>
      </c>
      <c r="J64" s="26" t="n">
        <v>2395</v>
      </c>
      <c r="K64" s="27"/>
      <c r="L64" s="25"/>
      <c r="M64" s="38" t="n">
        <f aca="false">IF($B64="","",IFERROR(INDEX(Rubric!$C$14:$C$23,MATCH($B64,Rubric!$A$14:$A$23,0)),INDEX(Rubric!$C$14:$C$23,MATCH("other",Rubric!$A$14:$A$23,0))))</f>
        <v>11</v>
      </c>
      <c r="N64" s="39" t="n">
        <f aca="false">IF(OR($A64="",$C64=""),"",$C64*Rubric!$B$5+$D64*Rubric!$B$6+$E64*Rubric!$B$7+$F64*Rubric!$B$8+$G64*Rubric!$B$9)</f>
        <v>3.58</v>
      </c>
      <c r="O64" s="40" t="str">
        <f aca="false">IF($A64="","",IF(OR(UPPER($H64)="Y",UPPER($I64)="Y"),"FAIL","PASS"))</f>
        <v>PASS</v>
      </c>
      <c r="P64" s="41" t="n">
        <f aca="false">IF($N64="","",Assumptions!$B$6*MAX(0.05,($N64/Assumptions!$B$11)^Assumptions!$B$12))</f>
        <v>0.0119333333333333</v>
      </c>
      <c r="Q64" s="41" t="n">
        <f aca="false">IF($P64="","",1-(1-$P64)^Assumptions!$B$7)</f>
        <v>0.0582595146661268</v>
      </c>
      <c r="R64" s="42" t="n">
        <f aca="false">IF($M64="","",$M64*Assumptions!$B$7)</f>
        <v>55</v>
      </c>
      <c r="S64" s="42" t="n">
        <f aca="false">IF(OR($J64="",$Q64="",$Q64=0),"",($J64+$R64)/($Q64*(1-Assumptions!$B$4)))</f>
        <v>52566.5209803163</v>
      </c>
      <c r="T64" s="43" t="str">
        <f aca="false">IF(OR($K64="",$S64="",$S64=0),"",$K64/$S64)</f>
        <v/>
      </c>
      <c r="U64" s="44" t="str">
        <f aca="false">IF(OR($K64="",$Q64=""),"",MAX(0,($K64-MAX($K64*Assumptions!$B$4,Assumptions!$B$5))*$Q64-$R64))</f>
        <v/>
      </c>
      <c r="V64" s="40" t="str">
        <f aca="false">IF($A64="","",IF($O64="FAIL","REJECT",IF($J64="","NEEDS PRICE",IF(OR($K64="",$L64=""),"NEEDS VALUATION",IF($T64&gt;=Assumptions!$B$13,"BUY",IF($T64&gt;=1,"MARGINAL","PASS"))))))</f>
        <v>NEEDS VALUATION</v>
      </c>
      <c r="W64" s="25" t="s">
        <v>204</v>
      </c>
      <c r="X64" s="35" t="s">
        <v>297</v>
      </c>
    </row>
    <row r="65" customFormat="false" ht="23.85" hidden="false" customHeight="false" outlineLevel="0" collapsed="false">
      <c r="A65" s="22" t="s">
        <v>298</v>
      </c>
      <c r="B65" s="36" t="str">
        <f aca="false">IF($A65="","",IF(ISERROR(FIND(".",$A65)),"",LOWER(MID($A65,FIND(CHAR(1),SUBSTITUTE($A65,".",CHAR(1),LEN($A65)-LEN(SUBSTITUTE($A65,".",""))))+1,LEN($A65)))))</f>
        <v>com</v>
      </c>
      <c r="C65" s="37" t="n">
        <f aca="false">IF($B65="","",IFERROR(INDEX(Rubric!$B$14:$B$23,MATCH($B65,Rubric!$A$14:$A$23,0)),INDEX(Rubric!$B$14:$B$23,MATCH("other",Rubric!$A$14:$A$23,0))))</f>
        <v>5</v>
      </c>
      <c r="D65" s="25" t="n">
        <v>4</v>
      </c>
      <c r="E65" s="25" t="n">
        <v>3</v>
      </c>
      <c r="F65" s="25" t="n">
        <v>4</v>
      </c>
      <c r="G65" s="25" t="n">
        <v>5</v>
      </c>
      <c r="H65" s="25" t="s">
        <v>176</v>
      </c>
      <c r="I65" s="25" t="s">
        <v>176</v>
      </c>
      <c r="J65" s="26"/>
      <c r="K65" s="27"/>
      <c r="L65" s="25"/>
      <c r="M65" s="38" t="n">
        <f aca="false">IF($B65="","",IFERROR(INDEX(Rubric!$C$14:$C$23,MATCH($B65,Rubric!$A$14:$A$23,0)),INDEX(Rubric!$C$14:$C$23,MATCH("other",Rubric!$A$14:$A$23,0))))</f>
        <v>11</v>
      </c>
      <c r="N65" s="39" t="n">
        <f aca="false">IF(OR($A65="",$C65=""),"",$C65*Rubric!$B$5+$D65*Rubric!$B$6+$E65*Rubric!$B$7+$F65*Rubric!$B$8+$G65*Rubric!$B$9)</f>
        <v>4.1</v>
      </c>
      <c r="O65" s="40" t="str">
        <f aca="false">IF($A65="","",IF(OR(UPPER($H65)="Y",UPPER($I65)="Y"),"FAIL","PASS"))</f>
        <v>PASS</v>
      </c>
      <c r="P65" s="41" t="n">
        <f aca="false">IF($N65="","",Assumptions!$B$6*MAX(0.05,($N65/Assumptions!$B$11)^Assumptions!$B$12))</f>
        <v>0.0136666666666667</v>
      </c>
      <c r="Q65" s="41" t="n">
        <f aca="false">IF($P65="","",1-(1-$P65)^Assumptions!$B$7)</f>
        <v>0.0664909078989352</v>
      </c>
      <c r="R65" s="42" t="n">
        <f aca="false">IF($M65="","",$M65*Assumptions!$B$7)</f>
        <v>55</v>
      </c>
      <c r="S65" s="42" t="str">
        <f aca="false">IF(OR($J65="",$Q65="",$Q65=0),"",($J65+$R65)/($Q65*(1-Assumptions!$B$4)))</f>
        <v/>
      </c>
      <c r="T65" s="43" t="str">
        <f aca="false">IF(OR($K65="",$S65="",$S65=0),"",$K65/$S65)</f>
        <v/>
      </c>
      <c r="U65" s="44" t="str">
        <f aca="false">IF(OR($K65="",$Q65=""),"",MAX(0,($K65-MAX($K65*Assumptions!$B$4,Assumptions!$B$5))*$Q65-$R65))</f>
        <v/>
      </c>
      <c r="V65" s="40" t="str">
        <f aca="false">IF($A65="","",IF($O65="FAIL","REJECT",IF($J65="","NEEDS PRICE",IF(OR($K65="",$L65=""),"NEEDS VALUATION",IF($T65&gt;=Assumptions!$B$13,"BUY",IF($T65&gt;=1,"MARGINAL","PASS"))))))</f>
        <v>NEEDS PRICE</v>
      </c>
      <c r="W65" s="25" t="s">
        <v>177</v>
      </c>
      <c r="X65" s="35" t="s">
        <v>299</v>
      </c>
    </row>
    <row r="66" customFormat="false" ht="15" hidden="false" customHeight="false" outlineLevel="0" collapsed="false">
      <c r="A66" s="22" t="s">
        <v>300</v>
      </c>
      <c r="B66" s="36" t="str">
        <f aca="false">IF($A66="","",IF(ISERROR(FIND(".",$A66)),"",LOWER(MID($A66,FIND(CHAR(1),SUBSTITUTE($A66,".",CHAR(1),LEN($A66)-LEN(SUBSTITUTE($A66,".",""))))+1,LEN($A66)))))</f>
        <v>com</v>
      </c>
      <c r="C66" s="37" t="n">
        <f aca="false">IF($B66="","",IFERROR(INDEX(Rubric!$B$14:$B$23,MATCH($B66,Rubric!$A$14:$A$23,0)),INDEX(Rubric!$B$14:$B$23,MATCH("other",Rubric!$A$14:$A$23,0))))</f>
        <v>5</v>
      </c>
      <c r="D66" s="25" t="n">
        <v>4</v>
      </c>
      <c r="E66" s="25" t="n">
        <v>2</v>
      </c>
      <c r="F66" s="25" t="n">
        <v>4</v>
      </c>
      <c r="G66" s="25" t="n">
        <v>4</v>
      </c>
      <c r="H66" s="25" t="s">
        <v>176</v>
      </c>
      <c r="I66" s="25" t="s">
        <v>176</v>
      </c>
      <c r="J66" s="26"/>
      <c r="K66" s="27"/>
      <c r="L66" s="25"/>
      <c r="M66" s="38" t="n">
        <f aca="false">IF($B66="","",IFERROR(INDEX(Rubric!$C$14:$C$23,MATCH($B66,Rubric!$A$14:$A$23,0)),INDEX(Rubric!$C$14:$C$23,MATCH("other",Rubric!$A$14:$A$23,0))))</f>
        <v>11</v>
      </c>
      <c r="N66" s="39" t="n">
        <f aca="false">IF(OR($A66="",$C66=""),"",$C66*Rubric!$B$5+$D66*Rubric!$B$6+$E66*Rubric!$B$7+$F66*Rubric!$B$8+$G66*Rubric!$B$9)</f>
        <v>3.78</v>
      </c>
      <c r="O66" s="40" t="str">
        <f aca="false">IF($A66="","",IF(OR(UPPER($H66)="Y",UPPER($I66)="Y"),"FAIL","PASS"))</f>
        <v>PASS</v>
      </c>
      <c r="P66" s="41" t="n">
        <f aca="false">IF($N66="","",Assumptions!$B$6*MAX(0.05,($N66/Assumptions!$B$11)^Assumptions!$B$12))</f>
        <v>0.0126</v>
      </c>
      <c r="Q66" s="41" t="n">
        <f aca="false">IF($P66="","",1-(1-$P66)^Assumptions!$B$7)</f>
        <v>0.0614322780538914</v>
      </c>
      <c r="R66" s="42" t="n">
        <f aca="false">IF($M66="","",$M66*Assumptions!$B$7)</f>
        <v>55</v>
      </c>
      <c r="S66" s="42" t="str">
        <f aca="false">IF(OR($J66="",$Q66="",$Q66=0),"",($J66+$R66)/($Q66*(1-Assumptions!$B$4)))</f>
        <v/>
      </c>
      <c r="T66" s="43" t="str">
        <f aca="false">IF(OR($K66="",$S66="",$S66=0),"",$K66/$S66)</f>
        <v/>
      </c>
      <c r="U66" s="44" t="str">
        <f aca="false">IF(OR($K66="",$Q66=""),"",MAX(0,($K66-MAX($K66*Assumptions!$B$4,Assumptions!$B$5))*$Q66-$R66))</f>
        <v/>
      </c>
      <c r="V66" s="40" t="str">
        <f aca="false">IF($A66="","",IF($O66="FAIL","REJECT",IF($J66="","NEEDS PRICE",IF(OR($K66="",$L66=""),"NEEDS VALUATION",IF($T66&gt;=Assumptions!$B$13,"BUY",IF($T66&gt;=1,"MARGINAL","PASS"))))))</f>
        <v>NEEDS PRICE</v>
      </c>
      <c r="W66" s="25" t="s">
        <v>177</v>
      </c>
      <c r="X66" s="35" t="s">
        <v>301</v>
      </c>
    </row>
    <row r="67" customFormat="false" ht="15" hidden="false" customHeight="false" outlineLevel="0" collapsed="false">
      <c r="A67" s="22" t="s">
        <v>302</v>
      </c>
      <c r="B67" s="36" t="str">
        <f aca="false">IF($A67="","",IF(ISERROR(FIND(".",$A67)),"",LOWER(MID($A67,FIND(CHAR(1),SUBSTITUTE($A67,".",CHAR(1),LEN($A67)-LEN(SUBSTITUTE($A67,".",""))))+1,LEN($A67)))))</f>
        <v>com</v>
      </c>
      <c r="C67" s="37" t="n">
        <f aca="false">IF($B67="","",IFERROR(INDEX(Rubric!$B$14:$B$23,MATCH($B67,Rubric!$A$14:$A$23,0)),INDEX(Rubric!$B$14:$B$23,MATCH("other",Rubric!$A$14:$A$23,0))))</f>
        <v>5</v>
      </c>
      <c r="D67" s="25" t="n">
        <v>4</v>
      </c>
      <c r="E67" s="25" t="n">
        <v>3</v>
      </c>
      <c r="F67" s="25" t="n">
        <v>5</v>
      </c>
      <c r="G67" s="25" t="n">
        <v>5</v>
      </c>
      <c r="H67" s="25" t="s">
        <v>176</v>
      </c>
      <c r="I67" s="25" t="s">
        <v>176</v>
      </c>
      <c r="J67" s="26"/>
      <c r="K67" s="27"/>
      <c r="L67" s="25"/>
      <c r="M67" s="38" t="n">
        <f aca="false">IF($B67="","",IFERROR(INDEX(Rubric!$C$14:$C$23,MATCH($B67,Rubric!$A$14:$A$23,0)),INDEX(Rubric!$C$14:$C$23,MATCH("other",Rubric!$A$14:$A$23,0))))</f>
        <v>11</v>
      </c>
      <c r="N67" s="39" t="n">
        <f aca="false">IF(OR($A67="",$C67=""),"",$C67*Rubric!$B$5+$D67*Rubric!$B$6+$E67*Rubric!$B$7+$F67*Rubric!$B$8+$G67*Rubric!$B$9)</f>
        <v>4.26</v>
      </c>
      <c r="O67" s="40" t="str">
        <f aca="false">IF($A67="","",IF(OR(UPPER($H67)="Y",UPPER($I67)="Y"),"FAIL","PASS"))</f>
        <v>PASS</v>
      </c>
      <c r="P67" s="41" t="n">
        <f aca="false">IF($N67="","",Assumptions!$B$6*MAX(0.05,($N67/Assumptions!$B$11)^Assumptions!$B$12))</f>
        <v>0.0142</v>
      </c>
      <c r="Q67" s="41" t="n">
        <f aca="false">IF($P67="","",1-(1-$P67)^Assumptions!$B$7)</f>
        <v>0.0690120301639053</v>
      </c>
      <c r="R67" s="42" t="n">
        <f aca="false">IF($M67="","",$M67*Assumptions!$B$7)</f>
        <v>55</v>
      </c>
      <c r="S67" s="42" t="str">
        <f aca="false">IF(OR($J67="",$Q67="",$Q67=0),"",($J67+$R67)/($Q67*(1-Assumptions!$B$4)))</f>
        <v/>
      </c>
      <c r="T67" s="43" t="str">
        <f aca="false">IF(OR($K67="",$S67="",$S67=0),"",$K67/$S67)</f>
        <v/>
      </c>
      <c r="U67" s="44" t="str">
        <f aca="false">IF(OR($K67="",$Q67=""),"",MAX(0,($K67-MAX($K67*Assumptions!$B$4,Assumptions!$B$5))*$Q67-$R67))</f>
        <v/>
      </c>
      <c r="V67" s="40" t="str">
        <f aca="false">IF($A67="","",IF($O67="FAIL","REJECT",IF($J67="","NEEDS PRICE",IF(OR($K67="",$L67=""),"NEEDS VALUATION",IF($T67&gt;=Assumptions!$B$13,"BUY",IF($T67&gt;=1,"MARGINAL","PASS"))))))</f>
        <v>NEEDS PRICE</v>
      </c>
      <c r="W67" s="25" t="s">
        <v>177</v>
      </c>
      <c r="X67" s="35" t="s">
        <v>303</v>
      </c>
    </row>
    <row r="68" customFormat="false" ht="15" hidden="false" customHeight="false" outlineLevel="0" collapsed="false">
      <c r="A68" s="22" t="s">
        <v>304</v>
      </c>
      <c r="B68" s="36" t="str">
        <f aca="false">IF($A68="","",IF(ISERROR(FIND(".",$A68)),"",LOWER(MID($A68,FIND(CHAR(1),SUBSTITUTE($A68,".",CHAR(1),LEN($A68)-LEN(SUBSTITUTE($A68,".",""))))+1,LEN($A68)))))</f>
        <v>com</v>
      </c>
      <c r="C68" s="37" t="n">
        <f aca="false">IF($B68="","",IFERROR(INDEX(Rubric!$B$14:$B$23,MATCH($B68,Rubric!$A$14:$A$23,0)),INDEX(Rubric!$B$14:$B$23,MATCH("other",Rubric!$A$14:$A$23,0))))</f>
        <v>5</v>
      </c>
      <c r="D68" s="25" t="n">
        <v>5</v>
      </c>
      <c r="E68" s="25" t="n">
        <v>3</v>
      </c>
      <c r="F68" s="25" t="n">
        <v>5</v>
      </c>
      <c r="G68" s="25" t="n">
        <v>5</v>
      </c>
      <c r="H68" s="25" t="s">
        <v>176</v>
      </c>
      <c r="I68" s="25" t="s">
        <v>176</v>
      </c>
      <c r="J68" s="26"/>
      <c r="K68" s="27"/>
      <c r="L68" s="25"/>
      <c r="M68" s="38" t="n">
        <f aca="false">IF($B68="","",IFERROR(INDEX(Rubric!$C$14:$C$23,MATCH($B68,Rubric!$A$14:$A$23,0)),INDEX(Rubric!$C$14:$C$23,MATCH("other",Rubric!$A$14:$A$23,0))))</f>
        <v>11</v>
      </c>
      <c r="N68" s="39" t="n">
        <f aca="false">IF(OR($A68="",$C68=""),"",$C68*Rubric!$B$5+$D68*Rubric!$B$6+$E68*Rubric!$B$7+$F68*Rubric!$B$8+$G68*Rubric!$B$9)</f>
        <v>4.56</v>
      </c>
      <c r="O68" s="40" t="str">
        <f aca="false">IF($A68="","",IF(OR(UPPER($H68)="Y",UPPER($I68)="Y"),"FAIL","PASS"))</f>
        <v>PASS</v>
      </c>
      <c r="P68" s="41" t="n">
        <f aca="false">IF($N68="","",Assumptions!$B$6*MAX(0.05,($N68/Assumptions!$B$11)^Assumptions!$B$12))</f>
        <v>0.0152</v>
      </c>
      <c r="Q68" s="41" t="n">
        <f aca="false">IF($P68="","",1-(1-$P68)^Assumptions!$B$7)</f>
        <v>0.0737244519939601</v>
      </c>
      <c r="R68" s="42" t="n">
        <f aca="false">IF($M68="","",$M68*Assumptions!$B$7)</f>
        <v>55</v>
      </c>
      <c r="S68" s="42" t="str">
        <f aca="false">IF(OR($J68="",$Q68="",$Q68=0),"",($J68+$R68)/($Q68*(1-Assumptions!$B$4)))</f>
        <v/>
      </c>
      <c r="T68" s="43" t="str">
        <f aca="false">IF(OR($K68="",$S68="",$S68=0),"",$K68/$S68)</f>
        <v/>
      </c>
      <c r="U68" s="44" t="str">
        <f aca="false">IF(OR($K68="",$Q68=""),"",MAX(0,($K68-MAX($K68*Assumptions!$B$4,Assumptions!$B$5))*$Q68-$R68))</f>
        <v/>
      </c>
      <c r="V68" s="40" t="str">
        <f aca="false">IF($A68="","",IF($O68="FAIL","REJECT",IF($J68="","NEEDS PRICE",IF(OR($K68="",$L68=""),"NEEDS VALUATION",IF($T68&gt;=Assumptions!$B$13,"BUY",IF($T68&gt;=1,"MARGINAL","PASS"))))))</f>
        <v>NEEDS PRICE</v>
      </c>
      <c r="W68" s="25" t="s">
        <v>177</v>
      </c>
      <c r="X68" s="35" t="s">
        <v>305</v>
      </c>
    </row>
    <row r="69" customFormat="false" ht="15" hidden="false" customHeight="false" outlineLevel="0" collapsed="false">
      <c r="A69" s="22" t="s">
        <v>306</v>
      </c>
      <c r="B69" s="36" t="str">
        <f aca="false">IF($A69="","",IF(ISERROR(FIND(".",$A69)),"",LOWER(MID($A69,FIND(CHAR(1),SUBSTITUTE($A69,".",CHAR(1),LEN($A69)-LEN(SUBSTITUTE($A69,".",""))))+1,LEN($A69)))))</f>
        <v>com</v>
      </c>
      <c r="C69" s="37" t="n">
        <f aca="false">IF($B69="","",IFERROR(INDEX(Rubric!$B$14:$B$23,MATCH($B69,Rubric!$A$14:$A$23,0)),INDEX(Rubric!$B$14:$B$23,MATCH("other",Rubric!$A$14:$A$23,0))))</f>
        <v>5</v>
      </c>
      <c r="D69" s="25" t="n">
        <v>4</v>
      </c>
      <c r="E69" s="25" t="n">
        <v>3</v>
      </c>
      <c r="F69" s="25" t="n">
        <v>4</v>
      </c>
      <c r="G69" s="25" t="n">
        <v>4</v>
      </c>
      <c r="H69" s="25" t="s">
        <v>176</v>
      </c>
      <c r="I69" s="25" t="s">
        <v>176</v>
      </c>
      <c r="J69" s="26" t="n">
        <v>55000</v>
      </c>
      <c r="K69" s="27"/>
      <c r="L69" s="25"/>
      <c r="M69" s="38" t="n">
        <f aca="false">IF($B69="","",IFERROR(INDEX(Rubric!$C$14:$C$23,MATCH($B69,Rubric!$A$14:$A$23,0)),INDEX(Rubric!$C$14:$C$23,MATCH("other",Rubric!$A$14:$A$23,0))))</f>
        <v>11</v>
      </c>
      <c r="N69" s="39" t="n">
        <f aca="false">IF(OR($A69="",$C69=""),"",$C69*Rubric!$B$5+$D69*Rubric!$B$6+$E69*Rubric!$B$7+$F69*Rubric!$B$8+$G69*Rubric!$B$9)</f>
        <v>4</v>
      </c>
      <c r="O69" s="40" t="str">
        <f aca="false">IF($A69="","",IF(OR(UPPER($H69)="Y",UPPER($I69)="Y"),"FAIL","PASS"))</f>
        <v>PASS</v>
      </c>
      <c r="P69" s="41" t="n">
        <f aca="false">IF($N69="","",Assumptions!$B$6*MAX(0.05,($N69/Assumptions!$B$11)^Assumptions!$B$12))</f>
        <v>0.0133333333333333</v>
      </c>
      <c r="Q69" s="41" t="n">
        <f aca="false">IF($P69="","",1-(1-$P69)^Assumptions!$B$7)</f>
        <v>0.0649124349893003</v>
      </c>
      <c r="R69" s="42" t="n">
        <f aca="false">IF($M69="","",$M69*Assumptions!$B$7)</f>
        <v>55</v>
      </c>
      <c r="S69" s="42" t="n">
        <f aca="false">IF(OR($J69="",$Q69="",$Q69=0),"",($J69+$R69)/($Q69*(1-Assumptions!$B$4)))</f>
        <v>1060178.2233457</v>
      </c>
      <c r="T69" s="43" t="str">
        <f aca="false">IF(OR($K69="",$S69="",$S69=0),"",$K69/$S69)</f>
        <v/>
      </c>
      <c r="U69" s="44" t="str">
        <f aca="false">IF(OR($K69="",$Q69=""),"",MAX(0,($K69-MAX($K69*Assumptions!$B$4,Assumptions!$B$5))*$Q69-$R69))</f>
        <v/>
      </c>
      <c r="V69" s="40" t="str">
        <f aca="false">IF($A69="","",IF($O69="FAIL","REJECT",IF($J69="","NEEDS PRICE",IF(OR($K69="",$L69=""),"NEEDS VALUATION",IF($T69&gt;=Assumptions!$B$13,"BUY",IF($T69&gt;=1,"MARGINAL","PASS"))))))</f>
        <v>NEEDS VALUATION</v>
      </c>
      <c r="W69" s="25" t="s">
        <v>204</v>
      </c>
      <c r="X69" s="35" t="s">
        <v>307</v>
      </c>
    </row>
    <row r="70" customFormat="false" ht="15" hidden="false" customHeight="false" outlineLevel="0" collapsed="false">
      <c r="A70" s="22" t="s">
        <v>308</v>
      </c>
      <c r="B70" s="36" t="str">
        <f aca="false">IF($A70="","",IF(ISERROR(FIND(".",$A70)),"",LOWER(MID($A70,FIND(CHAR(1),SUBSTITUTE($A70,".",CHAR(1),LEN($A70)-LEN(SUBSTITUTE($A70,".",""))))+1,LEN($A70)))))</f>
        <v>com</v>
      </c>
      <c r="C70" s="37" t="n">
        <f aca="false">IF($B70="","",IFERROR(INDEX(Rubric!$B$14:$B$23,MATCH($B70,Rubric!$A$14:$A$23,0)),INDEX(Rubric!$B$14:$B$23,MATCH("other",Rubric!$A$14:$A$23,0))))</f>
        <v>5</v>
      </c>
      <c r="D70" s="25" t="n">
        <v>3</v>
      </c>
      <c r="E70" s="25" t="n">
        <v>2</v>
      </c>
      <c r="F70" s="25" t="n">
        <v>3</v>
      </c>
      <c r="G70" s="25" t="n">
        <v>4</v>
      </c>
      <c r="H70" s="25" t="s">
        <v>176</v>
      </c>
      <c r="I70" s="25" t="s">
        <v>176</v>
      </c>
      <c r="J70" s="26"/>
      <c r="K70" s="27"/>
      <c r="L70" s="25"/>
      <c r="M70" s="38" t="n">
        <f aca="false">IF($B70="","",IFERROR(INDEX(Rubric!$C$14:$C$23,MATCH($B70,Rubric!$A$14:$A$23,0)),INDEX(Rubric!$C$14:$C$23,MATCH("other",Rubric!$A$14:$A$23,0))))</f>
        <v>11</v>
      </c>
      <c r="N70" s="39" t="n">
        <f aca="false">IF(OR($A70="",$C70=""),"",$C70*Rubric!$B$5+$D70*Rubric!$B$6+$E70*Rubric!$B$7+$F70*Rubric!$B$8+$G70*Rubric!$B$9)</f>
        <v>3.32</v>
      </c>
      <c r="O70" s="40" t="str">
        <f aca="false">IF($A70="","",IF(OR(UPPER($H70)="Y",UPPER($I70)="Y"),"FAIL","PASS"))</f>
        <v>PASS</v>
      </c>
      <c r="P70" s="41" t="n">
        <f aca="false">IF($N70="","",Assumptions!$B$6*MAX(0.05,($N70/Assumptions!$B$11)^Assumptions!$B$12))</f>
        <v>0.0110666666666667</v>
      </c>
      <c r="Q70" s="41" t="n">
        <f aca="false">IF($P70="","",1-(1-$P70)^Assumptions!$B$7)</f>
        <v>0.0541221008619774</v>
      </c>
      <c r="R70" s="42" t="n">
        <f aca="false">IF($M70="","",$M70*Assumptions!$B$7)</f>
        <v>55</v>
      </c>
      <c r="S70" s="42" t="str">
        <f aca="false">IF(OR($J70="",$Q70="",$Q70=0),"",($J70+$R70)/($Q70*(1-Assumptions!$B$4)))</f>
        <v/>
      </c>
      <c r="T70" s="43" t="str">
        <f aca="false">IF(OR($K70="",$S70="",$S70=0),"",$K70/$S70)</f>
        <v/>
      </c>
      <c r="U70" s="44" t="str">
        <f aca="false">IF(OR($K70="",$Q70=""),"",MAX(0,($K70-MAX($K70*Assumptions!$B$4,Assumptions!$B$5))*$Q70-$R70))</f>
        <v/>
      </c>
      <c r="V70" s="40" t="str">
        <f aca="false">IF($A70="","",IF($O70="FAIL","REJECT",IF($J70="","NEEDS PRICE",IF(OR($K70="",$L70=""),"NEEDS VALUATION",IF($T70&gt;=Assumptions!$B$13,"BUY",IF($T70&gt;=1,"MARGINAL","PASS"))))))</f>
        <v>NEEDS PRICE</v>
      </c>
      <c r="W70" s="25" t="s">
        <v>177</v>
      </c>
      <c r="X70" s="35" t="s">
        <v>309</v>
      </c>
    </row>
    <row r="71" customFormat="false" ht="23.85" hidden="false" customHeight="false" outlineLevel="0" collapsed="false">
      <c r="A71" s="22" t="s">
        <v>310</v>
      </c>
      <c r="B71" s="36" t="str">
        <f aca="false">IF($A71="","",IF(ISERROR(FIND(".",$A71)),"",LOWER(MID($A71,FIND(CHAR(1),SUBSTITUTE($A71,".",CHAR(1),LEN($A71)-LEN(SUBSTITUTE($A71,".",""))))+1,LEN($A71)))))</f>
        <v>com</v>
      </c>
      <c r="C71" s="37" t="n">
        <f aca="false">IF($B71="","",IFERROR(INDEX(Rubric!$B$14:$B$23,MATCH($B71,Rubric!$A$14:$A$23,0)),INDEX(Rubric!$B$14:$B$23,MATCH("other",Rubric!$A$14:$A$23,0))))</f>
        <v>5</v>
      </c>
      <c r="D71" s="25" t="n">
        <v>3</v>
      </c>
      <c r="E71" s="25" t="n">
        <v>2</v>
      </c>
      <c r="F71" s="25" t="n">
        <v>4</v>
      </c>
      <c r="G71" s="25" t="n">
        <v>4</v>
      </c>
      <c r="H71" s="25" t="s">
        <v>176</v>
      </c>
      <c r="I71" s="25" t="s">
        <v>176</v>
      </c>
      <c r="J71" s="26"/>
      <c r="K71" s="27"/>
      <c r="L71" s="25"/>
      <c r="M71" s="38" t="n">
        <f aca="false">IF($B71="","",IFERROR(INDEX(Rubric!$C$14:$C$23,MATCH($B71,Rubric!$A$14:$A$23,0)),INDEX(Rubric!$C$14:$C$23,MATCH("other",Rubric!$A$14:$A$23,0))))</f>
        <v>11</v>
      </c>
      <c r="N71" s="39" t="n">
        <f aca="false">IF(OR($A71="",$C71=""),"",$C71*Rubric!$B$5+$D71*Rubric!$B$6+$E71*Rubric!$B$7+$F71*Rubric!$B$8+$G71*Rubric!$B$9)</f>
        <v>3.48</v>
      </c>
      <c r="O71" s="40" t="str">
        <f aca="false">IF($A71="","",IF(OR(UPPER($H71)="Y",UPPER($I71)="Y"),"FAIL","PASS"))</f>
        <v>PASS</v>
      </c>
      <c r="P71" s="41" t="n">
        <f aca="false">IF($N71="","",Assumptions!$B$6*MAX(0.05,($N71/Assumptions!$B$11)^Assumptions!$B$12))</f>
        <v>0.0116</v>
      </c>
      <c r="Q71" s="41" t="n">
        <f aca="false">IF($P71="","",1-(1-$P71)^Assumptions!$B$7)</f>
        <v>0.0566699186380665</v>
      </c>
      <c r="R71" s="42" t="n">
        <f aca="false">IF($M71="","",$M71*Assumptions!$B$7)</f>
        <v>55</v>
      </c>
      <c r="S71" s="42" t="str">
        <f aca="false">IF(OR($J71="",$Q71="",$Q71=0),"",($J71+$R71)/($Q71*(1-Assumptions!$B$4)))</f>
        <v/>
      </c>
      <c r="T71" s="43" t="str">
        <f aca="false">IF(OR($K71="",$S71="",$S71=0),"",$K71/$S71)</f>
        <v/>
      </c>
      <c r="U71" s="44" t="str">
        <f aca="false">IF(OR($K71="",$Q71=""),"",MAX(0,($K71-MAX($K71*Assumptions!$B$4,Assumptions!$B$5))*$Q71-$R71))</f>
        <v/>
      </c>
      <c r="V71" s="40" t="str">
        <f aca="false">IF($A71="","",IF($O71="FAIL","REJECT",IF($J71="","NEEDS PRICE",IF(OR($K71="",$L71=""),"NEEDS VALUATION",IF($T71&gt;=Assumptions!$B$13,"BUY",IF($T71&gt;=1,"MARGINAL","PASS"))))))</f>
        <v>NEEDS PRICE</v>
      </c>
      <c r="W71" s="25" t="s">
        <v>177</v>
      </c>
      <c r="X71" s="35" t="s">
        <v>311</v>
      </c>
    </row>
    <row r="72" customFormat="false" ht="23.85" hidden="false" customHeight="false" outlineLevel="0" collapsed="false">
      <c r="A72" s="22" t="s">
        <v>312</v>
      </c>
      <c r="B72" s="36" t="str">
        <f aca="false">IF($A72="","",IF(ISERROR(FIND(".",$A72)),"",LOWER(MID($A72,FIND(CHAR(1),SUBSTITUTE($A72,".",CHAR(1),LEN($A72)-LEN(SUBSTITUTE($A72,".",""))))+1,LEN($A72)))))</f>
        <v>com</v>
      </c>
      <c r="C72" s="37" t="n">
        <f aca="false">IF($B72="","",IFERROR(INDEX(Rubric!$B$14:$B$23,MATCH($B72,Rubric!$A$14:$A$23,0)),INDEX(Rubric!$B$14:$B$23,MATCH("other",Rubric!$A$14:$A$23,0))))</f>
        <v>5</v>
      </c>
      <c r="D72" s="25" t="n">
        <v>2</v>
      </c>
      <c r="E72" s="25" t="n">
        <v>1</v>
      </c>
      <c r="F72" s="25" t="n">
        <v>4</v>
      </c>
      <c r="G72" s="25" t="n">
        <v>3</v>
      </c>
      <c r="H72" s="25" t="s">
        <v>176</v>
      </c>
      <c r="I72" s="25" t="s">
        <v>176</v>
      </c>
      <c r="J72" s="26" t="n">
        <v>22.99</v>
      </c>
      <c r="K72" s="27"/>
      <c r="L72" s="25"/>
      <c r="M72" s="38" t="n">
        <f aca="false">IF($B72="","",IFERROR(INDEX(Rubric!$C$14:$C$23,MATCH($B72,Rubric!$A$14:$A$23,0)),INDEX(Rubric!$C$14:$C$23,MATCH("other",Rubric!$A$14:$A$23,0))))</f>
        <v>11</v>
      </c>
      <c r="N72" s="39" t="n">
        <f aca="false">IF(OR($A72="",$C72=""),"",$C72*Rubric!$B$5+$D72*Rubric!$B$6+$E72*Rubric!$B$7+$F72*Rubric!$B$8+$G72*Rubric!$B$9)</f>
        <v>2.86</v>
      </c>
      <c r="O72" s="40" t="str">
        <f aca="false">IF($A72="","",IF(OR(UPPER($H72)="Y",UPPER($I72)="Y"),"FAIL","PASS"))</f>
        <v>PASS</v>
      </c>
      <c r="P72" s="41" t="n">
        <f aca="false">IF($N72="","",Assumptions!$B$6*MAX(0.05,($N72/Assumptions!$B$11)^Assumptions!$B$12))</f>
        <v>0.00953333333333334</v>
      </c>
      <c r="Q72" s="41" t="n">
        <f aca="false">IF($P72="","",1-(1-$P72)^Assumptions!$B$7)</f>
        <v>0.0467664453180929</v>
      </c>
      <c r="R72" s="42" t="n">
        <f aca="false">IF($M72="","",$M72*Assumptions!$B$7)</f>
        <v>55</v>
      </c>
      <c r="S72" s="42" t="n">
        <f aca="false">IF(OR($J72="",$Q72="",$Q72=0),"",($J72+$R72)/($Q72*(1-Assumptions!$B$4)))</f>
        <v>2084.5608285367</v>
      </c>
      <c r="T72" s="43" t="str">
        <f aca="false">IF(OR($K72="",$S72="",$S72=0),"",$K72/$S72)</f>
        <v/>
      </c>
      <c r="U72" s="44" t="str">
        <f aca="false">IF(OR($K72="",$Q72=""),"",MAX(0,($K72-MAX($K72*Assumptions!$B$4,Assumptions!$B$5))*$Q72-$R72))</f>
        <v/>
      </c>
      <c r="V72" s="40" t="str">
        <f aca="false">IF($A72="","",IF($O72="FAIL","REJECT",IF($J72="","NEEDS PRICE",IF(OR($K72="",$L72=""),"NEEDS VALUATION",IF($T72&gt;=Assumptions!$B$13,"BUY",IF($T72&gt;=1,"MARGINAL","PASS"))))))</f>
        <v>NEEDS VALUATION</v>
      </c>
      <c r="W72" s="25" t="s">
        <v>218</v>
      </c>
      <c r="X72" s="35" t="s">
        <v>313</v>
      </c>
    </row>
    <row r="73" customFormat="false" ht="23.85" hidden="false" customHeight="false" outlineLevel="0" collapsed="false">
      <c r="A73" s="22" t="s">
        <v>314</v>
      </c>
      <c r="B73" s="36" t="str">
        <f aca="false">IF($A73="","",IF(ISERROR(FIND(".",$A73)),"",LOWER(MID($A73,FIND(CHAR(1),SUBSTITUTE($A73,".",CHAR(1),LEN($A73)-LEN(SUBSTITUTE($A73,".",""))))+1,LEN($A73)))))</f>
        <v>com</v>
      </c>
      <c r="C73" s="37" t="n">
        <f aca="false">IF($B73="","",IFERROR(INDEX(Rubric!$B$14:$B$23,MATCH($B73,Rubric!$A$14:$A$23,0)),INDEX(Rubric!$B$14:$B$23,MATCH("other",Rubric!$A$14:$A$23,0))))</f>
        <v>5</v>
      </c>
      <c r="D73" s="25" t="n">
        <v>5</v>
      </c>
      <c r="E73" s="25" t="n">
        <v>3</v>
      </c>
      <c r="F73" s="25" t="n">
        <v>5</v>
      </c>
      <c r="G73" s="25" t="n">
        <v>5</v>
      </c>
      <c r="H73" s="25" t="s">
        <v>176</v>
      </c>
      <c r="I73" s="25" t="s">
        <v>176</v>
      </c>
      <c r="J73" s="26"/>
      <c r="K73" s="27"/>
      <c r="L73" s="25"/>
      <c r="M73" s="38" t="n">
        <f aca="false">IF($B73="","",IFERROR(INDEX(Rubric!$C$14:$C$23,MATCH($B73,Rubric!$A$14:$A$23,0)),INDEX(Rubric!$C$14:$C$23,MATCH("other",Rubric!$A$14:$A$23,0))))</f>
        <v>11</v>
      </c>
      <c r="N73" s="39" t="n">
        <f aca="false">IF(OR($A73="",$C73=""),"",$C73*Rubric!$B$5+$D73*Rubric!$B$6+$E73*Rubric!$B$7+$F73*Rubric!$B$8+$G73*Rubric!$B$9)</f>
        <v>4.56</v>
      </c>
      <c r="O73" s="40" t="str">
        <f aca="false">IF($A73="","",IF(OR(UPPER($H73)="Y",UPPER($I73)="Y"),"FAIL","PASS"))</f>
        <v>PASS</v>
      </c>
      <c r="P73" s="41" t="n">
        <f aca="false">IF($N73="","",Assumptions!$B$6*MAX(0.05,($N73/Assumptions!$B$11)^Assumptions!$B$12))</f>
        <v>0.0152</v>
      </c>
      <c r="Q73" s="41" t="n">
        <f aca="false">IF($P73="","",1-(1-$P73)^Assumptions!$B$7)</f>
        <v>0.0737244519939601</v>
      </c>
      <c r="R73" s="42" t="n">
        <f aca="false">IF($M73="","",$M73*Assumptions!$B$7)</f>
        <v>55</v>
      </c>
      <c r="S73" s="42" t="str">
        <f aca="false">IF(OR($J73="",$Q73="",$Q73=0),"",($J73+$R73)/($Q73*(1-Assumptions!$B$4)))</f>
        <v/>
      </c>
      <c r="T73" s="43" t="str">
        <f aca="false">IF(OR($K73="",$S73="",$S73=0),"",$K73/$S73)</f>
        <v/>
      </c>
      <c r="U73" s="44" t="str">
        <f aca="false">IF(OR($K73="",$Q73=""),"",MAX(0,($K73-MAX($K73*Assumptions!$B$4,Assumptions!$B$5))*$Q73-$R73))</f>
        <v/>
      </c>
      <c r="V73" s="40" t="str">
        <f aca="false">IF($A73="","",IF($O73="FAIL","REJECT",IF($J73="","NEEDS PRICE",IF(OR($K73="",$L73=""),"NEEDS VALUATION",IF($T73&gt;=Assumptions!$B$13,"BUY",IF($T73&gt;=1,"MARGINAL","PASS"))))))</f>
        <v>NEEDS PRICE</v>
      </c>
      <c r="W73" s="25" t="s">
        <v>177</v>
      </c>
      <c r="X73" s="35" t="s">
        <v>315</v>
      </c>
    </row>
    <row r="74" customFormat="false" ht="15" hidden="false" customHeight="false" outlineLevel="0" collapsed="false">
      <c r="A74" s="22" t="s">
        <v>316</v>
      </c>
      <c r="B74" s="36" t="str">
        <f aca="false">IF($A74="","",IF(ISERROR(FIND(".",$A74)),"",LOWER(MID($A74,FIND(CHAR(1),SUBSTITUTE($A74,".",CHAR(1),LEN($A74)-LEN(SUBSTITUTE($A74,".",""))))+1,LEN($A74)))))</f>
        <v>com</v>
      </c>
      <c r="C74" s="37" t="n">
        <f aca="false">IF($B74="","",IFERROR(INDEX(Rubric!$B$14:$B$23,MATCH($B74,Rubric!$A$14:$A$23,0)),INDEX(Rubric!$B$14:$B$23,MATCH("other",Rubric!$A$14:$A$23,0))))</f>
        <v>5</v>
      </c>
      <c r="D74" s="25" t="n">
        <v>4</v>
      </c>
      <c r="E74" s="25" t="n">
        <v>3</v>
      </c>
      <c r="F74" s="25" t="n">
        <v>5</v>
      </c>
      <c r="G74" s="25" t="n">
        <v>5</v>
      </c>
      <c r="H74" s="25" t="s">
        <v>176</v>
      </c>
      <c r="I74" s="25" t="s">
        <v>176</v>
      </c>
      <c r="J74" s="26"/>
      <c r="K74" s="27"/>
      <c r="L74" s="25"/>
      <c r="M74" s="38" t="n">
        <f aca="false">IF($B74="","",IFERROR(INDEX(Rubric!$C$14:$C$23,MATCH($B74,Rubric!$A$14:$A$23,0)),INDEX(Rubric!$C$14:$C$23,MATCH("other",Rubric!$A$14:$A$23,0))))</f>
        <v>11</v>
      </c>
      <c r="N74" s="39" t="n">
        <f aca="false">IF(OR($A74="",$C74=""),"",$C74*Rubric!$B$5+$D74*Rubric!$B$6+$E74*Rubric!$B$7+$F74*Rubric!$B$8+$G74*Rubric!$B$9)</f>
        <v>4.26</v>
      </c>
      <c r="O74" s="40" t="str">
        <f aca="false">IF($A74="","",IF(OR(UPPER($H74)="Y",UPPER($I74)="Y"),"FAIL","PASS"))</f>
        <v>PASS</v>
      </c>
      <c r="P74" s="41" t="n">
        <f aca="false">IF($N74="","",Assumptions!$B$6*MAX(0.05,($N74/Assumptions!$B$11)^Assumptions!$B$12))</f>
        <v>0.0142</v>
      </c>
      <c r="Q74" s="41" t="n">
        <f aca="false">IF($P74="","",1-(1-$P74)^Assumptions!$B$7)</f>
        <v>0.0690120301639053</v>
      </c>
      <c r="R74" s="42" t="n">
        <f aca="false">IF($M74="","",$M74*Assumptions!$B$7)</f>
        <v>55</v>
      </c>
      <c r="S74" s="42" t="str">
        <f aca="false">IF(OR($J74="",$Q74="",$Q74=0),"",($J74+$R74)/($Q74*(1-Assumptions!$B$4)))</f>
        <v/>
      </c>
      <c r="T74" s="43" t="str">
        <f aca="false">IF(OR($K74="",$S74="",$S74=0),"",$K74/$S74)</f>
        <v/>
      </c>
      <c r="U74" s="44" t="str">
        <f aca="false">IF(OR($K74="",$Q74=""),"",MAX(0,($K74-MAX($K74*Assumptions!$B$4,Assumptions!$B$5))*$Q74-$R74))</f>
        <v/>
      </c>
      <c r="V74" s="40" t="str">
        <f aca="false">IF($A74="","",IF($O74="FAIL","REJECT",IF($J74="","NEEDS PRICE",IF(OR($K74="",$L74=""),"NEEDS VALUATION",IF($T74&gt;=Assumptions!$B$13,"BUY",IF($T74&gt;=1,"MARGINAL","PASS"))))))</f>
        <v>NEEDS PRICE</v>
      </c>
      <c r="W74" s="25" t="s">
        <v>177</v>
      </c>
      <c r="X74" s="35" t="s">
        <v>317</v>
      </c>
    </row>
    <row r="75" customFormat="false" ht="23.85" hidden="false" customHeight="false" outlineLevel="0" collapsed="false">
      <c r="A75" s="22" t="s">
        <v>318</v>
      </c>
      <c r="B75" s="36" t="str">
        <f aca="false">IF($A75="","",IF(ISERROR(FIND(".",$A75)),"",LOWER(MID($A75,FIND(CHAR(1),SUBSTITUTE($A75,".",CHAR(1),LEN($A75)-LEN(SUBSTITUTE($A75,".",""))))+1,LEN($A75)))))</f>
        <v>com</v>
      </c>
      <c r="C75" s="37" t="n">
        <f aca="false">IF($B75="","",IFERROR(INDEX(Rubric!$B$14:$B$23,MATCH($B75,Rubric!$A$14:$A$23,0)),INDEX(Rubric!$B$14:$B$23,MATCH("other",Rubric!$A$14:$A$23,0))))</f>
        <v>5</v>
      </c>
      <c r="D75" s="25" t="n">
        <v>5</v>
      </c>
      <c r="E75" s="25" t="n">
        <v>3</v>
      </c>
      <c r="F75" s="25" t="n">
        <v>4</v>
      </c>
      <c r="G75" s="25" t="n">
        <v>5</v>
      </c>
      <c r="H75" s="25" t="s">
        <v>176</v>
      </c>
      <c r="I75" s="25" t="s">
        <v>176</v>
      </c>
      <c r="J75" s="26"/>
      <c r="K75" s="27"/>
      <c r="L75" s="25"/>
      <c r="M75" s="38" t="n">
        <f aca="false">IF($B75="","",IFERROR(INDEX(Rubric!$C$14:$C$23,MATCH($B75,Rubric!$A$14:$A$23,0)),INDEX(Rubric!$C$14:$C$23,MATCH("other",Rubric!$A$14:$A$23,0))))</f>
        <v>11</v>
      </c>
      <c r="N75" s="39" t="n">
        <f aca="false">IF(OR($A75="",$C75=""),"",$C75*Rubric!$B$5+$D75*Rubric!$B$6+$E75*Rubric!$B$7+$F75*Rubric!$B$8+$G75*Rubric!$B$9)</f>
        <v>4.4</v>
      </c>
      <c r="O75" s="40" t="str">
        <f aca="false">IF($A75="","",IF(OR(UPPER($H75)="Y",UPPER($I75)="Y"),"FAIL","PASS"))</f>
        <v>PASS</v>
      </c>
      <c r="P75" s="41" t="n">
        <f aca="false">IF($N75="","",Assumptions!$B$6*MAX(0.05,($N75/Assumptions!$B$11)^Assumptions!$B$12))</f>
        <v>0.0146666666666667</v>
      </c>
      <c r="Q75" s="41" t="n">
        <f aca="false">IF($P75="","",1-(1-$P75)^Assumptions!$B$7)</f>
        <v>0.0712135411665691</v>
      </c>
      <c r="R75" s="42" t="n">
        <f aca="false">IF($M75="","",$M75*Assumptions!$B$7)</f>
        <v>55</v>
      </c>
      <c r="S75" s="42" t="str">
        <f aca="false">IF(OR($J75="",$Q75="",$Q75=0),"",($J75+$R75)/($Q75*(1-Assumptions!$B$4)))</f>
        <v/>
      </c>
      <c r="T75" s="43" t="str">
        <f aca="false">IF(OR($K75="",$S75="",$S75=0),"",$K75/$S75)</f>
        <v/>
      </c>
      <c r="U75" s="44" t="str">
        <f aca="false">IF(OR($K75="",$Q75=""),"",MAX(0,($K75-MAX($K75*Assumptions!$B$4,Assumptions!$B$5))*$Q75-$R75))</f>
        <v/>
      </c>
      <c r="V75" s="40" t="str">
        <f aca="false">IF($A75="","",IF($O75="FAIL","REJECT",IF($J75="","NEEDS PRICE",IF(OR($K75="",$L75=""),"NEEDS VALUATION",IF($T75&gt;=Assumptions!$B$13,"BUY",IF($T75&gt;=1,"MARGINAL","PASS"))))))</f>
        <v>NEEDS PRICE</v>
      </c>
      <c r="W75" s="25" t="s">
        <v>177</v>
      </c>
      <c r="X75" s="35" t="s">
        <v>319</v>
      </c>
    </row>
    <row r="76" customFormat="false" ht="15" hidden="false" customHeight="false" outlineLevel="0" collapsed="false">
      <c r="A76" s="22" t="s">
        <v>320</v>
      </c>
      <c r="B76" s="36" t="str">
        <f aca="false">IF($A76="","",IF(ISERROR(FIND(".",$A76)),"",LOWER(MID($A76,FIND(CHAR(1),SUBSTITUTE($A76,".",CHAR(1),LEN($A76)-LEN(SUBSTITUTE($A76,".",""))))+1,LEN($A76)))))</f>
        <v>com</v>
      </c>
      <c r="C76" s="37" t="n">
        <f aca="false">IF($B76="","",IFERROR(INDEX(Rubric!$B$14:$B$23,MATCH($B76,Rubric!$A$14:$A$23,0)),INDEX(Rubric!$B$14:$B$23,MATCH("other",Rubric!$A$14:$A$23,0))))</f>
        <v>5</v>
      </c>
      <c r="D76" s="25" t="n">
        <v>4</v>
      </c>
      <c r="E76" s="25" t="n">
        <v>3</v>
      </c>
      <c r="F76" s="25" t="n">
        <v>5</v>
      </c>
      <c r="G76" s="25" t="n">
        <v>5</v>
      </c>
      <c r="H76" s="25" t="s">
        <v>176</v>
      </c>
      <c r="I76" s="25" t="s">
        <v>176</v>
      </c>
      <c r="J76" s="26"/>
      <c r="K76" s="27"/>
      <c r="L76" s="25"/>
      <c r="M76" s="38" t="n">
        <f aca="false">IF($B76="","",IFERROR(INDEX(Rubric!$C$14:$C$23,MATCH($B76,Rubric!$A$14:$A$23,0)),INDEX(Rubric!$C$14:$C$23,MATCH("other",Rubric!$A$14:$A$23,0))))</f>
        <v>11</v>
      </c>
      <c r="N76" s="39" t="n">
        <f aca="false">IF(OR($A76="",$C76=""),"",$C76*Rubric!$B$5+$D76*Rubric!$B$6+$E76*Rubric!$B$7+$F76*Rubric!$B$8+$G76*Rubric!$B$9)</f>
        <v>4.26</v>
      </c>
      <c r="O76" s="40" t="str">
        <f aca="false">IF($A76="","",IF(OR(UPPER($H76)="Y",UPPER($I76)="Y"),"FAIL","PASS"))</f>
        <v>PASS</v>
      </c>
      <c r="P76" s="41" t="n">
        <f aca="false">IF($N76="","",Assumptions!$B$6*MAX(0.05,($N76/Assumptions!$B$11)^Assumptions!$B$12))</f>
        <v>0.0142</v>
      </c>
      <c r="Q76" s="41" t="n">
        <f aca="false">IF($P76="","",1-(1-$P76)^Assumptions!$B$7)</f>
        <v>0.0690120301639053</v>
      </c>
      <c r="R76" s="42" t="n">
        <f aca="false">IF($M76="","",$M76*Assumptions!$B$7)</f>
        <v>55</v>
      </c>
      <c r="S76" s="42" t="str">
        <f aca="false">IF(OR($J76="",$Q76="",$Q76=0),"",($J76+$R76)/($Q76*(1-Assumptions!$B$4)))</f>
        <v/>
      </c>
      <c r="T76" s="43" t="str">
        <f aca="false">IF(OR($K76="",$S76="",$S76=0),"",$K76/$S76)</f>
        <v/>
      </c>
      <c r="U76" s="44" t="str">
        <f aca="false">IF(OR($K76="",$Q76=""),"",MAX(0,($K76-MAX($K76*Assumptions!$B$4,Assumptions!$B$5))*$Q76-$R76))</f>
        <v/>
      </c>
      <c r="V76" s="40" t="str">
        <f aca="false">IF($A76="","",IF($O76="FAIL","REJECT",IF($J76="","NEEDS PRICE",IF(OR($K76="",$L76=""),"NEEDS VALUATION",IF($T76&gt;=Assumptions!$B$13,"BUY",IF($T76&gt;=1,"MARGINAL","PASS"))))))</f>
        <v>NEEDS PRICE</v>
      </c>
      <c r="W76" s="25" t="s">
        <v>177</v>
      </c>
      <c r="X76" s="35" t="s">
        <v>321</v>
      </c>
    </row>
    <row r="77" customFormat="false" ht="15" hidden="false" customHeight="false" outlineLevel="0" collapsed="false">
      <c r="A77" s="22" t="s">
        <v>322</v>
      </c>
      <c r="B77" s="36" t="str">
        <f aca="false">IF($A77="","",IF(ISERROR(FIND(".",$A77)),"",LOWER(MID($A77,FIND(CHAR(1),SUBSTITUTE($A77,".",CHAR(1),LEN($A77)-LEN(SUBSTITUTE($A77,".",""))))+1,LEN($A77)))))</f>
        <v>com</v>
      </c>
      <c r="C77" s="37" t="n">
        <f aca="false">IF($B77="","",IFERROR(INDEX(Rubric!$B$14:$B$23,MATCH($B77,Rubric!$A$14:$A$23,0)),INDEX(Rubric!$B$14:$B$23,MATCH("other",Rubric!$A$14:$A$23,0))))</f>
        <v>5</v>
      </c>
      <c r="D77" s="25" t="n">
        <v>3</v>
      </c>
      <c r="E77" s="25" t="n">
        <v>2</v>
      </c>
      <c r="F77" s="25" t="n">
        <v>4</v>
      </c>
      <c r="G77" s="25" t="n">
        <v>5</v>
      </c>
      <c r="H77" s="25" t="s">
        <v>176</v>
      </c>
      <c r="I77" s="25" t="s">
        <v>176</v>
      </c>
      <c r="J77" s="26" t="n">
        <v>3495</v>
      </c>
      <c r="K77" s="27"/>
      <c r="L77" s="25"/>
      <c r="M77" s="38" t="n">
        <f aca="false">IF($B77="","",IFERROR(INDEX(Rubric!$C$14:$C$23,MATCH($B77,Rubric!$A$14:$A$23,0)),INDEX(Rubric!$C$14:$C$23,MATCH("other",Rubric!$A$14:$A$23,0))))</f>
        <v>11</v>
      </c>
      <c r="N77" s="39" t="n">
        <f aca="false">IF(OR($A77="",$C77=""),"",$C77*Rubric!$B$5+$D77*Rubric!$B$6+$E77*Rubric!$B$7+$F77*Rubric!$B$8+$G77*Rubric!$B$9)</f>
        <v>3.58</v>
      </c>
      <c r="O77" s="40" t="str">
        <f aca="false">IF($A77="","",IF(OR(UPPER($H77)="Y",UPPER($I77)="Y"),"FAIL","PASS"))</f>
        <v>PASS</v>
      </c>
      <c r="P77" s="41" t="n">
        <f aca="false">IF($N77="","",Assumptions!$B$6*MAX(0.05,($N77/Assumptions!$B$11)^Assumptions!$B$12))</f>
        <v>0.0119333333333333</v>
      </c>
      <c r="Q77" s="41" t="n">
        <f aca="false">IF($P77="","",1-(1-$P77)^Assumptions!$B$7)</f>
        <v>0.0582595146661268</v>
      </c>
      <c r="R77" s="42" t="n">
        <f aca="false">IF($M77="","",$M77*Assumptions!$B$7)</f>
        <v>55</v>
      </c>
      <c r="S77" s="42" t="n">
        <f aca="false">IF(OR($J77="",$Q77="",$Q77=0),"",($J77+$R77)/($Q77*(1-Assumptions!$B$4)))</f>
        <v>76167.8161143359</v>
      </c>
      <c r="T77" s="43" t="str">
        <f aca="false">IF(OR($K77="",$S77="",$S77=0),"",$K77/$S77)</f>
        <v/>
      </c>
      <c r="U77" s="44" t="str">
        <f aca="false">IF(OR($K77="",$Q77=""),"",MAX(0,($K77-MAX($K77*Assumptions!$B$4,Assumptions!$B$5))*$Q77-$R77))</f>
        <v/>
      </c>
      <c r="V77" s="40" t="str">
        <f aca="false">IF($A77="","",IF($O77="FAIL","REJECT",IF($J77="","NEEDS PRICE",IF(OR($K77="",$L77=""),"NEEDS VALUATION",IF($T77&gt;=Assumptions!$B$13,"BUY",IF($T77&gt;=1,"MARGINAL","PASS"))))))</f>
        <v>NEEDS VALUATION</v>
      </c>
      <c r="W77" s="25" t="s">
        <v>204</v>
      </c>
      <c r="X77" s="35" t="s">
        <v>323</v>
      </c>
    </row>
    <row r="78" customFormat="false" ht="15" hidden="false" customHeight="false" outlineLevel="0" collapsed="false">
      <c r="A78" s="22" t="s">
        <v>324</v>
      </c>
      <c r="B78" s="36" t="str">
        <f aca="false">IF($A78="","",IF(ISERROR(FIND(".",$A78)),"",LOWER(MID($A78,FIND(CHAR(1),SUBSTITUTE($A78,".",CHAR(1),LEN($A78)-LEN(SUBSTITUTE($A78,".",""))))+1,LEN($A78)))))</f>
        <v>com</v>
      </c>
      <c r="C78" s="37" t="n">
        <f aca="false">IF($B78="","",IFERROR(INDEX(Rubric!$B$14:$B$23,MATCH($B78,Rubric!$A$14:$A$23,0)),INDEX(Rubric!$B$14:$B$23,MATCH("other",Rubric!$A$14:$A$23,0))))</f>
        <v>5</v>
      </c>
      <c r="D78" s="25" t="n">
        <v>4</v>
      </c>
      <c r="E78" s="25" t="n">
        <v>3</v>
      </c>
      <c r="F78" s="25" t="n">
        <v>5</v>
      </c>
      <c r="G78" s="25" t="n">
        <v>4</v>
      </c>
      <c r="H78" s="25" t="s">
        <v>176</v>
      </c>
      <c r="I78" s="25" t="s">
        <v>176</v>
      </c>
      <c r="J78" s="26"/>
      <c r="K78" s="27"/>
      <c r="L78" s="25"/>
      <c r="M78" s="38" t="n">
        <f aca="false">IF($B78="","",IFERROR(INDEX(Rubric!$C$14:$C$23,MATCH($B78,Rubric!$A$14:$A$23,0)),INDEX(Rubric!$C$14:$C$23,MATCH("other",Rubric!$A$14:$A$23,0))))</f>
        <v>11</v>
      </c>
      <c r="N78" s="39" t="n">
        <f aca="false">IF(OR($A78="",$C78=""),"",$C78*Rubric!$B$5+$D78*Rubric!$B$6+$E78*Rubric!$B$7+$F78*Rubric!$B$8+$G78*Rubric!$B$9)</f>
        <v>4.16</v>
      </c>
      <c r="O78" s="40" t="str">
        <f aca="false">IF($A78="","",IF(OR(UPPER($H78)="Y",UPPER($I78)="Y"),"FAIL","PASS"))</f>
        <v>PASS</v>
      </c>
      <c r="P78" s="41" t="n">
        <f aca="false">IF($N78="","",Assumptions!$B$6*MAX(0.05,($N78/Assumptions!$B$11)^Assumptions!$B$12))</f>
        <v>0.0138666666666667</v>
      </c>
      <c r="Q78" s="41" t="n">
        <f aca="false">IF($P78="","",1-(1-$P78)^Assumptions!$B$7)</f>
        <v>0.0674369679780107</v>
      </c>
      <c r="R78" s="42" t="n">
        <f aca="false">IF($M78="","",$M78*Assumptions!$B$7)</f>
        <v>55</v>
      </c>
      <c r="S78" s="42" t="str">
        <f aca="false">IF(OR($J78="",$Q78="",$Q78=0),"",($J78+$R78)/($Q78*(1-Assumptions!$B$4)))</f>
        <v/>
      </c>
      <c r="T78" s="43" t="str">
        <f aca="false">IF(OR($K78="",$S78="",$S78=0),"",$K78/$S78)</f>
        <v/>
      </c>
      <c r="U78" s="44" t="str">
        <f aca="false">IF(OR($K78="",$Q78=""),"",MAX(0,($K78-MAX($K78*Assumptions!$B$4,Assumptions!$B$5))*$Q78-$R78))</f>
        <v/>
      </c>
      <c r="V78" s="40" t="str">
        <f aca="false">IF($A78="","",IF($O78="FAIL","REJECT",IF($J78="","NEEDS PRICE",IF(OR($K78="",$L78=""),"NEEDS VALUATION",IF($T78&gt;=Assumptions!$B$13,"BUY",IF($T78&gt;=1,"MARGINAL","PASS"))))))</f>
        <v>NEEDS PRICE</v>
      </c>
      <c r="W78" s="25" t="s">
        <v>177</v>
      </c>
      <c r="X78" s="35" t="s">
        <v>325</v>
      </c>
    </row>
    <row r="79" customFormat="false" ht="15" hidden="false" customHeight="false" outlineLevel="0" collapsed="false">
      <c r="A79" s="22" t="s">
        <v>326</v>
      </c>
      <c r="B79" s="36" t="str">
        <f aca="false">IF($A79="","",IF(ISERROR(FIND(".",$A79)),"",LOWER(MID($A79,FIND(CHAR(1),SUBSTITUTE($A79,".",CHAR(1),LEN($A79)-LEN(SUBSTITUTE($A79,".",""))))+1,LEN($A79)))))</f>
        <v>com</v>
      </c>
      <c r="C79" s="37" t="n">
        <f aca="false">IF($B79="","",IFERROR(INDEX(Rubric!$B$14:$B$23,MATCH($B79,Rubric!$A$14:$A$23,0)),INDEX(Rubric!$B$14:$B$23,MATCH("other",Rubric!$A$14:$A$23,0))))</f>
        <v>5</v>
      </c>
      <c r="D79" s="25" t="n">
        <v>3</v>
      </c>
      <c r="E79" s="25" t="n">
        <v>2</v>
      </c>
      <c r="F79" s="25" t="n">
        <v>4</v>
      </c>
      <c r="G79" s="25" t="n">
        <v>5</v>
      </c>
      <c r="H79" s="25" t="s">
        <v>176</v>
      </c>
      <c r="I79" s="25" t="s">
        <v>176</v>
      </c>
      <c r="J79" s="26"/>
      <c r="K79" s="27"/>
      <c r="L79" s="25"/>
      <c r="M79" s="38" t="n">
        <f aca="false">IF($B79="","",IFERROR(INDEX(Rubric!$C$14:$C$23,MATCH($B79,Rubric!$A$14:$A$23,0)),INDEX(Rubric!$C$14:$C$23,MATCH("other",Rubric!$A$14:$A$23,0))))</f>
        <v>11</v>
      </c>
      <c r="N79" s="39" t="n">
        <f aca="false">IF(OR($A79="",$C79=""),"",$C79*Rubric!$B$5+$D79*Rubric!$B$6+$E79*Rubric!$B$7+$F79*Rubric!$B$8+$G79*Rubric!$B$9)</f>
        <v>3.58</v>
      </c>
      <c r="O79" s="40" t="str">
        <f aca="false">IF($A79="","",IF(OR(UPPER($H79)="Y",UPPER($I79)="Y"),"FAIL","PASS"))</f>
        <v>PASS</v>
      </c>
      <c r="P79" s="41" t="n">
        <f aca="false">IF($N79="","",Assumptions!$B$6*MAX(0.05,($N79/Assumptions!$B$11)^Assumptions!$B$12))</f>
        <v>0.0119333333333333</v>
      </c>
      <c r="Q79" s="41" t="n">
        <f aca="false">IF($P79="","",1-(1-$P79)^Assumptions!$B$7)</f>
        <v>0.0582595146661268</v>
      </c>
      <c r="R79" s="42" t="n">
        <f aca="false">IF($M79="","",$M79*Assumptions!$B$7)</f>
        <v>55</v>
      </c>
      <c r="S79" s="42" t="str">
        <f aca="false">IF(OR($J79="",$Q79="",$Q79=0),"",($J79+$R79)/($Q79*(1-Assumptions!$B$4)))</f>
        <v/>
      </c>
      <c r="T79" s="43" t="str">
        <f aca="false">IF(OR($K79="",$S79="",$S79=0),"",$K79/$S79)</f>
        <v/>
      </c>
      <c r="U79" s="44" t="str">
        <f aca="false">IF(OR($K79="",$Q79=""),"",MAX(0,($K79-MAX($K79*Assumptions!$B$4,Assumptions!$B$5))*$Q79-$R79))</f>
        <v/>
      </c>
      <c r="V79" s="40" t="str">
        <f aca="false">IF($A79="","",IF($O79="FAIL","REJECT",IF($J79="","NEEDS PRICE",IF(OR($K79="",$L79=""),"NEEDS VALUATION",IF($T79&gt;=Assumptions!$B$13,"BUY",IF($T79&gt;=1,"MARGINAL","PASS"))))))</f>
        <v>NEEDS PRICE</v>
      </c>
      <c r="W79" s="25" t="s">
        <v>177</v>
      </c>
      <c r="X79" s="35" t="s">
        <v>327</v>
      </c>
    </row>
    <row r="80" customFormat="false" ht="23.85" hidden="false" customHeight="false" outlineLevel="0" collapsed="false">
      <c r="A80" s="22" t="s">
        <v>328</v>
      </c>
      <c r="B80" s="36" t="str">
        <f aca="false">IF($A80="","",IF(ISERROR(FIND(".",$A80)),"",LOWER(MID($A80,FIND(CHAR(1),SUBSTITUTE($A80,".",CHAR(1),LEN($A80)-LEN(SUBSTITUTE($A80,".",""))))+1,LEN($A80)))))</f>
        <v>com</v>
      </c>
      <c r="C80" s="37" t="n">
        <f aca="false">IF($B80="","",IFERROR(INDEX(Rubric!$B$14:$B$23,MATCH($B80,Rubric!$A$14:$A$23,0)),INDEX(Rubric!$B$14:$B$23,MATCH("other",Rubric!$A$14:$A$23,0))))</f>
        <v>5</v>
      </c>
      <c r="D80" s="25" t="n">
        <v>3</v>
      </c>
      <c r="E80" s="25" t="n">
        <v>2</v>
      </c>
      <c r="F80" s="25" t="n">
        <v>3</v>
      </c>
      <c r="G80" s="25" t="n">
        <v>5</v>
      </c>
      <c r="H80" s="25" t="s">
        <v>176</v>
      </c>
      <c r="I80" s="25" t="s">
        <v>176</v>
      </c>
      <c r="J80" s="26"/>
      <c r="K80" s="27"/>
      <c r="L80" s="25"/>
      <c r="M80" s="38" t="n">
        <f aca="false">IF($B80="","",IFERROR(INDEX(Rubric!$C$14:$C$23,MATCH($B80,Rubric!$A$14:$A$23,0)),INDEX(Rubric!$C$14:$C$23,MATCH("other",Rubric!$A$14:$A$23,0))))</f>
        <v>11</v>
      </c>
      <c r="N80" s="39" t="n">
        <f aca="false">IF(OR($A80="",$C80=""),"",$C80*Rubric!$B$5+$D80*Rubric!$B$6+$E80*Rubric!$B$7+$F80*Rubric!$B$8+$G80*Rubric!$B$9)</f>
        <v>3.42</v>
      </c>
      <c r="O80" s="40" t="str">
        <f aca="false">IF($A80="","",IF(OR(UPPER($H80)="Y",UPPER($I80)="Y"),"FAIL","PASS"))</f>
        <v>PASS</v>
      </c>
      <c r="P80" s="41" t="n">
        <f aca="false">IF($N80="","",Assumptions!$B$6*MAX(0.05,($N80/Assumptions!$B$11)^Assumptions!$B$12))</f>
        <v>0.0114</v>
      </c>
      <c r="Q80" s="41" t="n">
        <f aca="false">IF($P80="","",1-(1-$P80)^Assumptions!$B$7)</f>
        <v>0.0557151311845333</v>
      </c>
      <c r="R80" s="42" t="n">
        <f aca="false">IF($M80="","",$M80*Assumptions!$B$7)</f>
        <v>55</v>
      </c>
      <c r="S80" s="42" t="str">
        <f aca="false">IF(OR($J80="",$Q80="",$Q80=0),"",($J80+$R80)/($Q80*(1-Assumptions!$B$4)))</f>
        <v/>
      </c>
      <c r="T80" s="43" t="str">
        <f aca="false">IF(OR($K80="",$S80="",$S80=0),"",$K80/$S80)</f>
        <v/>
      </c>
      <c r="U80" s="44" t="str">
        <f aca="false">IF(OR($K80="",$Q80=""),"",MAX(0,($K80-MAX($K80*Assumptions!$B$4,Assumptions!$B$5))*$Q80-$R80))</f>
        <v/>
      </c>
      <c r="V80" s="40" t="str">
        <f aca="false">IF($A80="","",IF($O80="FAIL","REJECT",IF($J80="","NEEDS PRICE",IF(OR($K80="",$L80=""),"NEEDS VALUATION",IF($T80&gt;=Assumptions!$B$13,"BUY",IF($T80&gt;=1,"MARGINAL","PASS"))))))</f>
        <v>NEEDS PRICE</v>
      </c>
      <c r="W80" s="25" t="s">
        <v>177</v>
      </c>
      <c r="X80" s="35" t="s">
        <v>329</v>
      </c>
    </row>
    <row r="81" customFormat="false" ht="23.85" hidden="false" customHeight="false" outlineLevel="0" collapsed="false">
      <c r="A81" s="22" t="s">
        <v>330</v>
      </c>
      <c r="B81" s="36" t="str">
        <f aca="false">IF($A81="","",IF(ISERROR(FIND(".",$A81)),"",LOWER(MID($A81,FIND(CHAR(1),SUBSTITUTE($A81,".",CHAR(1),LEN($A81)-LEN(SUBSTITUTE($A81,".",""))))+1,LEN($A81)))))</f>
        <v>com</v>
      </c>
      <c r="C81" s="37" t="n">
        <f aca="false">IF($B81="","",IFERROR(INDEX(Rubric!$B$14:$B$23,MATCH($B81,Rubric!$A$14:$A$23,0)),INDEX(Rubric!$B$14:$B$23,MATCH("other",Rubric!$A$14:$A$23,0))))</f>
        <v>5</v>
      </c>
      <c r="D81" s="25" t="n">
        <v>3</v>
      </c>
      <c r="E81" s="25" t="n">
        <v>3</v>
      </c>
      <c r="F81" s="25" t="n">
        <v>5</v>
      </c>
      <c r="G81" s="25" t="n">
        <v>5</v>
      </c>
      <c r="H81" s="25" t="s">
        <v>176</v>
      </c>
      <c r="I81" s="25" t="s">
        <v>176</v>
      </c>
      <c r="J81" s="26"/>
      <c r="K81" s="27"/>
      <c r="L81" s="25"/>
      <c r="M81" s="38" t="n">
        <f aca="false">IF($B81="","",IFERROR(INDEX(Rubric!$C$14:$C$23,MATCH($B81,Rubric!$A$14:$A$23,0)),INDEX(Rubric!$C$14:$C$23,MATCH("other",Rubric!$A$14:$A$23,0))))</f>
        <v>11</v>
      </c>
      <c r="N81" s="39" t="n">
        <f aca="false">IF(OR($A81="",$C81=""),"",$C81*Rubric!$B$5+$D81*Rubric!$B$6+$E81*Rubric!$B$7+$F81*Rubric!$B$8+$G81*Rubric!$B$9)</f>
        <v>3.96</v>
      </c>
      <c r="O81" s="40" t="str">
        <f aca="false">IF($A81="","",IF(OR(UPPER($H81)="Y",UPPER($I81)="Y"),"FAIL","PASS"))</f>
        <v>PASS</v>
      </c>
      <c r="P81" s="41" t="n">
        <f aca="false">IF($N81="","",Assumptions!$B$6*MAX(0.05,($N81/Assumptions!$B$11)^Assumptions!$B$12))</f>
        <v>0.0132</v>
      </c>
      <c r="Q81" s="41" t="n">
        <f aca="false">IF($P81="","",1-(1-$P81)^Assumptions!$B$7)</f>
        <v>0.0642804482828584</v>
      </c>
      <c r="R81" s="42" t="n">
        <f aca="false">IF($M81="","",$M81*Assumptions!$B$7)</f>
        <v>55</v>
      </c>
      <c r="S81" s="42" t="str">
        <f aca="false">IF(OR($J81="",$Q81="",$Q81=0),"",($J81+$R81)/($Q81*(1-Assumptions!$B$4)))</f>
        <v/>
      </c>
      <c r="T81" s="43" t="str">
        <f aca="false">IF(OR($K81="",$S81="",$S81=0),"",$K81/$S81)</f>
        <v/>
      </c>
      <c r="U81" s="44" t="str">
        <f aca="false">IF(OR($K81="",$Q81=""),"",MAX(0,($K81-MAX($K81*Assumptions!$B$4,Assumptions!$B$5))*$Q81-$R81))</f>
        <v/>
      </c>
      <c r="V81" s="40" t="str">
        <f aca="false">IF($A81="","",IF($O81="FAIL","REJECT",IF($J81="","NEEDS PRICE",IF(OR($K81="",$L81=""),"NEEDS VALUATION",IF($T81&gt;=Assumptions!$B$13,"BUY",IF($T81&gt;=1,"MARGINAL","PASS"))))))</f>
        <v>NEEDS PRICE</v>
      </c>
      <c r="W81" s="25" t="s">
        <v>177</v>
      </c>
      <c r="X81" s="35" t="s">
        <v>331</v>
      </c>
    </row>
    <row r="82" customFormat="false" ht="23.85" hidden="false" customHeight="false" outlineLevel="0" collapsed="false">
      <c r="A82" s="22" t="s">
        <v>332</v>
      </c>
      <c r="B82" s="36" t="str">
        <f aca="false">IF($A82="","",IF(ISERROR(FIND(".",$A82)),"",LOWER(MID($A82,FIND(CHAR(1),SUBSTITUTE($A82,".",CHAR(1),LEN($A82)-LEN(SUBSTITUTE($A82,".",""))))+1,LEN($A82)))))</f>
        <v>com</v>
      </c>
      <c r="C82" s="37" t="n">
        <f aca="false">IF($B82="","",IFERROR(INDEX(Rubric!$B$14:$B$23,MATCH($B82,Rubric!$A$14:$A$23,0)),INDEX(Rubric!$B$14:$B$23,MATCH("other",Rubric!$A$14:$A$23,0))))</f>
        <v>5</v>
      </c>
      <c r="D82" s="25" t="n">
        <v>3</v>
      </c>
      <c r="E82" s="25" t="n">
        <v>3</v>
      </c>
      <c r="F82" s="25" t="n">
        <v>5</v>
      </c>
      <c r="G82" s="25" t="n">
        <v>4</v>
      </c>
      <c r="H82" s="25" t="s">
        <v>176</v>
      </c>
      <c r="I82" s="25" t="s">
        <v>176</v>
      </c>
      <c r="J82" s="26"/>
      <c r="K82" s="27"/>
      <c r="L82" s="25"/>
      <c r="M82" s="38" t="n">
        <f aca="false">IF($B82="","",IFERROR(INDEX(Rubric!$C$14:$C$23,MATCH($B82,Rubric!$A$14:$A$23,0)),INDEX(Rubric!$C$14:$C$23,MATCH("other",Rubric!$A$14:$A$23,0))))</f>
        <v>11</v>
      </c>
      <c r="N82" s="39" t="n">
        <f aca="false">IF(OR($A82="",$C82=""),"",$C82*Rubric!$B$5+$D82*Rubric!$B$6+$E82*Rubric!$B$7+$F82*Rubric!$B$8+$G82*Rubric!$B$9)</f>
        <v>3.86</v>
      </c>
      <c r="O82" s="40" t="str">
        <f aca="false">IF($A82="","",IF(OR(UPPER($H82)="Y",UPPER($I82)="Y"),"FAIL","PASS"))</f>
        <v>PASS</v>
      </c>
      <c r="P82" s="41" t="n">
        <f aca="false">IF($N82="","",Assumptions!$B$6*MAX(0.05,($N82/Assumptions!$B$11)^Assumptions!$B$12))</f>
        <v>0.0128666666666667</v>
      </c>
      <c r="Q82" s="41" t="n">
        <f aca="false">IF($P82="","",1-(1-$P82)^Assumptions!$B$7)</f>
        <v>0.0626989864486389</v>
      </c>
      <c r="R82" s="42" t="n">
        <f aca="false">IF($M82="","",$M82*Assumptions!$B$7)</f>
        <v>55</v>
      </c>
      <c r="S82" s="42" t="str">
        <f aca="false">IF(OR($J82="",$Q82="",$Q82=0),"",($J82+$R82)/($Q82*(1-Assumptions!$B$4)))</f>
        <v/>
      </c>
      <c r="T82" s="43" t="str">
        <f aca="false">IF(OR($K82="",$S82="",$S82=0),"",$K82/$S82)</f>
        <v/>
      </c>
      <c r="U82" s="44" t="str">
        <f aca="false">IF(OR($K82="",$Q82=""),"",MAX(0,($K82-MAX($K82*Assumptions!$B$4,Assumptions!$B$5))*$Q82-$R82))</f>
        <v/>
      </c>
      <c r="V82" s="40" t="str">
        <f aca="false">IF($A82="","",IF($O82="FAIL","REJECT",IF($J82="","NEEDS PRICE",IF(OR($K82="",$L82=""),"NEEDS VALUATION",IF($T82&gt;=Assumptions!$B$13,"BUY",IF($T82&gt;=1,"MARGINAL","PASS"))))))</f>
        <v>NEEDS PRICE</v>
      </c>
      <c r="W82" s="25" t="s">
        <v>177</v>
      </c>
      <c r="X82" s="35" t="s">
        <v>333</v>
      </c>
    </row>
    <row r="83" customFormat="false" ht="23.85" hidden="false" customHeight="false" outlineLevel="0" collapsed="false">
      <c r="A83" s="22" t="s">
        <v>334</v>
      </c>
      <c r="B83" s="36" t="str">
        <f aca="false">IF($A83="","",IF(ISERROR(FIND(".",$A83)),"",LOWER(MID($A83,FIND(CHAR(1),SUBSTITUTE($A83,".",CHAR(1),LEN($A83)-LEN(SUBSTITUTE($A83,".",""))))+1,LEN($A83)))))</f>
        <v>com</v>
      </c>
      <c r="C83" s="37" t="n">
        <f aca="false">IF($B83="","",IFERROR(INDEX(Rubric!$B$14:$B$23,MATCH($B83,Rubric!$A$14:$A$23,0)),INDEX(Rubric!$B$14:$B$23,MATCH("other",Rubric!$A$14:$A$23,0))))</f>
        <v>5</v>
      </c>
      <c r="D83" s="25" t="n">
        <v>3</v>
      </c>
      <c r="E83" s="25" t="n">
        <v>3</v>
      </c>
      <c r="F83" s="25" t="n">
        <v>5</v>
      </c>
      <c r="G83" s="25" t="n">
        <v>5</v>
      </c>
      <c r="H83" s="25" t="s">
        <v>176</v>
      </c>
      <c r="I83" s="25" t="s">
        <v>176</v>
      </c>
      <c r="J83" s="26"/>
      <c r="K83" s="27"/>
      <c r="L83" s="25"/>
      <c r="M83" s="38" t="n">
        <f aca="false">IF($B83="","",IFERROR(INDEX(Rubric!$C$14:$C$23,MATCH($B83,Rubric!$A$14:$A$23,0)),INDEX(Rubric!$C$14:$C$23,MATCH("other",Rubric!$A$14:$A$23,0))))</f>
        <v>11</v>
      </c>
      <c r="N83" s="39" t="n">
        <f aca="false">IF(OR($A83="",$C83=""),"",$C83*Rubric!$B$5+$D83*Rubric!$B$6+$E83*Rubric!$B$7+$F83*Rubric!$B$8+$G83*Rubric!$B$9)</f>
        <v>3.96</v>
      </c>
      <c r="O83" s="40" t="str">
        <f aca="false">IF($A83="","",IF(OR(UPPER($H83)="Y",UPPER($I83)="Y"),"FAIL","PASS"))</f>
        <v>PASS</v>
      </c>
      <c r="P83" s="41" t="n">
        <f aca="false">IF($N83="","",Assumptions!$B$6*MAX(0.05,($N83/Assumptions!$B$11)^Assumptions!$B$12))</f>
        <v>0.0132</v>
      </c>
      <c r="Q83" s="41" t="n">
        <f aca="false">IF($P83="","",1-(1-$P83)^Assumptions!$B$7)</f>
        <v>0.0642804482828584</v>
      </c>
      <c r="R83" s="42" t="n">
        <f aca="false">IF($M83="","",$M83*Assumptions!$B$7)</f>
        <v>55</v>
      </c>
      <c r="S83" s="42" t="str">
        <f aca="false">IF(OR($J83="",$Q83="",$Q83=0),"",($J83+$R83)/($Q83*(1-Assumptions!$B$4)))</f>
        <v/>
      </c>
      <c r="T83" s="43" t="str">
        <f aca="false">IF(OR($K83="",$S83="",$S83=0),"",$K83/$S83)</f>
        <v/>
      </c>
      <c r="U83" s="44" t="str">
        <f aca="false">IF(OR($K83="",$Q83=""),"",MAX(0,($K83-MAX($K83*Assumptions!$B$4,Assumptions!$B$5))*$Q83-$R83))</f>
        <v/>
      </c>
      <c r="V83" s="40" t="str">
        <f aca="false">IF($A83="","",IF($O83="FAIL","REJECT",IF($J83="","NEEDS PRICE",IF(OR($K83="",$L83=""),"NEEDS VALUATION",IF($T83&gt;=Assumptions!$B$13,"BUY",IF($T83&gt;=1,"MARGINAL","PASS"))))))</f>
        <v>NEEDS PRICE</v>
      </c>
      <c r="W83" s="25" t="s">
        <v>177</v>
      </c>
      <c r="X83" s="35" t="s">
        <v>335</v>
      </c>
    </row>
    <row r="84" customFormat="false" ht="15" hidden="false" customHeight="false" outlineLevel="0" collapsed="false">
      <c r="A84" s="22" t="s">
        <v>336</v>
      </c>
      <c r="B84" s="36" t="str">
        <f aca="false">IF($A84="","",IF(ISERROR(FIND(".",$A84)),"",LOWER(MID($A84,FIND(CHAR(1),SUBSTITUTE($A84,".",CHAR(1),LEN($A84)-LEN(SUBSTITUTE($A84,".",""))))+1,LEN($A84)))))</f>
        <v>com</v>
      </c>
      <c r="C84" s="37" t="n">
        <f aca="false">IF($B84="","",IFERROR(INDEX(Rubric!$B$14:$B$23,MATCH($B84,Rubric!$A$14:$A$23,0)),INDEX(Rubric!$B$14:$B$23,MATCH("other",Rubric!$A$14:$A$23,0))))</f>
        <v>5</v>
      </c>
      <c r="D84" s="25" t="n">
        <v>3</v>
      </c>
      <c r="E84" s="25" t="n">
        <v>2</v>
      </c>
      <c r="F84" s="25" t="n">
        <v>5</v>
      </c>
      <c r="G84" s="25" t="n">
        <v>4</v>
      </c>
      <c r="H84" s="25" t="s">
        <v>176</v>
      </c>
      <c r="I84" s="25" t="s">
        <v>176</v>
      </c>
      <c r="J84" s="26"/>
      <c r="K84" s="27"/>
      <c r="L84" s="25"/>
      <c r="M84" s="38" t="n">
        <f aca="false">IF($B84="","",IFERROR(INDEX(Rubric!$C$14:$C$23,MATCH($B84,Rubric!$A$14:$A$23,0)),INDEX(Rubric!$C$14:$C$23,MATCH("other",Rubric!$A$14:$A$23,0))))</f>
        <v>11</v>
      </c>
      <c r="N84" s="39" t="n">
        <f aca="false">IF(OR($A84="",$C84=""),"",$C84*Rubric!$B$5+$D84*Rubric!$B$6+$E84*Rubric!$B$7+$F84*Rubric!$B$8+$G84*Rubric!$B$9)</f>
        <v>3.64</v>
      </c>
      <c r="O84" s="40" t="str">
        <f aca="false">IF($A84="","",IF(OR(UPPER($H84)="Y",UPPER($I84)="Y"),"FAIL","PASS"))</f>
        <v>PASS</v>
      </c>
      <c r="P84" s="41" t="n">
        <f aca="false">IF($N84="","",Assumptions!$B$6*MAX(0.05,($N84/Assumptions!$B$11)^Assumptions!$B$12))</f>
        <v>0.0121333333333333</v>
      </c>
      <c r="Q84" s="41" t="n">
        <f aca="false">IF($P84="","",1-(1-$P84)^Assumptions!$B$7)</f>
        <v>0.0592122432101887</v>
      </c>
      <c r="R84" s="42" t="n">
        <f aca="false">IF($M84="","",$M84*Assumptions!$B$7)</f>
        <v>55</v>
      </c>
      <c r="S84" s="42" t="str">
        <f aca="false">IF(OR($J84="",$Q84="",$Q84=0),"",($J84+$R84)/($Q84*(1-Assumptions!$B$4)))</f>
        <v/>
      </c>
      <c r="T84" s="43" t="str">
        <f aca="false">IF(OR($K84="",$S84="",$S84=0),"",$K84/$S84)</f>
        <v/>
      </c>
      <c r="U84" s="44" t="str">
        <f aca="false">IF(OR($K84="",$Q84=""),"",MAX(0,($K84-MAX($K84*Assumptions!$B$4,Assumptions!$B$5))*$Q84-$R84))</f>
        <v/>
      </c>
      <c r="V84" s="40" t="str">
        <f aca="false">IF($A84="","",IF($O84="FAIL","REJECT",IF($J84="","NEEDS PRICE",IF(OR($K84="",$L84=""),"NEEDS VALUATION",IF($T84&gt;=Assumptions!$B$13,"BUY",IF($T84&gt;=1,"MARGINAL","PASS"))))))</f>
        <v>NEEDS PRICE</v>
      </c>
      <c r="W84" s="25" t="s">
        <v>177</v>
      </c>
      <c r="X84" s="35" t="s">
        <v>337</v>
      </c>
    </row>
    <row r="85" customFormat="false" ht="15" hidden="false" customHeight="false" outlineLevel="0" collapsed="false">
      <c r="A85" s="22" t="s">
        <v>338</v>
      </c>
      <c r="B85" s="36" t="str">
        <f aca="false">IF($A85="","",IF(ISERROR(FIND(".",$A85)),"",LOWER(MID($A85,FIND(CHAR(1),SUBSTITUTE($A85,".",CHAR(1),LEN($A85)-LEN(SUBSTITUTE($A85,".",""))))+1,LEN($A85)))))</f>
        <v>com</v>
      </c>
      <c r="C85" s="37" t="n">
        <f aca="false">IF($B85="","",IFERROR(INDEX(Rubric!$B$14:$B$23,MATCH($B85,Rubric!$A$14:$A$23,0)),INDEX(Rubric!$B$14:$B$23,MATCH("other",Rubric!$A$14:$A$23,0))))</f>
        <v>5</v>
      </c>
      <c r="D85" s="25" t="n">
        <v>3</v>
      </c>
      <c r="E85" s="25" t="n">
        <v>2</v>
      </c>
      <c r="F85" s="25" t="n">
        <v>5</v>
      </c>
      <c r="G85" s="25" t="n">
        <v>4</v>
      </c>
      <c r="H85" s="25" t="s">
        <v>176</v>
      </c>
      <c r="I85" s="25" t="s">
        <v>176</v>
      </c>
      <c r="J85" s="26"/>
      <c r="K85" s="27"/>
      <c r="L85" s="25"/>
      <c r="M85" s="38" t="n">
        <f aca="false">IF($B85="","",IFERROR(INDEX(Rubric!$C$14:$C$23,MATCH($B85,Rubric!$A$14:$A$23,0)),INDEX(Rubric!$C$14:$C$23,MATCH("other",Rubric!$A$14:$A$23,0))))</f>
        <v>11</v>
      </c>
      <c r="N85" s="39" t="n">
        <f aca="false">IF(OR($A85="",$C85=""),"",$C85*Rubric!$B$5+$D85*Rubric!$B$6+$E85*Rubric!$B$7+$F85*Rubric!$B$8+$G85*Rubric!$B$9)</f>
        <v>3.64</v>
      </c>
      <c r="O85" s="40" t="str">
        <f aca="false">IF($A85="","",IF(OR(UPPER($H85)="Y",UPPER($I85)="Y"),"FAIL","PASS"))</f>
        <v>PASS</v>
      </c>
      <c r="P85" s="41" t="n">
        <f aca="false">IF($N85="","",Assumptions!$B$6*MAX(0.05,($N85/Assumptions!$B$11)^Assumptions!$B$12))</f>
        <v>0.0121333333333333</v>
      </c>
      <c r="Q85" s="41" t="n">
        <f aca="false">IF($P85="","",1-(1-$P85)^Assumptions!$B$7)</f>
        <v>0.0592122432101887</v>
      </c>
      <c r="R85" s="42" t="n">
        <f aca="false">IF($M85="","",$M85*Assumptions!$B$7)</f>
        <v>55</v>
      </c>
      <c r="S85" s="42" t="str">
        <f aca="false">IF(OR($J85="",$Q85="",$Q85=0),"",($J85+$R85)/($Q85*(1-Assumptions!$B$4)))</f>
        <v/>
      </c>
      <c r="T85" s="43" t="str">
        <f aca="false">IF(OR($K85="",$S85="",$S85=0),"",$K85/$S85)</f>
        <v/>
      </c>
      <c r="U85" s="44" t="str">
        <f aca="false">IF(OR($K85="",$Q85=""),"",MAX(0,($K85-MAX($K85*Assumptions!$B$4,Assumptions!$B$5))*$Q85-$R85))</f>
        <v/>
      </c>
      <c r="V85" s="40" t="str">
        <f aca="false">IF($A85="","",IF($O85="FAIL","REJECT",IF($J85="","NEEDS PRICE",IF(OR($K85="",$L85=""),"NEEDS VALUATION",IF($T85&gt;=Assumptions!$B$13,"BUY",IF($T85&gt;=1,"MARGINAL","PASS"))))))</f>
        <v>NEEDS PRICE</v>
      </c>
      <c r="W85" s="25" t="s">
        <v>177</v>
      </c>
      <c r="X85" s="35" t="s">
        <v>339</v>
      </c>
    </row>
    <row r="86" customFormat="false" ht="23.85" hidden="false" customHeight="false" outlineLevel="0" collapsed="false">
      <c r="A86" s="22" t="s">
        <v>340</v>
      </c>
      <c r="B86" s="36" t="str">
        <f aca="false">IF($A86="","",IF(ISERROR(FIND(".",$A86)),"",LOWER(MID($A86,FIND(CHAR(1),SUBSTITUTE($A86,".",CHAR(1),LEN($A86)-LEN(SUBSTITUTE($A86,".",""))))+1,LEN($A86)))))</f>
        <v>com</v>
      </c>
      <c r="C86" s="37" t="n">
        <f aca="false">IF($B86="","",IFERROR(INDEX(Rubric!$B$14:$B$23,MATCH($B86,Rubric!$A$14:$A$23,0)),INDEX(Rubric!$B$14:$B$23,MATCH("other",Rubric!$A$14:$A$23,0))))</f>
        <v>5</v>
      </c>
      <c r="D86" s="25" t="n">
        <v>3</v>
      </c>
      <c r="E86" s="25" t="n">
        <v>2</v>
      </c>
      <c r="F86" s="25" t="n">
        <v>5</v>
      </c>
      <c r="G86" s="25" t="n">
        <v>4</v>
      </c>
      <c r="H86" s="25" t="s">
        <v>176</v>
      </c>
      <c r="I86" s="25" t="s">
        <v>176</v>
      </c>
      <c r="J86" s="26"/>
      <c r="K86" s="27"/>
      <c r="L86" s="25"/>
      <c r="M86" s="38" t="n">
        <f aca="false">IF($B86="","",IFERROR(INDEX(Rubric!$C$14:$C$23,MATCH($B86,Rubric!$A$14:$A$23,0)),INDEX(Rubric!$C$14:$C$23,MATCH("other",Rubric!$A$14:$A$23,0))))</f>
        <v>11</v>
      </c>
      <c r="N86" s="39" t="n">
        <f aca="false">IF(OR($A86="",$C86=""),"",$C86*Rubric!$B$5+$D86*Rubric!$B$6+$E86*Rubric!$B$7+$F86*Rubric!$B$8+$G86*Rubric!$B$9)</f>
        <v>3.64</v>
      </c>
      <c r="O86" s="40" t="str">
        <f aca="false">IF($A86="","",IF(OR(UPPER($H86)="Y",UPPER($I86)="Y"),"FAIL","PASS"))</f>
        <v>PASS</v>
      </c>
      <c r="P86" s="41" t="n">
        <f aca="false">IF($N86="","",Assumptions!$B$6*MAX(0.05,($N86/Assumptions!$B$11)^Assumptions!$B$12))</f>
        <v>0.0121333333333333</v>
      </c>
      <c r="Q86" s="41" t="n">
        <f aca="false">IF($P86="","",1-(1-$P86)^Assumptions!$B$7)</f>
        <v>0.0592122432101887</v>
      </c>
      <c r="R86" s="42" t="n">
        <f aca="false">IF($M86="","",$M86*Assumptions!$B$7)</f>
        <v>55</v>
      </c>
      <c r="S86" s="42" t="str">
        <f aca="false">IF(OR($J86="",$Q86="",$Q86=0),"",($J86+$R86)/($Q86*(1-Assumptions!$B$4)))</f>
        <v/>
      </c>
      <c r="T86" s="43" t="str">
        <f aca="false">IF(OR($K86="",$S86="",$S86=0),"",$K86/$S86)</f>
        <v/>
      </c>
      <c r="U86" s="44" t="str">
        <f aca="false">IF(OR($K86="",$Q86=""),"",MAX(0,($K86-MAX($K86*Assumptions!$B$4,Assumptions!$B$5))*$Q86-$R86))</f>
        <v/>
      </c>
      <c r="V86" s="40" t="str">
        <f aca="false">IF($A86="","",IF($O86="FAIL","REJECT",IF($J86="","NEEDS PRICE",IF(OR($K86="",$L86=""),"NEEDS VALUATION",IF($T86&gt;=Assumptions!$B$13,"BUY",IF($T86&gt;=1,"MARGINAL","PASS"))))))</f>
        <v>NEEDS PRICE</v>
      </c>
      <c r="W86" s="25" t="s">
        <v>177</v>
      </c>
      <c r="X86" s="35" t="s">
        <v>341</v>
      </c>
    </row>
    <row r="87" customFormat="false" ht="15" hidden="false" customHeight="false" outlineLevel="0" collapsed="false">
      <c r="A87" s="22" t="s">
        <v>342</v>
      </c>
      <c r="B87" s="36" t="str">
        <f aca="false">IF($A87="","",IF(ISERROR(FIND(".",$A87)),"",LOWER(MID($A87,FIND(CHAR(1),SUBSTITUTE($A87,".",CHAR(1),LEN($A87)-LEN(SUBSTITUTE($A87,".",""))))+1,LEN($A87)))))</f>
        <v>com</v>
      </c>
      <c r="C87" s="37" t="n">
        <f aca="false">IF($B87="","",IFERROR(INDEX(Rubric!$B$14:$B$23,MATCH($B87,Rubric!$A$14:$A$23,0)),INDEX(Rubric!$B$14:$B$23,MATCH("other",Rubric!$A$14:$A$23,0))))</f>
        <v>5</v>
      </c>
      <c r="D87" s="25" t="n">
        <v>2</v>
      </c>
      <c r="E87" s="25" t="n">
        <v>2</v>
      </c>
      <c r="F87" s="25" t="n">
        <v>5</v>
      </c>
      <c r="G87" s="25" t="n">
        <v>4</v>
      </c>
      <c r="H87" s="25" t="s">
        <v>176</v>
      </c>
      <c r="I87" s="25" t="s">
        <v>176</v>
      </c>
      <c r="J87" s="26"/>
      <c r="K87" s="27"/>
      <c r="L87" s="25"/>
      <c r="M87" s="38" t="n">
        <f aca="false">IF($B87="","",IFERROR(INDEX(Rubric!$C$14:$C$23,MATCH($B87,Rubric!$A$14:$A$23,0)),INDEX(Rubric!$C$14:$C$23,MATCH("other",Rubric!$A$14:$A$23,0))))</f>
        <v>11</v>
      </c>
      <c r="N87" s="39" t="n">
        <f aca="false">IF(OR($A87="",$C87=""),"",$C87*Rubric!$B$5+$D87*Rubric!$B$6+$E87*Rubric!$B$7+$F87*Rubric!$B$8+$G87*Rubric!$B$9)</f>
        <v>3.34</v>
      </c>
      <c r="O87" s="40" t="str">
        <f aca="false">IF($A87="","",IF(OR(UPPER($H87)="Y",UPPER($I87)="Y"),"FAIL","PASS"))</f>
        <v>PASS</v>
      </c>
      <c r="P87" s="41" t="n">
        <f aca="false">IF($N87="","",Assumptions!$B$6*MAX(0.05,($N87/Assumptions!$B$11)^Assumptions!$B$12))</f>
        <v>0.0111333333333333</v>
      </c>
      <c r="Q87" s="41" t="n">
        <f aca="false">IF($P87="","",1-(1-$P87)^Assumptions!$B$7)</f>
        <v>0.0544408787975873</v>
      </c>
      <c r="R87" s="42" t="n">
        <f aca="false">IF($M87="","",$M87*Assumptions!$B$7)</f>
        <v>55</v>
      </c>
      <c r="S87" s="42" t="str">
        <f aca="false">IF(OR($J87="",$Q87="",$Q87=0),"",($J87+$R87)/($Q87*(1-Assumptions!$B$4)))</f>
        <v/>
      </c>
      <c r="T87" s="43" t="str">
        <f aca="false">IF(OR($K87="",$S87="",$S87=0),"",$K87/$S87)</f>
        <v/>
      </c>
      <c r="U87" s="44" t="str">
        <f aca="false">IF(OR($K87="",$Q87=""),"",MAX(0,($K87-MAX($K87*Assumptions!$B$4,Assumptions!$B$5))*$Q87-$R87))</f>
        <v/>
      </c>
      <c r="V87" s="40" t="str">
        <f aca="false">IF($A87="","",IF($O87="FAIL","REJECT",IF($J87="","NEEDS PRICE",IF(OR($K87="",$L87=""),"NEEDS VALUATION",IF($T87&gt;=Assumptions!$B$13,"BUY",IF($T87&gt;=1,"MARGINAL","PASS"))))))</f>
        <v>NEEDS PRICE</v>
      </c>
      <c r="W87" s="25" t="s">
        <v>177</v>
      </c>
      <c r="X87" s="35" t="s">
        <v>343</v>
      </c>
    </row>
    <row r="88" customFormat="false" ht="15" hidden="false" customHeight="false" outlineLevel="0" collapsed="false">
      <c r="A88" s="22" t="s">
        <v>344</v>
      </c>
      <c r="B88" s="36" t="str">
        <f aca="false">IF($A88="","",IF(ISERROR(FIND(".",$A88)),"",LOWER(MID($A88,FIND(CHAR(1),SUBSTITUTE($A88,".",CHAR(1),LEN($A88)-LEN(SUBSTITUTE($A88,".",""))))+1,LEN($A88)))))</f>
        <v>com</v>
      </c>
      <c r="C88" s="37" t="n">
        <f aca="false">IF($B88="","",IFERROR(INDEX(Rubric!$B$14:$B$23,MATCH($B88,Rubric!$A$14:$A$23,0)),INDEX(Rubric!$B$14:$B$23,MATCH("other",Rubric!$A$14:$A$23,0))))</f>
        <v>5</v>
      </c>
      <c r="D88" s="25" t="n">
        <v>2</v>
      </c>
      <c r="E88" s="25" t="n">
        <v>2</v>
      </c>
      <c r="F88" s="25" t="n">
        <v>4</v>
      </c>
      <c r="G88" s="25" t="n">
        <v>4</v>
      </c>
      <c r="H88" s="25" t="s">
        <v>176</v>
      </c>
      <c r="I88" s="25" t="s">
        <v>176</v>
      </c>
      <c r="J88" s="26"/>
      <c r="K88" s="27"/>
      <c r="L88" s="25"/>
      <c r="M88" s="38" t="n">
        <f aca="false">IF($B88="","",IFERROR(INDEX(Rubric!$C$14:$C$23,MATCH($B88,Rubric!$A$14:$A$23,0)),INDEX(Rubric!$C$14:$C$23,MATCH("other",Rubric!$A$14:$A$23,0))))</f>
        <v>11</v>
      </c>
      <c r="N88" s="39" t="n">
        <f aca="false">IF(OR($A88="",$C88=""),"",$C88*Rubric!$B$5+$D88*Rubric!$B$6+$E88*Rubric!$B$7+$F88*Rubric!$B$8+$G88*Rubric!$B$9)</f>
        <v>3.18</v>
      </c>
      <c r="O88" s="40" t="str">
        <f aca="false">IF($A88="","",IF(OR(UPPER($H88)="Y",UPPER($I88)="Y"),"FAIL","PASS"))</f>
        <v>PASS</v>
      </c>
      <c r="P88" s="41" t="n">
        <f aca="false">IF($N88="","",Assumptions!$B$6*MAX(0.05,($N88/Assumptions!$B$11)^Assumptions!$B$12))</f>
        <v>0.0106</v>
      </c>
      <c r="Q88" s="41" t="n">
        <f aca="false">IF($P88="","",1-(1-$P88)^Assumptions!$B$7)</f>
        <v>0.0518882471699749</v>
      </c>
      <c r="R88" s="42" t="n">
        <f aca="false">IF($M88="","",$M88*Assumptions!$B$7)</f>
        <v>55</v>
      </c>
      <c r="S88" s="42" t="str">
        <f aca="false">IF(OR($J88="",$Q88="",$Q88=0),"",($J88+$R88)/($Q88*(1-Assumptions!$B$4)))</f>
        <v/>
      </c>
      <c r="T88" s="43" t="str">
        <f aca="false">IF(OR($K88="",$S88="",$S88=0),"",$K88/$S88)</f>
        <v/>
      </c>
      <c r="U88" s="44" t="str">
        <f aca="false">IF(OR($K88="",$Q88=""),"",MAX(0,($K88-MAX($K88*Assumptions!$B$4,Assumptions!$B$5))*$Q88-$R88))</f>
        <v/>
      </c>
      <c r="V88" s="40" t="str">
        <f aca="false">IF($A88="","",IF($O88="FAIL","REJECT",IF($J88="","NEEDS PRICE",IF(OR($K88="",$L88=""),"NEEDS VALUATION",IF($T88&gt;=Assumptions!$B$13,"BUY",IF($T88&gt;=1,"MARGINAL","PASS"))))))</f>
        <v>NEEDS PRICE</v>
      </c>
      <c r="W88" s="25" t="s">
        <v>177</v>
      </c>
      <c r="X88" s="35" t="s">
        <v>345</v>
      </c>
    </row>
    <row r="89" customFormat="false" ht="23.85" hidden="false" customHeight="false" outlineLevel="0" collapsed="false">
      <c r="A89" s="22" t="s">
        <v>346</v>
      </c>
      <c r="B89" s="36" t="str">
        <f aca="false">IF($A89="","",IF(ISERROR(FIND(".",$A89)),"",LOWER(MID($A89,FIND(CHAR(1),SUBSTITUTE($A89,".",CHAR(1),LEN($A89)-LEN(SUBSTITUTE($A89,".",""))))+1,LEN($A89)))))</f>
        <v>com</v>
      </c>
      <c r="C89" s="37" t="n">
        <f aca="false">IF($B89="","",IFERROR(INDEX(Rubric!$B$14:$B$23,MATCH($B89,Rubric!$A$14:$A$23,0)),INDEX(Rubric!$B$14:$B$23,MATCH("other",Rubric!$A$14:$A$23,0))))</f>
        <v>5</v>
      </c>
      <c r="D89" s="25" t="n">
        <v>3</v>
      </c>
      <c r="E89" s="25" t="n">
        <v>3</v>
      </c>
      <c r="F89" s="25" t="n">
        <v>5</v>
      </c>
      <c r="G89" s="25" t="n">
        <v>5</v>
      </c>
      <c r="H89" s="25" t="s">
        <v>254</v>
      </c>
      <c r="I89" s="25" t="s">
        <v>176</v>
      </c>
      <c r="J89" s="26"/>
      <c r="K89" s="27"/>
      <c r="L89" s="25"/>
      <c r="M89" s="38" t="n">
        <f aca="false">IF($B89="","",IFERROR(INDEX(Rubric!$C$14:$C$23,MATCH($B89,Rubric!$A$14:$A$23,0)),INDEX(Rubric!$C$14:$C$23,MATCH("other",Rubric!$A$14:$A$23,0))))</f>
        <v>11</v>
      </c>
      <c r="N89" s="39" t="n">
        <f aca="false">IF(OR($A89="",$C89=""),"",$C89*Rubric!$B$5+$D89*Rubric!$B$6+$E89*Rubric!$B$7+$F89*Rubric!$B$8+$G89*Rubric!$B$9)</f>
        <v>3.96</v>
      </c>
      <c r="O89" s="40" t="str">
        <f aca="false">IF($A89="","",IF(OR(UPPER($H89)="Y",UPPER($I89)="Y"),"FAIL","PASS"))</f>
        <v>FAIL</v>
      </c>
      <c r="P89" s="41" t="n">
        <f aca="false">IF($N89="","",Assumptions!$B$6*MAX(0.05,($N89/Assumptions!$B$11)^Assumptions!$B$12))</f>
        <v>0.0132</v>
      </c>
      <c r="Q89" s="41" t="n">
        <f aca="false">IF($P89="","",1-(1-$P89)^Assumptions!$B$7)</f>
        <v>0.0642804482828584</v>
      </c>
      <c r="R89" s="42" t="n">
        <f aca="false">IF($M89="","",$M89*Assumptions!$B$7)</f>
        <v>55</v>
      </c>
      <c r="S89" s="42" t="str">
        <f aca="false">IF(OR($J89="",$Q89="",$Q89=0),"",($J89+$R89)/($Q89*(1-Assumptions!$B$4)))</f>
        <v/>
      </c>
      <c r="T89" s="43" t="str">
        <f aca="false">IF(OR($K89="",$S89="",$S89=0),"",$K89/$S89)</f>
        <v/>
      </c>
      <c r="U89" s="44" t="str">
        <f aca="false">IF(OR($K89="",$Q89=""),"",MAX(0,($K89-MAX($K89*Assumptions!$B$4,Assumptions!$B$5))*$Q89-$R89))</f>
        <v/>
      </c>
      <c r="V89" s="40" t="str">
        <f aca="false">IF($A89="","",IF($O89="FAIL","REJECT",IF($J89="","NEEDS PRICE",IF(OR($K89="",$L89=""),"NEEDS VALUATION",IF($T89&gt;=Assumptions!$B$13,"BUY",IF($T89&gt;=1,"MARGINAL","PASS"))))))</f>
        <v>REJECT</v>
      </c>
      <c r="W89" s="25" t="s">
        <v>177</v>
      </c>
      <c r="X89" s="35" t="s">
        <v>347</v>
      </c>
    </row>
    <row r="90" customFormat="false" ht="23.85" hidden="false" customHeight="false" outlineLevel="0" collapsed="false">
      <c r="A90" s="22" t="s">
        <v>348</v>
      </c>
      <c r="B90" s="36" t="str">
        <f aca="false">IF($A90="","",IF(ISERROR(FIND(".",$A90)),"",LOWER(MID($A90,FIND(CHAR(1),SUBSTITUTE($A90,".",CHAR(1),LEN($A90)-LEN(SUBSTITUTE($A90,".",""))))+1,LEN($A90)))))</f>
        <v>com</v>
      </c>
      <c r="C90" s="37" t="n">
        <f aca="false">IF($B90="","",IFERROR(INDEX(Rubric!$B$14:$B$23,MATCH($B90,Rubric!$A$14:$A$23,0)),INDEX(Rubric!$B$14:$B$23,MATCH("other",Rubric!$A$14:$A$23,0))))</f>
        <v>5</v>
      </c>
      <c r="D90" s="25" t="n">
        <v>3</v>
      </c>
      <c r="E90" s="25" t="n">
        <v>3</v>
      </c>
      <c r="F90" s="25" t="n">
        <v>5</v>
      </c>
      <c r="G90" s="25" t="n">
        <v>5</v>
      </c>
      <c r="H90" s="25" t="s">
        <v>254</v>
      </c>
      <c r="I90" s="25" t="s">
        <v>176</v>
      </c>
      <c r="J90" s="26"/>
      <c r="K90" s="27"/>
      <c r="L90" s="25"/>
      <c r="M90" s="38" t="n">
        <f aca="false">IF($B90="","",IFERROR(INDEX(Rubric!$C$14:$C$23,MATCH($B90,Rubric!$A$14:$A$23,0)),INDEX(Rubric!$C$14:$C$23,MATCH("other",Rubric!$A$14:$A$23,0))))</f>
        <v>11</v>
      </c>
      <c r="N90" s="39" t="n">
        <f aca="false">IF(OR($A90="",$C90=""),"",$C90*Rubric!$B$5+$D90*Rubric!$B$6+$E90*Rubric!$B$7+$F90*Rubric!$B$8+$G90*Rubric!$B$9)</f>
        <v>3.96</v>
      </c>
      <c r="O90" s="40" t="str">
        <f aca="false">IF($A90="","",IF(OR(UPPER($H90)="Y",UPPER($I90)="Y"),"FAIL","PASS"))</f>
        <v>FAIL</v>
      </c>
      <c r="P90" s="41" t="n">
        <f aca="false">IF($N90="","",Assumptions!$B$6*MAX(0.05,($N90/Assumptions!$B$11)^Assumptions!$B$12))</f>
        <v>0.0132</v>
      </c>
      <c r="Q90" s="41" t="n">
        <f aca="false">IF($P90="","",1-(1-$P90)^Assumptions!$B$7)</f>
        <v>0.0642804482828584</v>
      </c>
      <c r="R90" s="42" t="n">
        <f aca="false">IF($M90="","",$M90*Assumptions!$B$7)</f>
        <v>55</v>
      </c>
      <c r="S90" s="42" t="str">
        <f aca="false">IF(OR($J90="",$Q90="",$Q90=0),"",($J90+$R90)/($Q90*(1-Assumptions!$B$4)))</f>
        <v/>
      </c>
      <c r="T90" s="43" t="str">
        <f aca="false">IF(OR($K90="",$S90="",$S90=0),"",$K90/$S90)</f>
        <v/>
      </c>
      <c r="U90" s="44" t="str">
        <f aca="false">IF(OR($K90="",$Q90=""),"",MAX(0,($K90-MAX($K90*Assumptions!$B$4,Assumptions!$B$5))*$Q90-$R90))</f>
        <v/>
      </c>
      <c r="V90" s="40" t="str">
        <f aca="false">IF($A90="","",IF($O90="FAIL","REJECT",IF($J90="","NEEDS PRICE",IF(OR($K90="",$L90=""),"NEEDS VALUATION",IF($T90&gt;=Assumptions!$B$13,"BUY",IF($T90&gt;=1,"MARGINAL","PASS"))))))</f>
        <v>REJECT</v>
      </c>
      <c r="W90" s="25" t="s">
        <v>177</v>
      </c>
      <c r="X90" s="35" t="s">
        <v>349</v>
      </c>
    </row>
    <row r="91" customFormat="false" ht="23.85" hidden="false" customHeight="false" outlineLevel="0" collapsed="false">
      <c r="A91" s="22" t="s">
        <v>350</v>
      </c>
      <c r="B91" s="36" t="str">
        <f aca="false">IF($A91="","",IF(ISERROR(FIND(".",$A91)),"",LOWER(MID($A91,FIND(CHAR(1),SUBSTITUTE($A91,".",CHAR(1),LEN($A91)-LEN(SUBSTITUTE($A91,".",""))))+1,LEN($A91)))))</f>
        <v>com</v>
      </c>
      <c r="C91" s="37" t="n">
        <f aca="false">IF($B91="","",IFERROR(INDEX(Rubric!$B$14:$B$23,MATCH($B91,Rubric!$A$14:$A$23,0)),INDEX(Rubric!$B$14:$B$23,MATCH("other",Rubric!$A$14:$A$23,0))))</f>
        <v>5</v>
      </c>
      <c r="D91" s="25" t="n">
        <v>3</v>
      </c>
      <c r="E91" s="25" t="n">
        <v>2</v>
      </c>
      <c r="F91" s="25" t="n">
        <v>5</v>
      </c>
      <c r="G91" s="25" t="n">
        <v>4</v>
      </c>
      <c r="H91" s="25" t="s">
        <v>176</v>
      </c>
      <c r="I91" s="25" t="s">
        <v>176</v>
      </c>
      <c r="J91" s="26"/>
      <c r="K91" s="27"/>
      <c r="L91" s="25"/>
      <c r="M91" s="38" t="n">
        <f aca="false">IF($B91="","",IFERROR(INDEX(Rubric!$C$14:$C$23,MATCH($B91,Rubric!$A$14:$A$23,0)),INDEX(Rubric!$C$14:$C$23,MATCH("other",Rubric!$A$14:$A$23,0))))</f>
        <v>11</v>
      </c>
      <c r="N91" s="39" t="n">
        <f aca="false">IF(OR($A91="",$C91=""),"",$C91*Rubric!$B$5+$D91*Rubric!$B$6+$E91*Rubric!$B$7+$F91*Rubric!$B$8+$G91*Rubric!$B$9)</f>
        <v>3.64</v>
      </c>
      <c r="O91" s="40" t="str">
        <f aca="false">IF($A91="","",IF(OR(UPPER($H91)="Y",UPPER($I91)="Y"),"FAIL","PASS"))</f>
        <v>PASS</v>
      </c>
      <c r="P91" s="41" t="n">
        <f aca="false">IF($N91="","",Assumptions!$B$6*MAX(0.05,($N91/Assumptions!$B$11)^Assumptions!$B$12))</f>
        <v>0.0121333333333333</v>
      </c>
      <c r="Q91" s="41" t="n">
        <f aca="false">IF($P91="","",1-(1-$P91)^Assumptions!$B$7)</f>
        <v>0.0592122432101887</v>
      </c>
      <c r="R91" s="42" t="n">
        <f aca="false">IF($M91="","",$M91*Assumptions!$B$7)</f>
        <v>55</v>
      </c>
      <c r="S91" s="42" t="str">
        <f aca="false">IF(OR($J91="",$Q91="",$Q91=0),"",($J91+$R91)/($Q91*(1-Assumptions!$B$4)))</f>
        <v/>
      </c>
      <c r="T91" s="43" t="str">
        <f aca="false">IF(OR($K91="",$S91="",$S91=0),"",$K91/$S91)</f>
        <v/>
      </c>
      <c r="U91" s="44" t="str">
        <f aca="false">IF(OR($K91="",$Q91=""),"",MAX(0,($K91-MAX($K91*Assumptions!$B$4,Assumptions!$B$5))*$Q91-$R91))</f>
        <v/>
      </c>
      <c r="V91" s="40" t="str">
        <f aca="false">IF($A91="","",IF($O91="FAIL","REJECT",IF($J91="","NEEDS PRICE",IF(OR($K91="",$L91=""),"NEEDS VALUATION",IF($T91&gt;=Assumptions!$B$13,"BUY",IF($T91&gt;=1,"MARGINAL","PASS"))))))</f>
        <v>NEEDS PRICE</v>
      </c>
      <c r="W91" s="25" t="s">
        <v>177</v>
      </c>
      <c r="X91" s="35" t="s">
        <v>351</v>
      </c>
    </row>
    <row r="92" customFormat="false" ht="15" hidden="false" customHeight="false" outlineLevel="0" collapsed="false">
      <c r="A92" s="22" t="s">
        <v>352</v>
      </c>
      <c r="B92" s="36" t="str">
        <f aca="false">IF($A92="","",IF(ISERROR(FIND(".",$A92)),"",LOWER(MID($A92,FIND(CHAR(1),SUBSTITUTE($A92,".",CHAR(1),LEN($A92)-LEN(SUBSTITUTE($A92,".",""))))+1,LEN($A92)))))</f>
        <v>com</v>
      </c>
      <c r="C92" s="37" t="n">
        <f aca="false">IF($B92="","",IFERROR(INDEX(Rubric!$B$14:$B$23,MATCH($B92,Rubric!$A$14:$A$23,0)),INDEX(Rubric!$B$14:$B$23,MATCH("other",Rubric!$A$14:$A$23,0))))</f>
        <v>5</v>
      </c>
      <c r="D92" s="25" t="n">
        <v>3</v>
      </c>
      <c r="E92" s="25" t="n">
        <v>2</v>
      </c>
      <c r="F92" s="25" t="n">
        <v>5</v>
      </c>
      <c r="G92" s="25" t="n">
        <v>5</v>
      </c>
      <c r="H92" s="25" t="s">
        <v>176</v>
      </c>
      <c r="I92" s="25" t="s">
        <v>176</v>
      </c>
      <c r="J92" s="26"/>
      <c r="K92" s="27"/>
      <c r="L92" s="25"/>
      <c r="M92" s="38" t="n">
        <f aca="false">IF($B92="","",IFERROR(INDEX(Rubric!$C$14:$C$23,MATCH($B92,Rubric!$A$14:$A$23,0)),INDEX(Rubric!$C$14:$C$23,MATCH("other",Rubric!$A$14:$A$23,0))))</f>
        <v>11</v>
      </c>
      <c r="N92" s="39" t="n">
        <f aca="false">IF(OR($A92="",$C92=""),"",$C92*Rubric!$B$5+$D92*Rubric!$B$6+$E92*Rubric!$B$7+$F92*Rubric!$B$8+$G92*Rubric!$B$9)</f>
        <v>3.74</v>
      </c>
      <c r="O92" s="40" t="str">
        <f aca="false">IF($A92="","",IF(OR(UPPER($H92)="Y",UPPER($I92)="Y"),"FAIL","PASS"))</f>
        <v>PASS</v>
      </c>
      <c r="P92" s="41" t="n">
        <f aca="false">IF($N92="","",Assumptions!$B$6*MAX(0.05,($N92/Assumptions!$B$11)^Assumptions!$B$12))</f>
        <v>0.0124666666666667</v>
      </c>
      <c r="Q92" s="41" t="n">
        <f aca="false">IF($P92="","",1-(1-$P92)^Assumptions!$B$7)</f>
        <v>0.0607984104995518</v>
      </c>
      <c r="R92" s="42" t="n">
        <f aca="false">IF($M92="","",$M92*Assumptions!$B$7)</f>
        <v>55</v>
      </c>
      <c r="S92" s="42" t="str">
        <f aca="false">IF(OR($J92="",$Q92="",$Q92=0),"",($J92+$R92)/($Q92*(1-Assumptions!$B$4)))</f>
        <v/>
      </c>
      <c r="T92" s="43" t="str">
        <f aca="false">IF(OR($K92="",$S92="",$S92=0),"",$K92/$S92)</f>
        <v/>
      </c>
      <c r="U92" s="44" t="str">
        <f aca="false">IF(OR($K92="",$Q92=""),"",MAX(0,($K92-MAX($K92*Assumptions!$B$4,Assumptions!$B$5))*$Q92-$R92))</f>
        <v/>
      </c>
      <c r="V92" s="40" t="str">
        <f aca="false">IF($A92="","",IF($O92="FAIL","REJECT",IF($J92="","NEEDS PRICE",IF(OR($K92="",$L92=""),"NEEDS VALUATION",IF($T92&gt;=Assumptions!$B$13,"BUY",IF($T92&gt;=1,"MARGINAL","PASS"))))))</f>
        <v>NEEDS PRICE</v>
      </c>
      <c r="W92" s="25" t="s">
        <v>177</v>
      </c>
      <c r="X92" s="35" t="s">
        <v>353</v>
      </c>
    </row>
    <row r="93" customFormat="false" ht="15" hidden="false" customHeight="false" outlineLevel="0" collapsed="false">
      <c r="A93" s="22" t="s">
        <v>354</v>
      </c>
      <c r="B93" s="36" t="str">
        <f aca="false">IF($A93="","",IF(ISERROR(FIND(".",$A93)),"",LOWER(MID($A93,FIND(CHAR(1),SUBSTITUTE($A93,".",CHAR(1),LEN($A93)-LEN(SUBSTITUTE($A93,".",""))))+1,LEN($A93)))))</f>
        <v>com</v>
      </c>
      <c r="C93" s="37" t="n">
        <f aca="false">IF($B93="","",IFERROR(INDEX(Rubric!$B$14:$B$23,MATCH($B93,Rubric!$A$14:$A$23,0)),INDEX(Rubric!$B$14:$B$23,MATCH("other",Rubric!$A$14:$A$23,0))))</f>
        <v>5</v>
      </c>
      <c r="D93" s="25" t="n">
        <v>3</v>
      </c>
      <c r="E93" s="25" t="n">
        <v>2</v>
      </c>
      <c r="F93" s="25" t="n">
        <v>5</v>
      </c>
      <c r="G93" s="25" t="n">
        <v>5</v>
      </c>
      <c r="H93" s="25" t="s">
        <v>176</v>
      </c>
      <c r="I93" s="25" t="s">
        <v>176</v>
      </c>
      <c r="J93" s="26"/>
      <c r="K93" s="27"/>
      <c r="L93" s="25"/>
      <c r="M93" s="38" t="n">
        <f aca="false">IF($B93="","",IFERROR(INDEX(Rubric!$C$14:$C$23,MATCH($B93,Rubric!$A$14:$A$23,0)),INDEX(Rubric!$C$14:$C$23,MATCH("other",Rubric!$A$14:$A$23,0))))</f>
        <v>11</v>
      </c>
      <c r="N93" s="39" t="n">
        <f aca="false">IF(OR($A93="",$C93=""),"",$C93*Rubric!$B$5+$D93*Rubric!$B$6+$E93*Rubric!$B$7+$F93*Rubric!$B$8+$G93*Rubric!$B$9)</f>
        <v>3.74</v>
      </c>
      <c r="O93" s="40" t="str">
        <f aca="false">IF($A93="","",IF(OR(UPPER($H93)="Y",UPPER($I93)="Y"),"FAIL","PASS"))</f>
        <v>PASS</v>
      </c>
      <c r="P93" s="41" t="n">
        <f aca="false">IF($N93="","",Assumptions!$B$6*MAX(0.05,($N93/Assumptions!$B$11)^Assumptions!$B$12))</f>
        <v>0.0124666666666667</v>
      </c>
      <c r="Q93" s="41" t="n">
        <f aca="false">IF($P93="","",1-(1-$P93)^Assumptions!$B$7)</f>
        <v>0.0607984104995518</v>
      </c>
      <c r="R93" s="42" t="n">
        <f aca="false">IF($M93="","",$M93*Assumptions!$B$7)</f>
        <v>55</v>
      </c>
      <c r="S93" s="42" t="str">
        <f aca="false">IF(OR($J93="",$Q93="",$Q93=0),"",($J93+$R93)/($Q93*(1-Assumptions!$B$4)))</f>
        <v/>
      </c>
      <c r="T93" s="43" t="str">
        <f aca="false">IF(OR($K93="",$S93="",$S93=0),"",$K93/$S93)</f>
        <v/>
      </c>
      <c r="U93" s="44" t="str">
        <f aca="false">IF(OR($K93="",$Q93=""),"",MAX(0,($K93-MAX($K93*Assumptions!$B$4,Assumptions!$B$5))*$Q93-$R93))</f>
        <v/>
      </c>
      <c r="V93" s="40" t="str">
        <f aca="false">IF($A93="","",IF($O93="FAIL","REJECT",IF($J93="","NEEDS PRICE",IF(OR($K93="",$L93=""),"NEEDS VALUATION",IF($T93&gt;=Assumptions!$B$13,"BUY",IF($T93&gt;=1,"MARGINAL","PASS"))))))</f>
        <v>NEEDS PRICE</v>
      </c>
      <c r="W93" s="25" t="s">
        <v>177</v>
      </c>
      <c r="X93" s="35" t="s">
        <v>355</v>
      </c>
    </row>
    <row r="94" customFormat="false" ht="15" hidden="false" customHeight="false" outlineLevel="0" collapsed="false">
      <c r="A94" s="22" t="s">
        <v>356</v>
      </c>
      <c r="B94" s="36" t="str">
        <f aca="false">IF($A94="","",IF(ISERROR(FIND(".",$A94)),"",LOWER(MID($A94,FIND(CHAR(1),SUBSTITUTE($A94,".",CHAR(1),LEN($A94)-LEN(SUBSTITUTE($A94,".",""))))+1,LEN($A94)))))</f>
        <v>com</v>
      </c>
      <c r="C94" s="37" t="n">
        <f aca="false">IF($B94="","",IFERROR(INDEX(Rubric!$B$14:$B$23,MATCH($B94,Rubric!$A$14:$A$23,0)),INDEX(Rubric!$B$14:$B$23,MATCH("other",Rubric!$A$14:$A$23,0))))</f>
        <v>5</v>
      </c>
      <c r="D94" s="25" t="n">
        <v>3</v>
      </c>
      <c r="E94" s="25" t="n">
        <v>2</v>
      </c>
      <c r="F94" s="25" t="n">
        <v>5</v>
      </c>
      <c r="G94" s="25" t="n">
        <v>5</v>
      </c>
      <c r="H94" s="25" t="s">
        <v>176</v>
      </c>
      <c r="I94" s="25" t="s">
        <v>176</v>
      </c>
      <c r="J94" s="26"/>
      <c r="K94" s="27"/>
      <c r="L94" s="25"/>
      <c r="M94" s="38" t="n">
        <f aca="false">IF($B94="","",IFERROR(INDEX(Rubric!$C$14:$C$23,MATCH($B94,Rubric!$A$14:$A$23,0)),INDEX(Rubric!$C$14:$C$23,MATCH("other",Rubric!$A$14:$A$23,0))))</f>
        <v>11</v>
      </c>
      <c r="N94" s="39" t="n">
        <f aca="false">IF(OR($A94="",$C94=""),"",$C94*Rubric!$B$5+$D94*Rubric!$B$6+$E94*Rubric!$B$7+$F94*Rubric!$B$8+$G94*Rubric!$B$9)</f>
        <v>3.74</v>
      </c>
      <c r="O94" s="40" t="str">
        <f aca="false">IF($A94="","",IF(OR(UPPER($H94)="Y",UPPER($I94)="Y"),"FAIL","PASS"))</f>
        <v>PASS</v>
      </c>
      <c r="P94" s="41" t="n">
        <f aca="false">IF($N94="","",Assumptions!$B$6*MAX(0.05,($N94/Assumptions!$B$11)^Assumptions!$B$12))</f>
        <v>0.0124666666666667</v>
      </c>
      <c r="Q94" s="41" t="n">
        <f aca="false">IF($P94="","",1-(1-$P94)^Assumptions!$B$7)</f>
        <v>0.0607984104995518</v>
      </c>
      <c r="R94" s="42" t="n">
        <f aca="false">IF($M94="","",$M94*Assumptions!$B$7)</f>
        <v>55</v>
      </c>
      <c r="S94" s="42" t="str">
        <f aca="false">IF(OR($J94="",$Q94="",$Q94=0),"",($J94+$R94)/($Q94*(1-Assumptions!$B$4)))</f>
        <v/>
      </c>
      <c r="T94" s="43" t="str">
        <f aca="false">IF(OR($K94="",$S94="",$S94=0),"",$K94/$S94)</f>
        <v/>
      </c>
      <c r="U94" s="44" t="str">
        <f aca="false">IF(OR($K94="",$Q94=""),"",MAX(0,($K94-MAX($K94*Assumptions!$B$4,Assumptions!$B$5))*$Q94-$R94))</f>
        <v/>
      </c>
      <c r="V94" s="40" t="str">
        <f aca="false">IF($A94="","",IF($O94="FAIL","REJECT",IF($J94="","NEEDS PRICE",IF(OR($K94="",$L94=""),"NEEDS VALUATION",IF($T94&gt;=Assumptions!$B$13,"BUY",IF($T94&gt;=1,"MARGINAL","PASS"))))))</f>
        <v>NEEDS PRICE</v>
      </c>
      <c r="W94" s="25" t="s">
        <v>177</v>
      </c>
      <c r="X94" s="35" t="s">
        <v>357</v>
      </c>
    </row>
    <row r="95" customFormat="false" ht="15" hidden="false" customHeight="false" outlineLevel="0" collapsed="false">
      <c r="A95" s="22" t="s">
        <v>358</v>
      </c>
      <c r="B95" s="36" t="str">
        <f aca="false">IF($A95="","",IF(ISERROR(FIND(".",$A95)),"",LOWER(MID($A95,FIND(CHAR(1),SUBSTITUTE($A95,".",CHAR(1),LEN($A95)-LEN(SUBSTITUTE($A95,".",""))))+1,LEN($A95)))))</f>
        <v>com</v>
      </c>
      <c r="C95" s="37" t="n">
        <f aca="false">IF($B95="","",IFERROR(INDEX(Rubric!$B$14:$B$23,MATCH($B95,Rubric!$A$14:$A$23,0)),INDEX(Rubric!$B$14:$B$23,MATCH("other",Rubric!$A$14:$A$23,0))))</f>
        <v>5</v>
      </c>
      <c r="D95" s="25" t="n">
        <v>4</v>
      </c>
      <c r="E95" s="25" t="n">
        <v>3</v>
      </c>
      <c r="F95" s="25" t="n">
        <v>5</v>
      </c>
      <c r="G95" s="25" t="n">
        <v>5</v>
      </c>
      <c r="H95" s="25" t="s">
        <v>176</v>
      </c>
      <c r="I95" s="25" t="s">
        <v>176</v>
      </c>
      <c r="J95" s="26"/>
      <c r="K95" s="27"/>
      <c r="L95" s="25"/>
      <c r="M95" s="38" t="n">
        <f aca="false">IF($B95="","",IFERROR(INDEX(Rubric!$C$14:$C$23,MATCH($B95,Rubric!$A$14:$A$23,0)),INDEX(Rubric!$C$14:$C$23,MATCH("other",Rubric!$A$14:$A$23,0))))</f>
        <v>11</v>
      </c>
      <c r="N95" s="39" t="n">
        <f aca="false">IF(OR($A95="",$C95=""),"",$C95*Rubric!$B$5+$D95*Rubric!$B$6+$E95*Rubric!$B$7+$F95*Rubric!$B$8+$G95*Rubric!$B$9)</f>
        <v>4.26</v>
      </c>
      <c r="O95" s="40" t="str">
        <f aca="false">IF($A95="","",IF(OR(UPPER($H95)="Y",UPPER($I95)="Y"),"FAIL","PASS"))</f>
        <v>PASS</v>
      </c>
      <c r="P95" s="41" t="n">
        <f aca="false">IF($N95="","",Assumptions!$B$6*MAX(0.05,($N95/Assumptions!$B$11)^Assumptions!$B$12))</f>
        <v>0.0142</v>
      </c>
      <c r="Q95" s="41" t="n">
        <f aca="false">IF($P95="","",1-(1-$P95)^Assumptions!$B$7)</f>
        <v>0.0690120301639053</v>
      </c>
      <c r="R95" s="42" t="n">
        <f aca="false">IF($M95="","",$M95*Assumptions!$B$7)</f>
        <v>55</v>
      </c>
      <c r="S95" s="42" t="str">
        <f aca="false">IF(OR($J95="",$Q95="",$Q95=0),"",($J95+$R95)/($Q95*(1-Assumptions!$B$4)))</f>
        <v/>
      </c>
      <c r="T95" s="43" t="str">
        <f aca="false">IF(OR($K95="",$S95="",$S95=0),"",$K95/$S95)</f>
        <v/>
      </c>
      <c r="U95" s="44" t="str">
        <f aca="false">IF(OR($K95="",$Q95=""),"",MAX(0,($K95-MAX($K95*Assumptions!$B$4,Assumptions!$B$5))*$Q95-$R95))</f>
        <v/>
      </c>
      <c r="V95" s="40" t="str">
        <f aca="false">IF($A95="","",IF($O95="FAIL","REJECT",IF($J95="","NEEDS PRICE",IF(OR($K95="",$L95=""),"NEEDS VALUATION",IF($T95&gt;=Assumptions!$B$13,"BUY",IF($T95&gt;=1,"MARGINAL","PASS"))))))</f>
        <v>NEEDS PRICE</v>
      </c>
      <c r="W95" s="25" t="s">
        <v>177</v>
      </c>
      <c r="X95" s="35" t="s">
        <v>359</v>
      </c>
    </row>
    <row r="96" customFormat="false" ht="15" hidden="false" customHeight="false" outlineLevel="0" collapsed="false">
      <c r="A96" s="22" t="s">
        <v>360</v>
      </c>
      <c r="B96" s="36" t="str">
        <f aca="false">IF($A96="","",IF(ISERROR(FIND(".",$A96)),"",LOWER(MID($A96,FIND(CHAR(1),SUBSTITUTE($A96,".",CHAR(1),LEN($A96)-LEN(SUBSTITUTE($A96,".",""))))+1,LEN($A96)))))</f>
        <v>com</v>
      </c>
      <c r="C96" s="37" t="n">
        <f aca="false">IF($B96="","",IFERROR(INDEX(Rubric!$B$14:$B$23,MATCH($B96,Rubric!$A$14:$A$23,0)),INDEX(Rubric!$B$14:$B$23,MATCH("other",Rubric!$A$14:$A$23,0))))</f>
        <v>5</v>
      </c>
      <c r="D96" s="25" t="n">
        <v>3</v>
      </c>
      <c r="E96" s="25" t="n">
        <v>2</v>
      </c>
      <c r="F96" s="25" t="n">
        <v>4</v>
      </c>
      <c r="G96" s="25" t="n">
        <v>5</v>
      </c>
      <c r="H96" s="25" t="s">
        <v>176</v>
      </c>
      <c r="I96" s="25" t="s">
        <v>176</v>
      </c>
      <c r="J96" s="26" t="n">
        <v>14999</v>
      </c>
      <c r="K96" s="27"/>
      <c r="L96" s="25"/>
      <c r="M96" s="38" t="n">
        <f aca="false">IF($B96="","",IFERROR(INDEX(Rubric!$C$14:$C$23,MATCH($B96,Rubric!$A$14:$A$23,0)),INDEX(Rubric!$C$14:$C$23,MATCH("other",Rubric!$A$14:$A$23,0))))</f>
        <v>11</v>
      </c>
      <c r="N96" s="39" t="n">
        <f aca="false">IF(OR($A96="",$C96=""),"",$C96*Rubric!$B$5+$D96*Rubric!$B$6+$E96*Rubric!$B$7+$F96*Rubric!$B$8+$G96*Rubric!$B$9)</f>
        <v>3.58</v>
      </c>
      <c r="O96" s="40" t="str">
        <f aca="false">IF($A96="","",IF(OR(UPPER($H96)="Y",UPPER($I96)="Y"),"FAIL","PASS"))</f>
        <v>PASS</v>
      </c>
      <c r="P96" s="41" t="n">
        <f aca="false">IF($N96="","",Assumptions!$B$6*MAX(0.05,($N96/Assumptions!$B$11)^Assumptions!$B$12))</f>
        <v>0.0119333333333333</v>
      </c>
      <c r="Q96" s="41" t="n">
        <f aca="false">IF($P96="","",1-(1-$P96)^Assumptions!$B$7)</f>
        <v>0.0582595146661268</v>
      </c>
      <c r="R96" s="42" t="n">
        <f aca="false">IF($M96="","",$M96*Assumptions!$B$7)</f>
        <v>55</v>
      </c>
      <c r="S96" s="42" t="n">
        <f aca="false">IF(OR($J96="",$Q96="",$Q96=0),"",($J96+$R96)/($Q96*(1-Assumptions!$B$4)))</f>
        <v>322994.451770482</v>
      </c>
      <c r="T96" s="43" t="str">
        <f aca="false">IF(OR($K96="",$S96="",$S96=0),"",$K96/$S96)</f>
        <v/>
      </c>
      <c r="U96" s="44" t="str">
        <f aca="false">IF(OR($K96="",$Q96=""),"",MAX(0,($K96-MAX($K96*Assumptions!$B$4,Assumptions!$B$5))*$Q96-$R96))</f>
        <v/>
      </c>
      <c r="V96" s="40" t="str">
        <f aca="false">IF($A96="","",IF($O96="FAIL","REJECT",IF($J96="","NEEDS PRICE",IF(OR($K96="",$L96=""),"NEEDS VALUATION",IF($T96&gt;=Assumptions!$B$13,"BUY",IF($T96&gt;=1,"MARGINAL","PASS"))))))</f>
        <v>NEEDS VALUATION</v>
      </c>
      <c r="W96" s="25" t="s">
        <v>204</v>
      </c>
      <c r="X96" s="35" t="s">
        <v>361</v>
      </c>
    </row>
    <row r="97" customFormat="false" ht="15" hidden="false" customHeight="false" outlineLevel="0" collapsed="false">
      <c r="A97" s="22" t="s">
        <v>362</v>
      </c>
      <c r="B97" s="36" t="str">
        <f aca="false">IF($A97="","",IF(ISERROR(FIND(".",$A97)),"",LOWER(MID($A97,FIND(CHAR(1),SUBSTITUTE($A97,".",CHAR(1),LEN($A97)-LEN(SUBSTITUTE($A97,".",""))))+1,LEN($A97)))))</f>
        <v>com</v>
      </c>
      <c r="C97" s="37" t="n">
        <f aca="false">IF($B97="","",IFERROR(INDEX(Rubric!$B$14:$B$23,MATCH($B97,Rubric!$A$14:$A$23,0)),INDEX(Rubric!$B$14:$B$23,MATCH("other",Rubric!$A$14:$A$23,0))))</f>
        <v>5</v>
      </c>
      <c r="D97" s="25" t="n">
        <v>3</v>
      </c>
      <c r="E97" s="25" t="n">
        <v>2</v>
      </c>
      <c r="F97" s="25" t="n">
        <v>4</v>
      </c>
      <c r="G97" s="25" t="n">
        <v>5</v>
      </c>
      <c r="H97" s="25" t="s">
        <v>176</v>
      </c>
      <c r="I97" s="25" t="s">
        <v>176</v>
      </c>
      <c r="J97" s="26"/>
      <c r="K97" s="27"/>
      <c r="L97" s="25"/>
      <c r="M97" s="38" t="n">
        <f aca="false">IF($B97="","",IFERROR(INDEX(Rubric!$C$14:$C$23,MATCH($B97,Rubric!$A$14:$A$23,0)),INDEX(Rubric!$C$14:$C$23,MATCH("other",Rubric!$A$14:$A$23,0))))</f>
        <v>11</v>
      </c>
      <c r="N97" s="39" t="n">
        <f aca="false">IF(OR($A97="",$C97=""),"",$C97*Rubric!$B$5+$D97*Rubric!$B$6+$E97*Rubric!$B$7+$F97*Rubric!$B$8+$G97*Rubric!$B$9)</f>
        <v>3.58</v>
      </c>
      <c r="O97" s="40" t="str">
        <f aca="false">IF($A97="","",IF(OR(UPPER($H97)="Y",UPPER($I97)="Y"),"FAIL","PASS"))</f>
        <v>PASS</v>
      </c>
      <c r="P97" s="41" t="n">
        <f aca="false">IF($N97="","",Assumptions!$B$6*MAX(0.05,($N97/Assumptions!$B$11)^Assumptions!$B$12))</f>
        <v>0.0119333333333333</v>
      </c>
      <c r="Q97" s="41" t="n">
        <f aca="false">IF($P97="","",1-(1-$P97)^Assumptions!$B$7)</f>
        <v>0.0582595146661268</v>
      </c>
      <c r="R97" s="42" t="n">
        <f aca="false">IF($M97="","",$M97*Assumptions!$B$7)</f>
        <v>55</v>
      </c>
      <c r="S97" s="42" t="str">
        <f aca="false">IF(OR($J97="",$Q97="",$Q97=0),"",($J97+$R97)/($Q97*(1-Assumptions!$B$4)))</f>
        <v/>
      </c>
      <c r="T97" s="43" t="str">
        <f aca="false">IF(OR($K97="",$S97="",$S97=0),"",$K97/$S97)</f>
        <v/>
      </c>
      <c r="U97" s="44" t="str">
        <f aca="false">IF(OR($K97="",$Q97=""),"",MAX(0,($K97-MAX($K97*Assumptions!$B$4,Assumptions!$B$5))*$Q97-$R97))</f>
        <v/>
      </c>
      <c r="V97" s="40" t="str">
        <f aca="false">IF($A97="","",IF($O97="FAIL","REJECT",IF($J97="","NEEDS PRICE",IF(OR($K97="",$L97=""),"NEEDS VALUATION",IF($T97&gt;=Assumptions!$B$13,"BUY",IF($T97&gt;=1,"MARGINAL","PASS"))))))</f>
        <v>NEEDS PRICE</v>
      </c>
      <c r="W97" s="25" t="s">
        <v>177</v>
      </c>
      <c r="X97" s="35" t="s">
        <v>363</v>
      </c>
    </row>
    <row r="98" customFormat="false" ht="15" hidden="false" customHeight="false" outlineLevel="0" collapsed="false">
      <c r="A98" s="22" t="s">
        <v>364</v>
      </c>
      <c r="B98" s="36" t="str">
        <f aca="false">IF($A98="","",IF(ISERROR(FIND(".",$A98)),"",LOWER(MID($A98,FIND(CHAR(1),SUBSTITUTE($A98,".",CHAR(1),LEN($A98)-LEN(SUBSTITUTE($A98,".",""))))+1,LEN($A98)))))</f>
        <v>com</v>
      </c>
      <c r="C98" s="37" t="n">
        <f aca="false">IF($B98="","",IFERROR(INDEX(Rubric!$B$14:$B$23,MATCH($B98,Rubric!$A$14:$A$23,0)),INDEX(Rubric!$B$14:$B$23,MATCH("other",Rubric!$A$14:$A$23,0))))</f>
        <v>5</v>
      </c>
      <c r="D98" s="25" t="n">
        <v>4</v>
      </c>
      <c r="E98" s="25" t="n">
        <v>3</v>
      </c>
      <c r="F98" s="25" t="n">
        <v>5</v>
      </c>
      <c r="G98" s="25" t="n">
        <v>5</v>
      </c>
      <c r="H98" s="25" t="s">
        <v>254</v>
      </c>
      <c r="I98" s="25" t="s">
        <v>176</v>
      </c>
      <c r="J98" s="26"/>
      <c r="K98" s="27"/>
      <c r="L98" s="25"/>
      <c r="M98" s="38" t="n">
        <f aca="false">IF($B98="","",IFERROR(INDEX(Rubric!$C$14:$C$23,MATCH($B98,Rubric!$A$14:$A$23,0)),INDEX(Rubric!$C$14:$C$23,MATCH("other",Rubric!$A$14:$A$23,0))))</f>
        <v>11</v>
      </c>
      <c r="N98" s="39" t="n">
        <f aca="false">IF(OR($A98="",$C98=""),"",$C98*Rubric!$B$5+$D98*Rubric!$B$6+$E98*Rubric!$B$7+$F98*Rubric!$B$8+$G98*Rubric!$B$9)</f>
        <v>4.26</v>
      </c>
      <c r="O98" s="40" t="str">
        <f aca="false">IF($A98="","",IF(OR(UPPER($H98)="Y",UPPER($I98)="Y"),"FAIL","PASS"))</f>
        <v>FAIL</v>
      </c>
      <c r="P98" s="41" t="n">
        <f aca="false">IF($N98="","",Assumptions!$B$6*MAX(0.05,($N98/Assumptions!$B$11)^Assumptions!$B$12))</f>
        <v>0.0142</v>
      </c>
      <c r="Q98" s="41" t="n">
        <f aca="false">IF($P98="","",1-(1-$P98)^Assumptions!$B$7)</f>
        <v>0.0690120301639053</v>
      </c>
      <c r="R98" s="42" t="n">
        <f aca="false">IF($M98="","",$M98*Assumptions!$B$7)</f>
        <v>55</v>
      </c>
      <c r="S98" s="42" t="str">
        <f aca="false">IF(OR($J98="",$Q98="",$Q98=0),"",($J98+$R98)/($Q98*(1-Assumptions!$B$4)))</f>
        <v/>
      </c>
      <c r="T98" s="43" t="str">
        <f aca="false">IF(OR($K98="",$S98="",$S98=0),"",$K98/$S98)</f>
        <v/>
      </c>
      <c r="U98" s="44" t="str">
        <f aca="false">IF(OR($K98="",$Q98=""),"",MAX(0,($K98-MAX($K98*Assumptions!$B$4,Assumptions!$B$5))*$Q98-$R98))</f>
        <v/>
      </c>
      <c r="V98" s="40" t="str">
        <f aca="false">IF($A98="","",IF($O98="FAIL","REJECT",IF($J98="","NEEDS PRICE",IF(OR($K98="",$L98=""),"NEEDS VALUATION",IF($T98&gt;=Assumptions!$B$13,"BUY",IF($T98&gt;=1,"MARGINAL","PASS"))))))</f>
        <v>REJECT</v>
      </c>
      <c r="W98" s="25" t="s">
        <v>177</v>
      </c>
      <c r="X98" s="35" t="s">
        <v>365</v>
      </c>
    </row>
    <row r="99" customFormat="false" ht="15" hidden="false" customHeight="false" outlineLevel="0" collapsed="false">
      <c r="A99" s="22" t="s">
        <v>366</v>
      </c>
      <c r="B99" s="36" t="str">
        <f aca="false">IF($A99="","",IF(ISERROR(FIND(".",$A99)),"",LOWER(MID($A99,FIND(CHAR(1),SUBSTITUTE($A99,".",CHAR(1),LEN($A99)-LEN(SUBSTITUTE($A99,".",""))))+1,LEN($A99)))))</f>
        <v>com</v>
      </c>
      <c r="C99" s="37" t="n">
        <f aca="false">IF($B99="","",IFERROR(INDEX(Rubric!$B$14:$B$23,MATCH($B99,Rubric!$A$14:$A$23,0)),INDEX(Rubric!$B$14:$B$23,MATCH("other",Rubric!$A$14:$A$23,0))))</f>
        <v>5</v>
      </c>
      <c r="D99" s="25" t="n">
        <v>4</v>
      </c>
      <c r="E99" s="25" t="n">
        <v>3</v>
      </c>
      <c r="F99" s="25" t="n">
        <v>5</v>
      </c>
      <c r="G99" s="25" t="n">
        <v>5</v>
      </c>
      <c r="H99" s="25" t="s">
        <v>254</v>
      </c>
      <c r="I99" s="25" t="s">
        <v>176</v>
      </c>
      <c r="J99" s="26"/>
      <c r="K99" s="27"/>
      <c r="L99" s="25"/>
      <c r="M99" s="38" t="n">
        <f aca="false">IF($B99="","",IFERROR(INDEX(Rubric!$C$14:$C$23,MATCH($B99,Rubric!$A$14:$A$23,0)),INDEX(Rubric!$C$14:$C$23,MATCH("other",Rubric!$A$14:$A$23,0))))</f>
        <v>11</v>
      </c>
      <c r="N99" s="39" t="n">
        <f aca="false">IF(OR($A99="",$C99=""),"",$C99*Rubric!$B$5+$D99*Rubric!$B$6+$E99*Rubric!$B$7+$F99*Rubric!$B$8+$G99*Rubric!$B$9)</f>
        <v>4.26</v>
      </c>
      <c r="O99" s="40" t="str">
        <f aca="false">IF($A99="","",IF(OR(UPPER($H99)="Y",UPPER($I99)="Y"),"FAIL","PASS"))</f>
        <v>FAIL</v>
      </c>
      <c r="P99" s="41" t="n">
        <f aca="false">IF($N99="","",Assumptions!$B$6*MAX(0.05,($N99/Assumptions!$B$11)^Assumptions!$B$12))</f>
        <v>0.0142</v>
      </c>
      <c r="Q99" s="41" t="n">
        <f aca="false">IF($P99="","",1-(1-$P99)^Assumptions!$B$7)</f>
        <v>0.0690120301639053</v>
      </c>
      <c r="R99" s="42" t="n">
        <f aca="false">IF($M99="","",$M99*Assumptions!$B$7)</f>
        <v>55</v>
      </c>
      <c r="S99" s="42" t="str">
        <f aca="false">IF(OR($J99="",$Q99="",$Q99=0),"",($J99+$R99)/($Q99*(1-Assumptions!$B$4)))</f>
        <v/>
      </c>
      <c r="T99" s="43" t="str">
        <f aca="false">IF(OR($K99="",$S99="",$S99=0),"",$K99/$S99)</f>
        <v/>
      </c>
      <c r="U99" s="44" t="str">
        <f aca="false">IF(OR($K99="",$Q99=""),"",MAX(0,($K99-MAX($K99*Assumptions!$B$4,Assumptions!$B$5))*$Q99-$R99))</f>
        <v/>
      </c>
      <c r="V99" s="40" t="str">
        <f aca="false">IF($A99="","",IF($O99="FAIL","REJECT",IF($J99="","NEEDS PRICE",IF(OR($K99="",$L99=""),"NEEDS VALUATION",IF($T99&gt;=Assumptions!$B$13,"BUY",IF($T99&gt;=1,"MARGINAL","PASS"))))))</f>
        <v>REJECT</v>
      </c>
      <c r="W99" s="25" t="s">
        <v>177</v>
      </c>
      <c r="X99" s="35" t="s">
        <v>367</v>
      </c>
    </row>
    <row r="100" customFormat="false" ht="23.85" hidden="false" customHeight="false" outlineLevel="0" collapsed="false">
      <c r="A100" s="22" t="s">
        <v>368</v>
      </c>
      <c r="B100" s="36" t="str">
        <f aca="false">IF($A100="","",IF(ISERROR(FIND(".",$A100)),"",LOWER(MID($A100,FIND(CHAR(1),SUBSTITUTE($A100,".",CHAR(1),LEN($A100)-LEN(SUBSTITUTE($A100,".",""))))+1,LEN($A100)))))</f>
        <v>com</v>
      </c>
      <c r="C100" s="37" t="n">
        <f aca="false">IF($B100="","",IFERROR(INDEX(Rubric!$B$14:$B$23,MATCH($B100,Rubric!$A$14:$A$23,0)),INDEX(Rubric!$B$14:$B$23,MATCH("other",Rubric!$A$14:$A$23,0))))</f>
        <v>5</v>
      </c>
      <c r="D100" s="25" t="n">
        <v>4</v>
      </c>
      <c r="E100" s="25" t="n">
        <v>3</v>
      </c>
      <c r="F100" s="25" t="n">
        <v>4</v>
      </c>
      <c r="G100" s="25" t="n">
        <v>4</v>
      </c>
      <c r="H100" s="25" t="s">
        <v>176</v>
      </c>
      <c r="I100" s="25" t="s">
        <v>176</v>
      </c>
      <c r="J100" s="26"/>
      <c r="K100" s="27"/>
      <c r="L100" s="25"/>
      <c r="M100" s="38" t="n">
        <f aca="false">IF($B100="","",IFERROR(INDEX(Rubric!$C$14:$C$23,MATCH($B100,Rubric!$A$14:$A$23,0)),INDEX(Rubric!$C$14:$C$23,MATCH("other",Rubric!$A$14:$A$23,0))))</f>
        <v>11</v>
      </c>
      <c r="N100" s="39" t="n">
        <f aca="false">IF(OR($A100="",$C100=""),"",$C100*Rubric!$B$5+$D100*Rubric!$B$6+$E100*Rubric!$B$7+$F100*Rubric!$B$8+$G100*Rubric!$B$9)</f>
        <v>4</v>
      </c>
      <c r="O100" s="40" t="str">
        <f aca="false">IF($A100="","",IF(OR(UPPER($H100)="Y",UPPER($I100)="Y"),"FAIL","PASS"))</f>
        <v>PASS</v>
      </c>
      <c r="P100" s="41" t="n">
        <f aca="false">IF($N100="","",Assumptions!$B$6*MAX(0.05,($N100/Assumptions!$B$11)^Assumptions!$B$12))</f>
        <v>0.0133333333333333</v>
      </c>
      <c r="Q100" s="41" t="n">
        <f aca="false">IF($P100="","",1-(1-$P100)^Assumptions!$B$7)</f>
        <v>0.0649124349893003</v>
      </c>
      <c r="R100" s="42" t="n">
        <f aca="false">IF($M100="","",$M100*Assumptions!$B$7)</f>
        <v>55</v>
      </c>
      <c r="S100" s="42" t="str">
        <f aca="false">IF(OR($J100="",$Q100="",$Q100=0),"",($J100+$R100)/($Q100*(1-Assumptions!$B$4)))</f>
        <v/>
      </c>
      <c r="T100" s="43" t="str">
        <f aca="false">IF(OR($K100="",$S100="",$S100=0),"",$K100/$S100)</f>
        <v/>
      </c>
      <c r="U100" s="44" t="str">
        <f aca="false">IF(OR($K100="",$Q100=""),"",MAX(0,($K100-MAX($K100*Assumptions!$B$4,Assumptions!$B$5))*$Q100-$R100))</f>
        <v/>
      </c>
      <c r="V100" s="40" t="str">
        <f aca="false">IF($A100="","",IF($O100="FAIL","REJECT",IF($J100="","NEEDS PRICE",IF(OR($K100="",$L100=""),"NEEDS VALUATION",IF($T100&gt;=Assumptions!$B$13,"BUY",IF($T100&gt;=1,"MARGINAL","PASS"))))))</f>
        <v>NEEDS PRICE</v>
      </c>
      <c r="W100" s="25" t="s">
        <v>177</v>
      </c>
      <c r="X100" s="35" t="s">
        <v>369</v>
      </c>
    </row>
    <row r="101" customFormat="false" ht="15" hidden="false" customHeight="false" outlineLevel="0" collapsed="false">
      <c r="A101" s="22" t="s">
        <v>370</v>
      </c>
      <c r="B101" s="36" t="str">
        <f aca="false">IF($A101="","",IF(ISERROR(FIND(".",$A101)),"",LOWER(MID($A101,FIND(CHAR(1),SUBSTITUTE($A101,".",CHAR(1),LEN($A101)-LEN(SUBSTITUTE($A101,".",""))))+1,LEN($A101)))))</f>
        <v>com</v>
      </c>
      <c r="C101" s="37" t="n">
        <f aca="false">IF($B101="","",IFERROR(INDEX(Rubric!$B$14:$B$23,MATCH($B101,Rubric!$A$14:$A$23,0)),INDEX(Rubric!$B$14:$B$23,MATCH("other",Rubric!$A$14:$A$23,0))))</f>
        <v>5</v>
      </c>
      <c r="D101" s="25" t="n">
        <v>4</v>
      </c>
      <c r="E101" s="25" t="n">
        <v>3</v>
      </c>
      <c r="F101" s="25" t="n">
        <v>5</v>
      </c>
      <c r="G101" s="25" t="n">
        <v>5</v>
      </c>
      <c r="H101" s="25" t="s">
        <v>176</v>
      </c>
      <c r="I101" s="25" t="s">
        <v>176</v>
      </c>
      <c r="J101" s="26"/>
      <c r="K101" s="27"/>
      <c r="L101" s="25"/>
      <c r="M101" s="38" t="n">
        <f aca="false">IF($B101="","",IFERROR(INDEX(Rubric!$C$14:$C$23,MATCH($B101,Rubric!$A$14:$A$23,0)),INDEX(Rubric!$C$14:$C$23,MATCH("other",Rubric!$A$14:$A$23,0))))</f>
        <v>11</v>
      </c>
      <c r="N101" s="39" t="n">
        <f aca="false">IF(OR($A101="",$C101=""),"",$C101*Rubric!$B$5+$D101*Rubric!$B$6+$E101*Rubric!$B$7+$F101*Rubric!$B$8+$G101*Rubric!$B$9)</f>
        <v>4.26</v>
      </c>
      <c r="O101" s="40" t="str">
        <f aca="false">IF($A101="","",IF(OR(UPPER($H101)="Y",UPPER($I101)="Y"),"FAIL","PASS"))</f>
        <v>PASS</v>
      </c>
      <c r="P101" s="41" t="n">
        <f aca="false">IF($N101="","",Assumptions!$B$6*MAX(0.05,($N101/Assumptions!$B$11)^Assumptions!$B$12))</f>
        <v>0.0142</v>
      </c>
      <c r="Q101" s="41" t="n">
        <f aca="false">IF($P101="","",1-(1-$P101)^Assumptions!$B$7)</f>
        <v>0.0690120301639053</v>
      </c>
      <c r="R101" s="42" t="n">
        <f aca="false">IF($M101="","",$M101*Assumptions!$B$7)</f>
        <v>55</v>
      </c>
      <c r="S101" s="42" t="str">
        <f aca="false">IF(OR($J101="",$Q101="",$Q101=0),"",($J101+$R101)/($Q101*(1-Assumptions!$B$4)))</f>
        <v/>
      </c>
      <c r="T101" s="43" t="str">
        <f aca="false">IF(OR($K101="",$S101="",$S101=0),"",$K101/$S101)</f>
        <v/>
      </c>
      <c r="U101" s="44" t="str">
        <f aca="false">IF(OR($K101="",$Q101=""),"",MAX(0,($K101-MAX($K101*Assumptions!$B$4,Assumptions!$B$5))*$Q101-$R101))</f>
        <v/>
      </c>
      <c r="V101" s="40" t="str">
        <f aca="false">IF($A101="","",IF($O101="FAIL","REJECT",IF($J101="","NEEDS PRICE",IF(OR($K101="",$L101=""),"NEEDS VALUATION",IF($T101&gt;=Assumptions!$B$13,"BUY",IF($T101&gt;=1,"MARGINAL","PASS"))))))</f>
        <v>NEEDS PRICE</v>
      </c>
      <c r="W101" s="25" t="s">
        <v>177</v>
      </c>
      <c r="X101" s="35" t="s">
        <v>371</v>
      </c>
    </row>
    <row r="102" customFormat="false" ht="15" hidden="false" customHeight="false" outlineLevel="0" collapsed="false">
      <c r="A102" s="22" t="s">
        <v>372</v>
      </c>
      <c r="B102" s="36" t="str">
        <f aca="false">IF($A102="","",IF(ISERROR(FIND(".",$A102)),"",LOWER(MID($A102,FIND(CHAR(1),SUBSTITUTE($A102,".",CHAR(1),LEN($A102)-LEN(SUBSTITUTE($A102,".",""))))+1,LEN($A102)))))</f>
        <v>com</v>
      </c>
      <c r="C102" s="37" t="n">
        <f aca="false">IF($B102="","",IFERROR(INDEX(Rubric!$B$14:$B$23,MATCH($B102,Rubric!$A$14:$A$23,0)),INDEX(Rubric!$B$14:$B$23,MATCH("other",Rubric!$A$14:$A$23,0))))</f>
        <v>5</v>
      </c>
      <c r="D102" s="25" t="n">
        <v>4</v>
      </c>
      <c r="E102" s="25" t="n">
        <v>3</v>
      </c>
      <c r="F102" s="25" t="n">
        <v>5</v>
      </c>
      <c r="G102" s="25" t="n">
        <v>5</v>
      </c>
      <c r="H102" s="25" t="s">
        <v>176</v>
      </c>
      <c r="I102" s="25" t="s">
        <v>176</v>
      </c>
      <c r="J102" s="26" t="n">
        <v>287500</v>
      </c>
      <c r="K102" s="27"/>
      <c r="L102" s="25"/>
      <c r="M102" s="38" t="n">
        <f aca="false">IF($B102="","",IFERROR(INDEX(Rubric!$C$14:$C$23,MATCH($B102,Rubric!$A$14:$A$23,0)),INDEX(Rubric!$C$14:$C$23,MATCH("other",Rubric!$A$14:$A$23,0))))</f>
        <v>11</v>
      </c>
      <c r="N102" s="39" t="n">
        <f aca="false">IF(OR($A102="",$C102=""),"",$C102*Rubric!$B$5+$D102*Rubric!$B$6+$E102*Rubric!$B$7+$F102*Rubric!$B$8+$G102*Rubric!$B$9)</f>
        <v>4.26</v>
      </c>
      <c r="O102" s="40" t="str">
        <f aca="false">IF($A102="","",IF(OR(UPPER($H102)="Y",UPPER($I102)="Y"),"FAIL","PASS"))</f>
        <v>PASS</v>
      </c>
      <c r="P102" s="41" t="n">
        <f aca="false">IF($N102="","",Assumptions!$B$6*MAX(0.05,($N102/Assumptions!$B$11)^Assumptions!$B$12))</f>
        <v>0.0142</v>
      </c>
      <c r="Q102" s="41" t="n">
        <f aca="false">IF($P102="","",1-(1-$P102)^Assumptions!$B$7)</f>
        <v>0.0690120301639053</v>
      </c>
      <c r="R102" s="42" t="n">
        <f aca="false">IF($M102="","",$M102*Assumptions!$B$7)</f>
        <v>55</v>
      </c>
      <c r="S102" s="42" t="n">
        <f aca="false">IF(OR($J102="",$Q102="",$Q102=0),"",($J102+$R102)/($Q102*(1-Assumptions!$B$4)))</f>
        <v>5208421.62078571</v>
      </c>
      <c r="T102" s="43" t="str">
        <f aca="false">IF(OR($K102="",$S102="",$S102=0),"",$K102/$S102)</f>
        <v/>
      </c>
      <c r="U102" s="44" t="str">
        <f aca="false">IF(OR($K102="",$Q102=""),"",MAX(0,($K102-MAX($K102*Assumptions!$B$4,Assumptions!$B$5))*$Q102-$R102))</f>
        <v/>
      </c>
      <c r="V102" s="40" t="str">
        <f aca="false">IF($A102="","",IF($O102="FAIL","REJECT",IF($J102="","NEEDS PRICE",IF(OR($K102="",$L102=""),"NEEDS VALUATION",IF($T102&gt;=Assumptions!$B$13,"BUY",IF($T102&gt;=1,"MARGINAL","PASS"))))))</f>
        <v>NEEDS VALUATION</v>
      </c>
      <c r="W102" s="25" t="s">
        <v>204</v>
      </c>
      <c r="X102" s="35" t="s">
        <v>373</v>
      </c>
    </row>
    <row r="103" customFormat="false" ht="15" hidden="false" customHeight="false" outlineLevel="0" collapsed="false">
      <c r="A103" s="22" t="s">
        <v>374</v>
      </c>
      <c r="B103" s="36" t="str">
        <f aca="false">IF($A103="","",IF(ISERROR(FIND(".",$A103)),"",LOWER(MID($A103,FIND(CHAR(1),SUBSTITUTE($A103,".",CHAR(1),LEN($A103)-LEN(SUBSTITUTE($A103,".",""))))+1,LEN($A103)))))</f>
        <v>com</v>
      </c>
      <c r="C103" s="37" t="n">
        <f aca="false">IF($B103="","",IFERROR(INDEX(Rubric!$B$14:$B$23,MATCH($B103,Rubric!$A$14:$A$23,0)),INDEX(Rubric!$B$14:$B$23,MATCH("other",Rubric!$A$14:$A$23,0))))</f>
        <v>5</v>
      </c>
      <c r="D103" s="25" t="n">
        <v>3</v>
      </c>
      <c r="E103" s="25" t="n">
        <v>3</v>
      </c>
      <c r="F103" s="25" t="n">
        <v>4</v>
      </c>
      <c r="G103" s="25" t="n">
        <v>4</v>
      </c>
      <c r="H103" s="25" t="s">
        <v>176</v>
      </c>
      <c r="I103" s="25" t="s">
        <v>176</v>
      </c>
      <c r="J103" s="26"/>
      <c r="K103" s="27"/>
      <c r="L103" s="25"/>
      <c r="M103" s="38" t="n">
        <f aca="false">IF($B103="","",IFERROR(INDEX(Rubric!$C$14:$C$23,MATCH($B103,Rubric!$A$14:$A$23,0)),INDEX(Rubric!$C$14:$C$23,MATCH("other",Rubric!$A$14:$A$23,0))))</f>
        <v>11</v>
      </c>
      <c r="N103" s="39" t="n">
        <f aca="false">IF(OR($A103="",$C103=""),"",$C103*Rubric!$B$5+$D103*Rubric!$B$6+$E103*Rubric!$B$7+$F103*Rubric!$B$8+$G103*Rubric!$B$9)</f>
        <v>3.7</v>
      </c>
      <c r="O103" s="40" t="str">
        <f aca="false">IF($A103="","",IF(OR(UPPER($H103)="Y",UPPER($I103)="Y"),"FAIL","PASS"))</f>
        <v>PASS</v>
      </c>
      <c r="P103" s="41" t="n">
        <f aca="false">IF($N103="","",Assumptions!$B$6*MAX(0.05,($N103/Assumptions!$B$11)^Assumptions!$B$12))</f>
        <v>0.0123333333333333</v>
      </c>
      <c r="Q103" s="41" t="n">
        <f aca="false">IF($P103="","",1-(1-$P103)^Assumptions!$B$7)</f>
        <v>0.0601642005223413</v>
      </c>
      <c r="R103" s="42" t="n">
        <f aca="false">IF($M103="","",$M103*Assumptions!$B$7)</f>
        <v>55</v>
      </c>
      <c r="S103" s="42" t="str">
        <f aca="false">IF(OR($J103="",$Q103="",$Q103=0),"",($J103+$R103)/($Q103*(1-Assumptions!$B$4)))</f>
        <v/>
      </c>
      <c r="T103" s="43" t="str">
        <f aca="false">IF(OR($K103="",$S103="",$S103=0),"",$K103/$S103)</f>
        <v/>
      </c>
      <c r="U103" s="44" t="str">
        <f aca="false">IF(OR($K103="",$Q103=""),"",MAX(0,($K103-MAX($K103*Assumptions!$B$4,Assumptions!$B$5))*$Q103-$R103))</f>
        <v/>
      </c>
      <c r="V103" s="40" t="str">
        <f aca="false">IF($A103="","",IF($O103="FAIL","REJECT",IF($J103="","NEEDS PRICE",IF(OR($K103="",$L103=""),"NEEDS VALUATION",IF($T103&gt;=Assumptions!$B$13,"BUY",IF($T103&gt;=1,"MARGINAL","PASS"))))))</f>
        <v>NEEDS PRICE</v>
      </c>
      <c r="W103" s="25" t="s">
        <v>177</v>
      </c>
      <c r="X103" s="35" t="s">
        <v>375</v>
      </c>
    </row>
    <row r="104" customFormat="false" ht="15" hidden="false" customHeight="false" outlineLevel="0" collapsed="false">
      <c r="A104" s="22" t="s">
        <v>376</v>
      </c>
      <c r="B104" s="36" t="str">
        <f aca="false">IF($A104="","",IF(ISERROR(FIND(".",$A104)),"",LOWER(MID($A104,FIND(CHAR(1),SUBSTITUTE($A104,".",CHAR(1),LEN($A104)-LEN(SUBSTITUTE($A104,".",""))))+1,LEN($A104)))))</f>
        <v>com</v>
      </c>
      <c r="C104" s="37" t="n">
        <f aca="false">IF($B104="","",IFERROR(INDEX(Rubric!$B$14:$B$23,MATCH($B104,Rubric!$A$14:$A$23,0)),INDEX(Rubric!$B$14:$B$23,MATCH("other",Rubric!$A$14:$A$23,0))))</f>
        <v>5</v>
      </c>
      <c r="D104" s="25" t="n">
        <v>4</v>
      </c>
      <c r="E104" s="25" t="n">
        <v>3</v>
      </c>
      <c r="F104" s="25" t="n">
        <v>5</v>
      </c>
      <c r="G104" s="25" t="n">
        <v>5</v>
      </c>
      <c r="H104" s="25" t="s">
        <v>176</v>
      </c>
      <c r="I104" s="25" t="s">
        <v>176</v>
      </c>
      <c r="J104" s="26"/>
      <c r="K104" s="27"/>
      <c r="L104" s="25"/>
      <c r="M104" s="38" t="n">
        <f aca="false">IF($B104="","",IFERROR(INDEX(Rubric!$C$14:$C$23,MATCH($B104,Rubric!$A$14:$A$23,0)),INDEX(Rubric!$C$14:$C$23,MATCH("other",Rubric!$A$14:$A$23,0))))</f>
        <v>11</v>
      </c>
      <c r="N104" s="39" t="n">
        <f aca="false">IF(OR($A104="",$C104=""),"",$C104*Rubric!$B$5+$D104*Rubric!$B$6+$E104*Rubric!$B$7+$F104*Rubric!$B$8+$G104*Rubric!$B$9)</f>
        <v>4.26</v>
      </c>
      <c r="O104" s="40" t="str">
        <f aca="false">IF($A104="","",IF(OR(UPPER($H104)="Y",UPPER($I104)="Y"),"FAIL","PASS"))</f>
        <v>PASS</v>
      </c>
      <c r="P104" s="41" t="n">
        <f aca="false">IF($N104="","",Assumptions!$B$6*MAX(0.05,($N104/Assumptions!$B$11)^Assumptions!$B$12))</f>
        <v>0.0142</v>
      </c>
      <c r="Q104" s="41" t="n">
        <f aca="false">IF($P104="","",1-(1-$P104)^Assumptions!$B$7)</f>
        <v>0.0690120301639053</v>
      </c>
      <c r="R104" s="42" t="n">
        <f aca="false">IF($M104="","",$M104*Assumptions!$B$7)</f>
        <v>55</v>
      </c>
      <c r="S104" s="42" t="str">
        <f aca="false">IF(OR($J104="",$Q104="",$Q104=0),"",($J104+$R104)/($Q104*(1-Assumptions!$B$4)))</f>
        <v/>
      </c>
      <c r="T104" s="43" t="str">
        <f aca="false">IF(OR($K104="",$S104="",$S104=0),"",$K104/$S104)</f>
        <v/>
      </c>
      <c r="U104" s="44" t="str">
        <f aca="false">IF(OR($K104="",$Q104=""),"",MAX(0,($K104-MAX($K104*Assumptions!$B$4,Assumptions!$B$5))*$Q104-$R104))</f>
        <v/>
      </c>
      <c r="V104" s="40" t="str">
        <f aca="false">IF($A104="","",IF($O104="FAIL","REJECT",IF($J104="","NEEDS PRICE",IF(OR($K104="",$L104=""),"NEEDS VALUATION",IF($T104&gt;=Assumptions!$B$13,"BUY",IF($T104&gt;=1,"MARGINAL","PASS"))))))</f>
        <v>NEEDS PRICE</v>
      </c>
      <c r="W104" s="25" t="s">
        <v>177</v>
      </c>
      <c r="X104" s="35" t="s">
        <v>377</v>
      </c>
    </row>
    <row r="105" customFormat="false" ht="15" hidden="false" customHeight="false" outlineLevel="0" collapsed="false">
      <c r="A105" s="22" t="s">
        <v>378</v>
      </c>
      <c r="B105" s="36" t="str">
        <f aca="false">IF($A105="","",IF(ISERROR(FIND(".",$A105)),"",LOWER(MID($A105,FIND(CHAR(1),SUBSTITUTE($A105,".",CHAR(1),LEN($A105)-LEN(SUBSTITUTE($A105,".",""))))+1,LEN($A105)))))</f>
        <v>com</v>
      </c>
      <c r="C105" s="37" t="n">
        <f aca="false">IF($B105="","",IFERROR(INDEX(Rubric!$B$14:$B$23,MATCH($B105,Rubric!$A$14:$A$23,0)),INDEX(Rubric!$B$14:$B$23,MATCH("other",Rubric!$A$14:$A$23,0))))</f>
        <v>5</v>
      </c>
      <c r="D105" s="25" t="n">
        <v>4</v>
      </c>
      <c r="E105" s="25" t="n">
        <v>3</v>
      </c>
      <c r="F105" s="25" t="n">
        <v>5</v>
      </c>
      <c r="G105" s="25" t="n">
        <v>5</v>
      </c>
      <c r="H105" s="25" t="s">
        <v>176</v>
      </c>
      <c r="I105" s="25" t="s">
        <v>176</v>
      </c>
      <c r="J105" s="26"/>
      <c r="K105" s="27"/>
      <c r="L105" s="25"/>
      <c r="M105" s="38" t="n">
        <f aca="false">IF($B105="","",IFERROR(INDEX(Rubric!$C$14:$C$23,MATCH($B105,Rubric!$A$14:$A$23,0)),INDEX(Rubric!$C$14:$C$23,MATCH("other",Rubric!$A$14:$A$23,0))))</f>
        <v>11</v>
      </c>
      <c r="N105" s="39" t="n">
        <f aca="false">IF(OR($A105="",$C105=""),"",$C105*Rubric!$B$5+$D105*Rubric!$B$6+$E105*Rubric!$B$7+$F105*Rubric!$B$8+$G105*Rubric!$B$9)</f>
        <v>4.26</v>
      </c>
      <c r="O105" s="40" t="str">
        <f aca="false">IF($A105="","",IF(OR(UPPER($H105)="Y",UPPER($I105)="Y"),"FAIL","PASS"))</f>
        <v>PASS</v>
      </c>
      <c r="P105" s="41" t="n">
        <f aca="false">IF($N105="","",Assumptions!$B$6*MAX(0.05,($N105/Assumptions!$B$11)^Assumptions!$B$12))</f>
        <v>0.0142</v>
      </c>
      <c r="Q105" s="41" t="n">
        <f aca="false">IF($P105="","",1-(1-$P105)^Assumptions!$B$7)</f>
        <v>0.0690120301639053</v>
      </c>
      <c r="R105" s="42" t="n">
        <f aca="false">IF($M105="","",$M105*Assumptions!$B$7)</f>
        <v>55</v>
      </c>
      <c r="S105" s="42" t="str">
        <f aca="false">IF(OR($J105="",$Q105="",$Q105=0),"",($J105+$R105)/($Q105*(1-Assumptions!$B$4)))</f>
        <v/>
      </c>
      <c r="T105" s="43" t="str">
        <f aca="false">IF(OR($K105="",$S105="",$S105=0),"",$K105/$S105)</f>
        <v/>
      </c>
      <c r="U105" s="44" t="str">
        <f aca="false">IF(OR($K105="",$Q105=""),"",MAX(0,($K105-MAX($K105*Assumptions!$B$4,Assumptions!$B$5))*$Q105-$R105))</f>
        <v/>
      </c>
      <c r="V105" s="40" t="str">
        <f aca="false">IF($A105="","",IF($O105="FAIL","REJECT",IF($J105="","NEEDS PRICE",IF(OR($K105="",$L105=""),"NEEDS VALUATION",IF($T105&gt;=Assumptions!$B$13,"BUY",IF($T105&gt;=1,"MARGINAL","PASS"))))))</f>
        <v>NEEDS PRICE</v>
      </c>
      <c r="W105" s="25" t="s">
        <v>177</v>
      </c>
      <c r="X105" s="35" t="s">
        <v>379</v>
      </c>
    </row>
    <row r="106" customFormat="false" ht="15" hidden="false" customHeight="false" outlineLevel="0" collapsed="false">
      <c r="A106" s="22" t="s">
        <v>380</v>
      </c>
      <c r="B106" s="36" t="str">
        <f aca="false">IF($A106="","",IF(ISERROR(FIND(".",$A106)),"",LOWER(MID($A106,FIND(CHAR(1),SUBSTITUTE($A106,".",CHAR(1),LEN($A106)-LEN(SUBSTITUTE($A106,".",""))))+1,LEN($A106)))))</f>
        <v>com</v>
      </c>
      <c r="C106" s="37" t="n">
        <f aca="false">IF($B106="","",IFERROR(INDEX(Rubric!$B$14:$B$23,MATCH($B106,Rubric!$A$14:$A$23,0)),INDEX(Rubric!$B$14:$B$23,MATCH("other",Rubric!$A$14:$A$23,0))))</f>
        <v>5</v>
      </c>
      <c r="D106" s="25" t="n">
        <v>3</v>
      </c>
      <c r="E106" s="25" t="n">
        <v>2</v>
      </c>
      <c r="F106" s="25" t="n">
        <v>5</v>
      </c>
      <c r="G106" s="25" t="n">
        <v>5</v>
      </c>
      <c r="H106" s="25" t="s">
        <v>176</v>
      </c>
      <c r="I106" s="25" t="s">
        <v>176</v>
      </c>
      <c r="J106" s="26"/>
      <c r="K106" s="27"/>
      <c r="L106" s="25"/>
      <c r="M106" s="38" t="n">
        <f aca="false">IF($B106="","",IFERROR(INDEX(Rubric!$C$14:$C$23,MATCH($B106,Rubric!$A$14:$A$23,0)),INDEX(Rubric!$C$14:$C$23,MATCH("other",Rubric!$A$14:$A$23,0))))</f>
        <v>11</v>
      </c>
      <c r="N106" s="39" t="n">
        <f aca="false">IF(OR($A106="",$C106=""),"",$C106*Rubric!$B$5+$D106*Rubric!$B$6+$E106*Rubric!$B$7+$F106*Rubric!$B$8+$G106*Rubric!$B$9)</f>
        <v>3.74</v>
      </c>
      <c r="O106" s="40" t="str">
        <f aca="false">IF($A106="","",IF(OR(UPPER($H106)="Y",UPPER($I106)="Y"),"FAIL","PASS"))</f>
        <v>PASS</v>
      </c>
      <c r="P106" s="41" t="n">
        <f aca="false">IF($N106="","",Assumptions!$B$6*MAX(0.05,($N106/Assumptions!$B$11)^Assumptions!$B$12))</f>
        <v>0.0124666666666667</v>
      </c>
      <c r="Q106" s="41" t="n">
        <f aca="false">IF($P106="","",1-(1-$P106)^Assumptions!$B$7)</f>
        <v>0.0607984104995518</v>
      </c>
      <c r="R106" s="42" t="n">
        <f aca="false">IF($M106="","",$M106*Assumptions!$B$7)</f>
        <v>55</v>
      </c>
      <c r="S106" s="42" t="str">
        <f aca="false">IF(OR($J106="",$Q106="",$Q106=0),"",($J106+$R106)/($Q106*(1-Assumptions!$B$4)))</f>
        <v/>
      </c>
      <c r="T106" s="43" t="str">
        <f aca="false">IF(OR($K106="",$S106="",$S106=0),"",$K106/$S106)</f>
        <v/>
      </c>
      <c r="U106" s="44" t="str">
        <f aca="false">IF(OR($K106="",$Q106=""),"",MAX(0,($K106-MAX($K106*Assumptions!$B$4,Assumptions!$B$5))*$Q106-$R106))</f>
        <v/>
      </c>
      <c r="V106" s="40" t="str">
        <f aca="false">IF($A106="","",IF($O106="FAIL","REJECT",IF($J106="","NEEDS PRICE",IF(OR($K106="",$L106=""),"NEEDS VALUATION",IF($T106&gt;=Assumptions!$B$13,"BUY",IF($T106&gt;=1,"MARGINAL","PASS"))))))</f>
        <v>NEEDS PRICE</v>
      </c>
      <c r="W106" s="25" t="s">
        <v>177</v>
      </c>
      <c r="X106" s="35" t="s">
        <v>381</v>
      </c>
    </row>
    <row r="107" customFormat="false" ht="15" hidden="false" customHeight="false" outlineLevel="0" collapsed="false">
      <c r="A107" s="22" t="s">
        <v>382</v>
      </c>
      <c r="B107" s="36" t="str">
        <f aca="false">IF($A107="","",IF(ISERROR(FIND(".",$A107)),"",LOWER(MID($A107,FIND(CHAR(1),SUBSTITUTE($A107,".",CHAR(1),LEN($A107)-LEN(SUBSTITUTE($A107,".",""))))+1,LEN($A107)))))</f>
        <v>com</v>
      </c>
      <c r="C107" s="37" t="n">
        <f aca="false">IF($B107="","",IFERROR(INDEX(Rubric!$B$14:$B$23,MATCH($B107,Rubric!$A$14:$A$23,0)),INDEX(Rubric!$B$14:$B$23,MATCH("other",Rubric!$A$14:$A$23,0))))</f>
        <v>5</v>
      </c>
      <c r="D107" s="25" t="n">
        <v>4</v>
      </c>
      <c r="E107" s="25" t="n">
        <v>3</v>
      </c>
      <c r="F107" s="25" t="n">
        <v>5</v>
      </c>
      <c r="G107" s="25" t="n">
        <v>4</v>
      </c>
      <c r="H107" s="25" t="s">
        <v>176</v>
      </c>
      <c r="I107" s="25" t="s">
        <v>176</v>
      </c>
      <c r="J107" s="26"/>
      <c r="K107" s="27"/>
      <c r="L107" s="25"/>
      <c r="M107" s="38" t="n">
        <f aca="false">IF($B107="","",IFERROR(INDEX(Rubric!$C$14:$C$23,MATCH($B107,Rubric!$A$14:$A$23,0)),INDEX(Rubric!$C$14:$C$23,MATCH("other",Rubric!$A$14:$A$23,0))))</f>
        <v>11</v>
      </c>
      <c r="N107" s="39" t="n">
        <f aca="false">IF(OR($A107="",$C107=""),"",$C107*Rubric!$B$5+$D107*Rubric!$B$6+$E107*Rubric!$B$7+$F107*Rubric!$B$8+$G107*Rubric!$B$9)</f>
        <v>4.16</v>
      </c>
      <c r="O107" s="40" t="str">
        <f aca="false">IF($A107="","",IF(OR(UPPER($H107)="Y",UPPER($I107)="Y"),"FAIL","PASS"))</f>
        <v>PASS</v>
      </c>
      <c r="P107" s="41" t="n">
        <f aca="false">IF($N107="","",Assumptions!$B$6*MAX(0.05,($N107/Assumptions!$B$11)^Assumptions!$B$12))</f>
        <v>0.0138666666666667</v>
      </c>
      <c r="Q107" s="41" t="n">
        <f aca="false">IF($P107="","",1-(1-$P107)^Assumptions!$B$7)</f>
        <v>0.0674369679780107</v>
      </c>
      <c r="R107" s="42" t="n">
        <f aca="false">IF($M107="","",$M107*Assumptions!$B$7)</f>
        <v>55</v>
      </c>
      <c r="S107" s="42" t="str">
        <f aca="false">IF(OR($J107="",$Q107="",$Q107=0),"",($J107+$R107)/($Q107*(1-Assumptions!$B$4)))</f>
        <v/>
      </c>
      <c r="T107" s="43" t="str">
        <f aca="false">IF(OR($K107="",$S107="",$S107=0),"",$K107/$S107)</f>
        <v/>
      </c>
      <c r="U107" s="44" t="str">
        <f aca="false">IF(OR($K107="",$Q107=""),"",MAX(0,($K107-MAX($K107*Assumptions!$B$4,Assumptions!$B$5))*$Q107-$R107))</f>
        <v/>
      </c>
      <c r="V107" s="40" t="str">
        <f aca="false">IF($A107="","",IF($O107="FAIL","REJECT",IF($J107="","NEEDS PRICE",IF(OR($K107="",$L107=""),"NEEDS VALUATION",IF($T107&gt;=Assumptions!$B$13,"BUY",IF($T107&gt;=1,"MARGINAL","PASS"))))))</f>
        <v>NEEDS PRICE</v>
      </c>
      <c r="W107" s="25" t="s">
        <v>177</v>
      </c>
      <c r="X107" s="35" t="s">
        <v>383</v>
      </c>
    </row>
    <row r="108" customFormat="false" ht="15" hidden="false" customHeight="false" outlineLevel="0" collapsed="false">
      <c r="A108" s="22" t="s">
        <v>384</v>
      </c>
      <c r="B108" s="36" t="str">
        <f aca="false">IF($A108="","",IF(ISERROR(FIND(".",$A108)),"",LOWER(MID($A108,FIND(CHAR(1),SUBSTITUTE($A108,".",CHAR(1),LEN($A108)-LEN(SUBSTITUTE($A108,".",""))))+1,LEN($A108)))))</f>
        <v>com</v>
      </c>
      <c r="C108" s="37" t="n">
        <f aca="false">IF($B108="","",IFERROR(INDEX(Rubric!$B$14:$B$23,MATCH($B108,Rubric!$A$14:$A$23,0)),INDEX(Rubric!$B$14:$B$23,MATCH("other",Rubric!$A$14:$A$23,0))))</f>
        <v>5</v>
      </c>
      <c r="D108" s="25" t="n">
        <v>3</v>
      </c>
      <c r="E108" s="25" t="n">
        <v>2</v>
      </c>
      <c r="F108" s="25" t="n">
        <v>3</v>
      </c>
      <c r="G108" s="25" t="n">
        <v>4</v>
      </c>
      <c r="H108" s="25" t="s">
        <v>176</v>
      </c>
      <c r="I108" s="25" t="s">
        <v>176</v>
      </c>
      <c r="J108" s="26"/>
      <c r="K108" s="27"/>
      <c r="L108" s="25"/>
      <c r="M108" s="38" t="n">
        <f aca="false">IF($B108="","",IFERROR(INDEX(Rubric!$C$14:$C$23,MATCH($B108,Rubric!$A$14:$A$23,0)),INDEX(Rubric!$C$14:$C$23,MATCH("other",Rubric!$A$14:$A$23,0))))</f>
        <v>11</v>
      </c>
      <c r="N108" s="39" t="n">
        <f aca="false">IF(OR($A108="",$C108=""),"",$C108*Rubric!$B$5+$D108*Rubric!$B$6+$E108*Rubric!$B$7+$F108*Rubric!$B$8+$G108*Rubric!$B$9)</f>
        <v>3.32</v>
      </c>
      <c r="O108" s="40" t="str">
        <f aca="false">IF($A108="","",IF(OR(UPPER($H108)="Y",UPPER($I108)="Y"),"FAIL","PASS"))</f>
        <v>PASS</v>
      </c>
      <c r="P108" s="41" t="n">
        <f aca="false">IF($N108="","",Assumptions!$B$6*MAX(0.05,($N108/Assumptions!$B$11)^Assumptions!$B$12))</f>
        <v>0.0110666666666667</v>
      </c>
      <c r="Q108" s="41" t="n">
        <f aca="false">IF($P108="","",1-(1-$P108)^Assumptions!$B$7)</f>
        <v>0.0541221008619774</v>
      </c>
      <c r="R108" s="42" t="n">
        <f aca="false">IF($M108="","",$M108*Assumptions!$B$7)</f>
        <v>55</v>
      </c>
      <c r="S108" s="42" t="str">
        <f aca="false">IF(OR($J108="",$Q108="",$Q108=0),"",($J108+$R108)/($Q108*(1-Assumptions!$B$4)))</f>
        <v/>
      </c>
      <c r="T108" s="43" t="str">
        <f aca="false">IF(OR($K108="",$S108="",$S108=0),"",$K108/$S108)</f>
        <v/>
      </c>
      <c r="U108" s="44" t="str">
        <f aca="false">IF(OR($K108="",$Q108=""),"",MAX(0,($K108-MAX($K108*Assumptions!$B$4,Assumptions!$B$5))*$Q108-$R108))</f>
        <v/>
      </c>
      <c r="V108" s="40" t="str">
        <f aca="false">IF($A108="","",IF($O108="FAIL","REJECT",IF($J108="","NEEDS PRICE",IF(OR($K108="",$L108=""),"NEEDS VALUATION",IF($T108&gt;=Assumptions!$B$13,"BUY",IF($T108&gt;=1,"MARGINAL","PASS"))))))</f>
        <v>NEEDS PRICE</v>
      </c>
      <c r="W108" s="25" t="s">
        <v>177</v>
      </c>
      <c r="X108" s="35" t="s">
        <v>385</v>
      </c>
    </row>
    <row r="109" customFormat="false" ht="15" hidden="false" customHeight="false" outlineLevel="0" collapsed="false">
      <c r="A109" s="22" t="s">
        <v>386</v>
      </c>
      <c r="B109" s="36" t="str">
        <f aca="false">IF($A109="","",IF(ISERROR(FIND(".",$A109)),"",LOWER(MID($A109,FIND(CHAR(1),SUBSTITUTE($A109,".",CHAR(1),LEN($A109)-LEN(SUBSTITUTE($A109,".",""))))+1,LEN($A109)))))</f>
        <v>com</v>
      </c>
      <c r="C109" s="37" t="n">
        <f aca="false">IF($B109="","",IFERROR(INDEX(Rubric!$B$14:$B$23,MATCH($B109,Rubric!$A$14:$A$23,0)),INDEX(Rubric!$B$14:$B$23,MATCH("other",Rubric!$A$14:$A$23,0))))</f>
        <v>5</v>
      </c>
      <c r="D109" s="25" t="n">
        <v>4</v>
      </c>
      <c r="E109" s="25" t="n">
        <v>3</v>
      </c>
      <c r="F109" s="25" t="n">
        <v>5</v>
      </c>
      <c r="G109" s="25" t="n">
        <v>5</v>
      </c>
      <c r="H109" s="25" t="s">
        <v>176</v>
      </c>
      <c r="I109" s="25" t="s">
        <v>176</v>
      </c>
      <c r="J109" s="26"/>
      <c r="K109" s="27"/>
      <c r="L109" s="25"/>
      <c r="M109" s="38" t="n">
        <f aca="false">IF($B109="","",IFERROR(INDEX(Rubric!$C$14:$C$23,MATCH($B109,Rubric!$A$14:$A$23,0)),INDEX(Rubric!$C$14:$C$23,MATCH("other",Rubric!$A$14:$A$23,0))))</f>
        <v>11</v>
      </c>
      <c r="N109" s="39" t="n">
        <f aca="false">IF(OR($A109="",$C109=""),"",$C109*Rubric!$B$5+$D109*Rubric!$B$6+$E109*Rubric!$B$7+$F109*Rubric!$B$8+$G109*Rubric!$B$9)</f>
        <v>4.26</v>
      </c>
      <c r="O109" s="40" t="str">
        <f aca="false">IF($A109="","",IF(OR(UPPER($H109)="Y",UPPER($I109)="Y"),"FAIL","PASS"))</f>
        <v>PASS</v>
      </c>
      <c r="P109" s="41" t="n">
        <f aca="false">IF($N109="","",Assumptions!$B$6*MAX(0.05,($N109/Assumptions!$B$11)^Assumptions!$B$12))</f>
        <v>0.0142</v>
      </c>
      <c r="Q109" s="41" t="n">
        <f aca="false">IF($P109="","",1-(1-$P109)^Assumptions!$B$7)</f>
        <v>0.0690120301639053</v>
      </c>
      <c r="R109" s="42" t="n">
        <f aca="false">IF($M109="","",$M109*Assumptions!$B$7)</f>
        <v>55</v>
      </c>
      <c r="S109" s="42" t="str">
        <f aca="false">IF(OR($J109="",$Q109="",$Q109=0),"",($J109+$R109)/($Q109*(1-Assumptions!$B$4)))</f>
        <v/>
      </c>
      <c r="T109" s="43" t="str">
        <f aca="false">IF(OR($K109="",$S109="",$S109=0),"",$K109/$S109)</f>
        <v/>
      </c>
      <c r="U109" s="44" t="str">
        <f aca="false">IF(OR($K109="",$Q109=""),"",MAX(0,($K109-MAX($K109*Assumptions!$B$4,Assumptions!$B$5))*$Q109-$R109))</f>
        <v/>
      </c>
      <c r="V109" s="40" t="str">
        <f aca="false">IF($A109="","",IF($O109="FAIL","REJECT",IF($J109="","NEEDS PRICE",IF(OR($K109="",$L109=""),"NEEDS VALUATION",IF($T109&gt;=Assumptions!$B$13,"BUY",IF($T109&gt;=1,"MARGINAL","PASS"))))))</f>
        <v>NEEDS PRICE</v>
      </c>
      <c r="W109" s="25" t="s">
        <v>177</v>
      </c>
      <c r="X109" s="35" t="s">
        <v>387</v>
      </c>
    </row>
    <row r="110" customFormat="false" ht="15" hidden="false" customHeight="false" outlineLevel="0" collapsed="false">
      <c r="A110" s="22" t="s">
        <v>388</v>
      </c>
      <c r="B110" s="36" t="str">
        <f aca="false">IF($A110="","",IF(ISERROR(FIND(".",$A110)),"",LOWER(MID($A110,FIND(CHAR(1),SUBSTITUTE($A110,".",CHAR(1),LEN($A110)-LEN(SUBSTITUTE($A110,".",""))))+1,LEN($A110)))))</f>
        <v>com</v>
      </c>
      <c r="C110" s="37" t="n">
        <f aca="false">IF($B110="","",IFERROR(INDEX(Rubric!$B$14:$B$23,MATCH($B110,Rubric!$A$14:$A$23,0)),INDEX(Rubric!$B$14:$B$23,MATCH("other",Rubric!$A$14:$A$23,0))))</f>
        <v>5</v>
      </c>
      <c r="D110" s="25" t="n">
        <v>3</v>
      </c>
      <c r="E110" s="25" t="n">
        <v>2</v>
      </c>
      <c r="F110" s="25" t="n">
        <v>5</v>
      </c>
      <c r="G110" s="25" t="n">
        <v>4</v>
      </c>
      <c r="H110" s="25" t="s">
        <v>176</v>
      </c>
      <c r="I110" s="25" t="s">
        <v>176</v>
      </c>
      <c r="J110" s="26" t="n">
        <v>2988</v>
      </c>
      <c r="K110" s="27"/>
      <c r="L110" s="25"/>
      <c r="M110" s="38" t="n">
        <f aca="false">IF($B110="","",IFERROR(INDEX(Rubric!$C$14:$C$23,MATCH($B110,Rubric!$A$14:$A$23,0)),INDEX(Rubric!$C$14:$C$23,MATCH("other",Rubric!$A$14:$A$23,0))))</f>
        <v>11</v>
      </c>
      <c r="N110" s="39" t="n">
        <f aca="false">IF(OR($A110="",$C110=""),"",$C110*Rubric!$B$5+$D110*Rubric!$B$6+$E110*Rubric!$B$7+$F110*Rubric!$B$8+$G110*Rubric!$B$9)</f>
        <v>3.64</v>
      </c>
      <c r="O110" s="40" t="str">
        <f aca="false">IF($A110="","",IF(OR(UPPER($H110)="Y",UPPER($I110)="Y"),"FAIL","PASS"))</f>
        <v>PASS</v>
      </c>
      <c r="P110" s="41" t="n">
        <f aca="false">IF($N110="","",Assumptions!$B$6*MAX(0.05,($N110/Assumptions!$B$11)^Assumptions!$B$12))</f>
        <v>0.0121333333333333</v>
      </c>
      <c r="Q110" s="41" t="n">
        <f aca="false">IF($P110="","",1-(1-$P110)^Assumptions!$B$7)</f>
        <v>0.0592122432101887</v>
      </c>
      <c r="R110" s="42" t="n">
        <f aca="false">IF($M110="","",$M110*Assumptions!$B$7)</f>
        <v>55</v>
      </c>
      <c r="S110" s="42" t="n">
        <f aca="false">IF(OR($J110="",$Q110="",$Q110=0),"",($J110+$R110)/($Q110*(1-Assumptions!$B$4)))</f>
        <v>64239.24840168</v>
      </c>
      <c r="T110" s="43" t="str">
        <f aca="false">IF(OR($K110="",$S110="",$S110=0),"",$K110/$S110)</f>
        <v/>
      </c>
      <c r="U110" s="44" t="str">
        <f aca="false">IF(OR($K110="",$Q110=""),"",MAX(0,($K110-MAX($K110*Assumptions!$B$4,Assumptions!$B$5))*$Q110-$R110))</f>
        <v/>
      </c>
      <c r="V110" s="40" t="str">
        <f aca="false">IF($A110="","",IF($O110="FAIL","REJECT",IF($J110="","NEEDS PRICE",IF(OR($K110="",$L110=""),"NEEDS VALUATION",IF($T110&gt;=Assumptions!$B$13,"BUY",IF($T110&gt;=1,"MARGINAL","PASS"))))))</f>
        <v>NEEDS VALUATION</v>
      </c>
      <c r="W110" s="25" t="s">
        <v>204</v>
      </c>
      <c r="X110" s="35" t="s">
        <v>389</v>
      </c>
    </row>
    <row r="111" customFormat="false" ht="23.85" hidden="false" customHeight="false" outlineLevel="0" collapsed="false">
      <c r="A111" s="22" t="s">
        <v>390</v>
      </c>
      <c r="B111" s="36" t="str">
        <f aca="false">IF($A111="","",IF(ISERROR(FIND(".",$A111)),"",LOWER(MID($A111,FIND(CHAR(1),SUBSTITUTE($A111,".",CHAR(1),LEN($A111)-LEN(SUBSTITUTE($A111,".",""))))+1,LEN($A111)))))</f>
        <v>com</v>
      </c>
      <c r="C111" s="37" t="n">
        <f aca="false">IF($B111="","",IFERROR(INDEX(Rubric!$B$14:$B$23,MATCH($B111,Rubric!$A$14:$A$23,0)),INDEX(Rubric!$B$14:$B$23,MATCH("other",Rubric!$A$14:$A$23,0))))</f>
        <v>5</v>
      </c>
      <c r="D111" s="25" t="n">
        <v>3</v>
      </c>
      <c r="E111" s="25" t="n">
        <v>3</v>
      </c>
      <c r="F111" s="25" t="n">
        <v>5</v>
      </c>
      <c r="G111" s="25" t="n">
        <v>5</v>
      </c>
      <c r="H111" s="25" t="s">
        <v>176</v>
      </c>
      <c r="I111" s="25" t="s">
        <v>176</v>
      </c>
      <c r="J111" s="26"/>
      <c r="K111" s="27"/>
      <c r="L111" s="25"/>
      <c r="M111" s="38" t="n">
        <f aca="false">IF($B111="","",IFERROR(INDEX(Rubric!$C$14:$C$23,MATCH($B111,Rubric!$A$14:$A$23,0)),INDEX(Rubric!$C$14:$C$23,MATCH("other",Rubric!$A$14:$A$23,0))))</f>
        <v>11</v>
      </c>
      <c r="N111" s="39" t="n">
        <f aca="false">IF(OR($A111="",$C111=""),"",$C111*Rubric!$B$5+$D111*Rubric!$B$6+$E111*Rubric!$B$7+$F111*Rubric!$B$8+$G111*Rubric!$B$9)</f>
        <v>3.96</v>
      </c>
      <c r="O111" s="40" t="str">
        <f aca="false">IF($A111="","",IF(OR(UPPER($H111)="Y",UPPER($I111)="Y"),"FAIL","PASS"))</f>
        <v>PASS</v>
      </c>
      <c r="P111" s="41" t="n">
        <f aca="false">IF($N111="","",Assumptions!$B$6*MAX(0.05,($N111/Assumptions!$B$11)^Assumptions!$B$12))</f>
        <v>0.0132</v>
      </c>
      <c r="Q111" s="41" t="n">
        <f aca="false">IF($P111="","",1-(1-$P111)^Assumptions!$B$7)</f>
        <v>0.0642804482828584</v>
      </c>
      <c r="R111" s="42" t="n">
        <f aca="false">IF($M111="","",$M111*Assumptions!$B$7)</f>
        <v>55</v>
      </c>
      <c r="S111" s="42" t="str">
        <f aca="false">IF(OR($J111="",$Q111="",$Q111=0),"",($J111+$R111)/($Q111*(1-Assumptions!$B$4)))</f>
        <v/>
      </c>
      <c r="T111" s="43" t="str">
        <f aca="false">IF(OR($K111="",$S111="",$S111=0),"",$K111/$S111)</f>
        <v/>
      </c>
      <c r="U111" s="44" t="str">
        <f aca="false">IF(OR($K111="",$Q111=""),"",MAX(0,($K111-MAX($K111*Assumptions!$B$4,Assumptions!$B$5))*$Q111-$R111))</f>
        <v/>
      </c>
      <c r="V111" s="40" t="str">
        <f aca="false">IF($A111="","",IF($O111="FAIL","REJECT",IF($J111="","NEEDS PRICE",IF(OR($K111="",$L111=""),"NEEDS VALUATION",IF($T111&gt;=Assumptions!$B$13,"BUY",IF($T111&gt;=1,"MARGINAL","PASS"))))))</f>
        <v>NEEDS PRICE</v>
      </c>
      <c r="W111" s="25" t="s">
        <v>177</v>
      </c>
      <c r="X111" s="35" t="s">
        <v>391</v>
      </c>
    </row>
    <row r="112" customFormat="false" ht="15" hidden="false" customHeight="false" outlineLevel="0" collapsed="false">
      <c r="A112" s="22" t="s">
        <v>392</v>
      </c>
      <c r="B112" s="36" t="str">
        <f aca="false">IF($A112="","",IF(ISERROR(FIND(".",$A112)),"",LOWER(MID($A112,FIND(CHAR(1),SUBSTITUTE($A112,".",CHAR(1),LEN($A112)-LEN(SUBSTITUTE($A112,".",""))))+1,LEN($A112)))))</f>
        <v>com</v>
      </c>
      <c r="C112" s="37" t="n">
        <f aca="false">IF($B112="","",IFERROR(INDEX(Rubric!$B$14:$B$23,MATCH($B112,Rubric!$A$14:$A$23,0)),INDEX(Rubric!$B$14:$B$23,MATCH("other",Rubric!$A$14:$A$23,0))))</f>
        <v>5</v>
      </c>
      <c r="D112" s="25" t="n">
        <v>3</v>
      </c>
      <c r="E112" s="25" t="n">
        <v>2</v>
      </c>
      <c r="F112" s="25" t="n">
        <v>4</v>
      </c>
      <c r="G112" s="25" t="n">
        <v>4</v>
      </c>
      <c r="H112" s="25" t="s">
        <v>176</v>
      </c>
      <c r="I112" s="25" t="s">
        <v>176</v>
      </c>
      <c r="J112" s="26"/>
      <c r="K112" s="27"/>
      <c r="L112" s="25"/>
      <c r="M112" s="38" t="n">
        <f aca="false">IF($B112="","",IFERROR(INDEX(Rubric!$C$14:$C$23,MATCH($B112,Rubric!$A$14:$A$23,0)),INDEX(Rubric!$C$14:$C$23,MATCH("other",Rubric!$A$14:$A$23,0))))</f>
        <v>11</v>
      </c>
      <c r="N112" s="39" t="n">
        <f aca="false">IF(OR($A112="",$C112=""),"",$C112*Rubric!$B$5+$D112*Rubric!$B$6+$E112*Rubric!$B$7+$F112*Rubric!$B$8+$G112*Rubric!$B$9)</f>
        <v>3.48</v>
      </c>
      <c r="O112" s="40" t="str">
        <f aca="false">IF($A112="","",IF(OR(UPPER($H112)="Y",UPPER($I112)="Y"),"FAIL","PASS"))</f>
        <v>PASS</v>
      </c>
      <c r="P112" s="41" t="n">
        <f aca="false">IF($N112="","",Assumptions!$B$6*MAX(0.05,($N112/Assumptions!$B$11)^Assumptions!$B$12))</f>
        <v>0.0116</v>
      </c>
      <c r="Q112" s="41" t="n">
        <f aca="false">IF($P112="","",1-(1-$P112)^Assumptions!$B$7)</f>
        <v>0.0566699186380665</v>
      </c>
      <c r="R112" s="42" t="n">
        <f aca="false">IF($M112="","",$M112*Assumptions!$B$7)</f>
        <v>55</v>
      </c>
      <c r="S112" s="42" t="str">
        <f aca="false">IF(OR($J112="",$Q112="",$Q112=0),"",($J112+$R112)/($Q112*(1-Assumptions!$B$4)))</f>
        <v/>
      </c>
      <c r="T112" s="43" t="str">
        <f aca="false">IF(OR($K112="",$S112="",$S112=0),"",$K112/$S112)</f>
        <v/>
      </c>
      <c r="U112" s="44" t="str">
        <f aca="false">IF(OR($K112="",$Q112=""),"",MAX(0,($K112-MAX($K112*Assumptions!$B$4,Assumptions!$B$5))*$Q112-$R112))</f>
        <v/>
      </c>
      <c r="V112" s="40" t="str">
        <f aca="false">IF($A112="","",IF($O112="FAIL","REJECT",IF($J112="","NEEDS PRICE",IF(OR($K112="",$L112=""),"NEEDS VALUATION",IF($T112&gt;=Assumptions!$B$13,"BUY",IF($T112&gt;=1,"MARGINAL","PASS"))))))</f>
        <v>NEEDS PRICE</v>
      </c>
      <c r="W112" s="25" t="s">
        <v>177</v>
      </c>
      <c r="X112" s="35" t="s">
        <v>393</v>
      </c>
    </row>
    <row r="113" customFormat="false" ht="23.85" hidden="false" customHeight="false" outlineLevel="0" collapsed="false">
      <c r="A113" s="22" t="s">
        <v>394</v>
      </c>
      <c r="B113" s="36" t="str">
        <f aca="false">IF($A113="","",IF(ISERROR(FIND(".",$A113)),"",LOWER(MID($A113,FIND(CHAR(1),SUBSTITUTE($A113,".",CHAR(1),LEN($A113)-LEN(SUBSTITUTE($A113,".",""))))+1,LEN($A113)))))</f>
        <v>com</v>
      </c>
      <c r="C113" s="37" t="n">
        <f aca="false">IF($B113="","",IFERROR(INDEX(Rubric!$B$14:$B$23,MATCH($B113,Rubric!$A$14:$A$23,0)),INDEX(Rubric!$B$14:$B$23,MATCH("other",Rubric!$A$14:$A$23,0))))</f>
        <v>5</v>
      </c>
      <c r="D113" s="25" t="n">
        <v>5</v>
      </c>
      <c r="E113" s="25" t="n">
        <v>4</v>
      </c>
      <c r="F113" s="25" t="n">
        <v>5</v>
      </c>
      <c r="G113" s="25" t="n">
        <v>5</v>
      </c>
      <c r="H113" s="25" t="s">
        <v>176</v>
      </c>
      <c r="I113" s="25" t="s">
        <v>176</v>
      </c>
      <c r="J113" s="26"/>
      <c r="K113" s="27"/>
      <c r="L113" s="25"/>
      <c r="M113" s="38" t="n">
        <f aca="false">IF($B113="","",IFERROR(INDEX(Rubric!$C$14:$C$23,MATCH($B113,Rubric!$A$14:$A$23,0)),INDEX(Rubric!$C$14:$C$23,MATCH("other",Rubric!$A$14:$A$23,0))))</f>
        <v>11</v>
      </c>
      <c r="N113" s="39" t="n">
        <f aca="false">IF(OR($A113="",$C113=""),"",$C113*Rubric!$B$5+$D113*Rubric!$B$6+$E113*Rubric!$B$7+$F113*Rubric!$B$8+$G113*Rubric!$B$9)</f>
        <v>4.78</v>
      </c>
      <c r="O113" s="40" t="str">
        <f aca="false">IF($A113="","",IF(OR(UPPER($H113)="Y",UPPER($I113)="Y"),"FAIL","PASS"))</f>
        <v>PASS</v>
      </c>
      <c r="P113" s="41" t="n">
        <f aca="false">IF($N113="","",Assumptions!$B$6*MAX(0.05,($N113/Assumptions!$B$11)^Assumptions!$B$12))</f>
        <v>0.0159333333333333</v>
      </c>
      <c r="Q113" s="41" t="n">
        <f aca="false">IF($P113="","",1-(1-$P113)^Assumptions!$B$7)</f>
        <v>0.0771680844601327</v>
      </c>
      <c r="R113" s="42" t="n">
        <f aca="false">IF($M113="","",$M113*Assumptions!$B$7)</f>
        <v>55</v>
      </c>
      <c r="S113" s="42" t="str">
        <f aca="false">IF(OR($J113="",$Q113="",$Q113=0),"",($J113+$R113)/($Q113*(1-Assumptions!$B$4)))</f>
        <v/>
      </c>
      <c r="T113" s="43" t="str">
        <f aca="false">IF(OR($K113="",$S113="",$S113=0),"",$K113/$S113)</f>
        <v/>
      </c>
      <c r="U113" s="44" t="str">
        <f aca="false">IF(OR($K113="",$Q113=""),"",MAX(0,($K113-MAX($K113*Assumptions!$B$4,Assumptions!$B$5))*$Q113-$R113))</f>
        <v/>
      </c>
      <c r="V113" s="40" t="str">
        <f aca="false">IF($A113="","",IF($O113="FAIL","REJECT",IF($J113="","NEEDS PRICE",IF(OR($K113="",$L113=""),"NEEDS VALUATION",IF($T113&gt;=Assumptions!$B$13,"BUY",IF($T113&gt;=1,"MARGINAL","PASS"))))))</f>
        <v>NEEDS PRICE</v>
      </c>
      <c r="W113" s="25" t="s">
        <v>395</v>
      </c>
      <c r="X113" s="35" t="s">
        <v>396</v>
      </c>
    </row>
    <row r="114" customFormat="false" ht="23.85" hidden="false" customHeight="false" outlineLevel="0" collapsed="false">
      <c r="A114" s="22" t="s">
        <v>397</v>
      </c>
      <c r="B114" s="36" t="str">
        <f aca="false">IF($A114="","",IF(ISERROR(FIND(".",$A114)),"",LOWER(MID($A114,FIND(CHAR(1),SUBSTITUTE($A114,".",CHAR(1),LEN($A114)-LEN(SUBSTITUTE($A114,".",""))))+1,LEN($A114)))))</f>
        <v>com</v>
      </c>
      <c r="C114" s="37" t="n">
        <f aca="false">IF($B114="","",IFERROR(INDEX(Rubric!$B$14:$B$23,MATCH($B114,Rubric!$A$14:$A$23,0)),INDEX(Rubric!$B$14:$B$23,MATCH("other",Rubric!$A$14:$A$23,0))))</f>
        <v>5</v>
      </c>
      <c r="D114" s="25" t="n">
        <v>5</v>
      </c>
      <c r="E114" s="25" t="n">
        <v>4</v>
      </c>
      <c r="F114" s="25" t="n">
        <v>5</v>
      </c>
      <c r="G114" s="25" t="n">
        <v>5</v>
      </c>
      <c r="H114" s="25" t="s">
        <v>176</v>
      </c>
      <c r="I114" s="25" t="s">
        <v>176</v>
      </c>
      <c r="J114" s="26"/>
      <c r="K114" s="27"/>
      <c r="L114" s="25"/>
      <c r="M114" s="38" t="n">
        <f aca="false">IF($B114="","",IFERROR(INDEX(Rubric!$C$14:$C$23,MATCH($B114,Rubric!$A$14:$A$23,0)),INDEX(Rubric!$C$14:$C$23,MATCH("other",Rubric!$A$14:$A$23,0))))</f>
        <v>11</v>
      </c>
      <c r="N114" s="39" t="n">
        <f aca="false">IF(OR($A114="",$C114=""),"",$C114*Rubric!$B$5+$D114*Rubric!$B$6+$E114*Rubric!$B$7+$F114*Rubric!$B$8+$G114*Rubric!$B$9)</f>
        <v>4.78</v>
      </c>
      <c r="O114" s="40" t="str">
        <f aca="false">IF($A114="","",IF(OR(UPPER($H114)="Y",UPPER($I114)="Y"),"FAIL","PASS"))</f>
        <v>PASS</v>
      </c>
      <c r="P114" s="41" t="n">
        <f aca="false">IF($N114="","",Assumptions!$B$6*MAX(0.05,($N114/Assumptions!$B$11)^Assumptions!$B$12))</f>
        <v>0.0159333333333333</v>
      </c>
      <c r="Q114" s="41" t="n">
        <f aca="false">IF($P114="","",1-(1-$P114)^Assumptions!$B$7)</f>
        <v>0.0771680844601327</v>
      </c>
      <c r="R114" s="42" t="n">
        <f aca="false">IF($M114="","",$M114*Assumptions!$B$7)</f>
        <v>55</v>
      </c>
      <c r="S114" s="42" t="str">
        <f aca="false">IF(OR($J114="",$Q114="",$Q114=0),"",($J114+$R114)/($Q114*(1-Assumptions!$B$4)))</f>
        <v/>
      </c>
      <c r="T114" s="43" t="str">
        <f aca="false">IF(OR($K114="",$S114="",$S114=0),"",$K114/$S114)</f>
        <v/>
      </c>
      <c r="U114" s="44" t="str">
        <f aca="false">IF(OR($K114="",$Q114=""),"",MAX(0,($K114-MAX($K114*Assumptions!$B$4,Assumptions!$B$5))*$Q114-$R114))</f>
        <v/>
      </c>
      <c r="V114" s="40" t="str">
        <f aca="false">IF($A114="","",IF($O114="FAIL","REJECT",IF($J114="","NEEDS PRICE",IF(OR($K114="",$L114=""),"NEEDS VALUATION",IF($T114&gt;=Assumptions!$B$13,"BUY",IF($T114&gt;=1,"MARGINAL","PASS"))))))</f>
        <v>NEEDS PRICE</v>
      </c>
      <c r="W114" s="25" t="s">
        <v>395</v>
      </c>
      <c r="X114" s="35" t="s">
        <v>398</v>
      </c>
    </row>
    <row r="115" customFormat="false" ht="15" hidden="false" customHeight="false" outlineLevel="0" collapsed="false">
      <c r="A115" s="22" t="s">
        <v>399</v>
      </c>
      <c r="B115" s="36" t="str">
        <f aca="false">IF($A115="","",IF(ISERROR(FIND(".",$A115)),"",LOWER(MID($A115,FIND(CHAR(1),SUBSTITUTE($A115,".",CHAR(1),LEN($A115)-LEN(SUBSTITUTE($A115,".",""))))+1,LEN($A115)))))</f>
        <v>com</v>
      </c>
      <c r="C115" s="37" t="n">
        <f aca="false">IF($B115="","",IFERROR(INDEX(Rubric!$B$14:$B$23,MATCH($B115,Rubric!$A$14:$A$23,0)),INDEX(Rubric!$B$14:$B$23,MATCH("other",Rubric!$A$14:$A$23,0))))</f>
        <v>5</v>
      </c>
      <c r="D115" s="25" t="n">
        <v>5</v>
      </c>
      <c r="E115" s="25" t="n">
        <v>4</v>
      </c>
      <c r="F115" s="25" t="n">
        <v>5</v>
      </c>
      <c r="G115" s="25" t="n">
        <v>5</v>
      </c>
      <c r="H115" s="25" t="s">
        <v>176</v>
      </c>
      <c r="I115" s="25" t="s">
        <v>176</v>
      </c>
      <c r="J115" s="26"/>
      <c r="K115" s="27"/>
      <c r="L115" s="25"/>
      <c r="M115" s="38" t="n">
        <f aca="false">IF($B115="","",IFERROR(INDEX(Rubric!$C$14:$C$23,MATCH($B115,Rubric!$A$14:$A$23,0)),INDEX(Rubric!$C$14:$C$23,MATCH("other",Rubric!$A$14:$A$23,0))))</f>
        <v>11</v>
      </c>
      <c r="N115" s="39" t="n">
        <f aca="false">IF(OR($A115="",$C115=""),"",$C115*Rubric!$B$5+$D115*Rubric!$B$6+$E115*Rubric!$B$7+$F115*Rubric!$B$8+$G115*Rubric!$B$9)</f>
        <v>4.78</v>
      </c>
      <c r="O115" s="40" t="str">
        <f aca="false">IF($A115="","",IF(OR(UPPER($H115)="Y",UPPER($I115)="Y"),"FAIL","PASS"))</f>
        <v>PASS</v>
      </c>
      <c r="P115" s="41" t="n">
        <f aca="false">IF($N115="","",Assumptions!$B$6*MAX(0.05,($N115/Assumptions!$B$11)^Assumptions!$B$12))</f>
        <v>0.0159333333333333</v>
      </c>
      <c r="Q115" s="41" t="n">
        <f aca="false">IF($P115="","",1-(1-$P115)^Assumptions!$B$7)</f>
        <v>0.0771680844601327</v>
      </c>
      <c r="R115" s="42" t="n">
        <f aca="false">IF($M115="","",$M115*Assumptions!$B$7)</f>
        <v>55</v>
      </c>
      <c r="S115" s="42" t="str">
        <f aca="false">IF(OR($J115="",$Q115="",$Q115=0),"",($J115+$R115)/($Q115*(1-Assumptions!$B$4)))</f>
        <v/>
      </c>
      <c r="T115" s="43" t="str">
        <f aca="false">IF(OR($K115="",$S115="",$S115=0),"",$K115/$S115)</f>
        <v/>
      </c>
      <c r="U115" s="44" t="str">
        <f aca="false">IF(OR($K115="",$Q115=""),"",MAX(0,($K115-MAX($K115*Assumptions!$B$4,Assumptions!$B$5))*$Q115-$R115))</f>
        <v/>
      </c>
      <c r="V115" s="40" t="str">
        <f aca="false">IF($A115="","",IF($O115="FAIL","REJECT",IF($J115="","NEEDS PRICE",IF(OR($K115="",$L115=""),"NEEDS VALUATION",IF($T115&gt;=Assumptions!$B$13,"BUY",IF($T115&gt;=1,"MARGINAL","PASS"))))))</f>
        <v>NEEDS PRICE</v>
      </c>
      <c r="W115" s="25" t="s">
        <v>395</v>
      </c>
      <c r="X115" s="35" t="s">
        <v>400</v>
      </c>
    </row>
    <row r="116" customFormat="false" ht="23.85" hidden="false" customHeight="false" outlineLevel="0" collapsed="false">
      <c r="A116" s="22" t="s">
        <v>401</v>
      </c>
      <c r="B116" s="36" t="str">
        <f aca="false">IF($A116="","",IF(ISERROR(FIND(".",$A116)),"",LOWER(MID($A116,FIND(CHAR(1),SUBSTITUTE($A116,".",CHAR(1),LEN($A116)-LEN(SUBSTITUTE($A116,".",""))))+1,LEN($A116)))))</f>
        <v>com</v>
      </c>
      <c r="C116" s="37" t="n">
        <f aca="false">IF($B116="","",IFERROR(INDEX(Rubric!$B$14:$B$23,MATCH($B116,Rubric!$A$14:$A$23,0)),INDEX(Rubric!$B$14:$B$23,MATCH("other",Rubric!$A$14:$A$23,0))))</f>
        <v>5</v>
      </c>
      <c r="D116" s="25" t="n">
        <v>5</v>
      </c>
      <c r="E116" s="25" t="n">
        <v>4</v>
      </c>
      <c r="F116" s="25" t="n">
        <v>5</v>
      </c>
      <c r="G116" s="25" t="n">
        <v>5</v>
      </c>
      <c r="H116" s="25" t="s">
        <v>176</v>
      </c>
      <c r="I116" s="25" t="s">
        <v>176</v>
      </c>
      <c r="J116" s="26"/>
      <c r="K116" s="27"/>
      <c r="L116" s="25"/>
      <c r="M116" s="38" t="n">
        <f aca="false">IF($B116="","",IFERROR(INDEX(Rubric!$C$14:$C$23,MATCH($B116,Rubric!$A$14:$A$23,0)),INDEX(Rubric!$C$14:$C$23,MATCH("other",Rubric!$A$14:$A$23,0))))</f>
        <v>11</v>
      </c>
      <c r="N116" s="39" t="n">
        <f aca="false">IF(OR($A116="",$C116=""),"",$C116*Rubric!$B$5+$D116*Rubric!$B$6+$E116*Rubric!$B$7+$F116*Rubric!$B$8+$G116*Rubric!$B$9)</f>
        <v>4.78</v>
      </c>
      <c r="O116" s="40" t="str">
        <f aca="false">IF($A116="","",IF(OR(UPPER($H116)="Y",UPPER($I116)="Y"),"FAIL","PASS"))</f>
        <v>PASS</v>
      </c>
      <c r="P116" s="41" t="n">
        <f aca="false">IF($N116="","",Assumptions!$B$6*MAX(0.05,($N116/Assumptions!$B$11)^Assumptions!$B$12))</f>
        <v>0.0159333333333333</v>
      </c>
      <c r="Q116" s="41" t="n">
        <f aca="false">IF($P116="","",1-(1-$P116)^Assumptions!$B$7)</f>
        <v>0.0771680844601327</v>
      </c>
      <c r="R116" s="42" t="n">
        <f aca="false">IF($M116="","",$M116*Assumptions!$B$7)</f>
        <v>55</v>
      </c>
      <c r="S116" s="42" t="str">
        <f aca="false">IF(OR($J116="",$Q116="",$Q116=0),"",($J116+$R116)/($Q116*(1-Assumptions!$B$4)))</f>
        <v/>
      </c>
      <c r="T116" s="43" t="str">
        <f aca="false">IF(OR($K116="",$S116="",$S116=0),"",$K116/$S116)</f>
        <v/>
      </c>
      <c r="U116" s="44" t="str">
        <f aca="false">IF(OR($K116="",$Q116=""),"",MAX(0,($K116-MAX($K116*Assumptions!$B$4,Assumptions!$B$5))*$Q116-$R116))</f>
        <v/>
      </c>
      <c r="V116" s="40" t="str">
        <f aca="false">IF($A116="","",IF($O116="FAIL","REJECT",IF($J116="","NEEDS PRICE",IF(OR($K116="",$L116=""),"NEEDS VALUATION",IF($T116&gt;=Assumptions!$B$13,"BUY",IF($T116&gt;=1,"MARGINAL","PASS"))))))</f>
        <v>NEEDS PRICE</v>
      </c>
      <c r="W116" s="25" t="s">
        <v>395</v>
      </c>
      <c r="X116" s="35" t="s">
        <v>402</v>
      </c>
    </row>
    <row r="117" customFormat="false" ht="23.85" hidden="false" customHeight="false" outlineLevel="0" collapsed="false">
      <c r="A117" s="22" t="s">
        <v>403</v>
      </c>
      <c r="B117" s="36" t="str">
        <f aca="false">IF($A117="","",IF(ISERROR(FIND(".",$A117)),"",LOWER(MID($A117,FIND(CHAR(1),SUBSTITUTE($A117,".",CHAR(1),LEN($A117)-LEN(SUBSTITUTE($A117,".",""))))+1,LEN($A117)))))</f>
        <v>com</v>
      </c>
      <c r="C117" s="37" t="n">
        <f aca="false">IF($B117="","",IFERROR(INDEX(Rubric!$B$14:$B$23,MATCH($B117,Rubric!$A$14:$A$23,0)),INDEX(Rubric!$B$14:$B$23,MATCH("other",Rubric!$A$14:$A$23,0))))</f>
        <v>5</v>
      </c>
      <c r="D117" s="25" t="n">
        <v>4</v>
      </c>
      <c r="E117" s="25" t="n">
        <v>3</v>
      </c>
      <c r="F117" s="25" t="n">
        <v>4</v>
      </c>
      <c r="G117" s="25" t="n">
        <v>5</v>
      </c>
      <c r="H117" s="25" t="s">
        <v>176</v>
      </c>
      <c r="I117" s="25" t="s">
        <v>176</v>
      </c>
      <c r="J117" s="26"/>
      <c r="K117" s="27"/>
      <c r="L117" s="25"/>
      <c r="M117" s="38" t="n">
        <f aca="false">IF($B117="","",IFERROR(INDEX(Rubric!$C$14:$C$23,MATCH($B117,Rubric!$A$14:$A$23,0)),INDEX(Rubric!$C$14:$C$23,MATCH("other",Rubric!$A$14:$A$23,0))))</f>
        <v>11</v>
      </c>
      <c r="N117" s="39" t="n">
        <f aca="false">IF(OR($A117="",$C117=""),"",$C117*Rubric!$B$5+$D117*Rubric!$B$6+$E117*Rubric!$B$7+$F117*Rubric!$B$8+$G117*Rubric!$B$9)</f>
        <v>4.1</v>
      </c>
      <c r="O117" s="40" t="str">
        <f aca="false">IF($A117="","",IF(OR(UPPER($H117)="Y",UPPER($I117)="Y"),"FAIL","PASS"))</f>
        <v>PASS</v>
      </c>
      <c r="P117" s="41" t="n">
        <f aca="false">IF($N117="","",Assumptions!$B$6*MAX(0.05,($N117/Assumptions!$B$11)^Assumptions!$B$12))</f>
        <v>0.0136666666666667</v>
      </c>
      <c r="Q117" s="41" t="n">
        <f aca="false">IF($P117="","",1-(1-$P117)^Assumptions!$B$7)</f>
        <v>0.0664909078989352</v>
      </c>
      <c r="R117" s="42" t="n">
        <f aca="false">IF($M117="","",$M117*Assumptions!$B$7)</f>
        <v>55</v>
      </c>
      <c r="S117" s="42" t="str">
        <f aca="false">IF(OR($J117="",$Q117="",$Q117=0),"",($J117+$R117)/($Q117*(1-Assumptions!$B$4)))</f>
        <v/>
      </c>
      <c r="T117" s="43" t="str">
        <f aca="false">IF(OR($K117="",$S117="",$S117=0),"",$K117/$S117)</f>
        <v/>
      </c>
      <c r="U117" s="44" t="str">
        <f aca="false">IF(OR($K117="",$Q117=""),"",MAX(0,($K117-MAX($K117*Assumptions!$B$4,Assumptions!$B$5))*$Q117-$R117))</f>
        <v/>
      </c>
      <c r="V117" s="40" t="str">
        <f aca="false">IF($A117="","",IF($O117="FAIL","REJECT",IF($J117="","NEEDS PRICE",IF(OR($K117="",$L117=""),"NEEDS VALUATION",IF($T117&gt;=Assumptions!$B$13,"BUY",IF($T117&gt;=1,"MARGINAL","PASS"))))))</f>
        <v>NEEDS PRICE</v>
      </c>
      <c r="W117" s="25" t="s">
        <v>395</v>
      </c>
      <c r="X117" s="35" t="s">
        <v>404</v>
      </c>
    </row>
    <row r="118" customFormat="false" ht="23.85" hidden="false" customHeight="false" outlineLevel="0" collapsed="false">
      <c r="A118" s="22" t="s">
        <v>405</v>
      </c>
      <c r="B118" s="36" t="str">
        <f aca="false">IF($A118="","",IF(ISERROR(FIND(".",$A118)),"",LOWER(MID($A118,FIND(CHAR(1),SUBSTITUTE($A118,".",CHAR(1),LEN($A118)-LEN(SUBSTITUTE($A118,".",""))))+1,LEN($A118)))))</f>
        <v>com</v>
      </c>
      <c r="C118" s="37" t="n">
        <f aca="false">IF($B118="","",IFERROR(INDEX(Rubric!$B$14:$B$23,MATCH($B118,Rubric!$A$14:$A$23,0)),INDEX(Rubric!$B$14:$B$23,MATCH("other",Rubric!$A$14:$A$23,0))))</f>
        <v>5</v>
      </c>
      <c r="D118" s="25" t="n">
        <v>5</v>
      </c>
      <c r="E118" s="25" t="n">
        <v>3</v>
      </c>
      <c r="F118" s="25" t="n">
        <v>4</v>
      </c>
      <c r="G118" s="25" t="n">
        <v>5</v>
      </c>
      <c r="H118" s="25" t="s">
        <v>176</v>
      </c>
      <c r="I118" s="25" t="s">
        <v>176</v>
      </c>
      <c r="J118" s="26"/>
      <c r="K118" s="27"/>
      <c r="L118" s="25"/>
      <c r="M118" s="38" t="n">
        <f aca="false">IF($B118="","",IFERROR(INDEX(Rubric!$C$14:$C$23,MATCH($B118,Rubric!$A$14:$A$23,0)),INDEX(Rubric!$C$14:$C$23,MATCH("other",Rubric!$A$14:$A$23,0))))</f>
        <v>11</v>
      </c>
      <c r="N118" s="39" t="n">
        <f aca="false">IF(OR($A118="",$C118=""),"",$C118*Rubric!$B$5+$D118*Rubric!$B$6+$E118*Rubric!$B$7+$F118*Rubric!$B$8+$G118*Rubric!$B$9)</f>
        <v>4.4</v>
      </c>
      <c r="O118" s="40" t="str">
        <f aca="false">IF($A118="","",IF(OR(UPPER($H118)="Y",UPPER($I118)="Y"),"FAIL","PASS"))</f>
        <v>PASS</v>
      </c>
      <c r="P118" s="41" t="n">
        <f aca="false">IF($N118="","",Assumptions!$B$6*MAX(0.05,($N118/Assumptions!$B$11)^Assumptions!$B$12))</f>
        <v>0.0146666666666667</v>
      </c>
      <c r="Q118" s="41" t="n">
        <f aca="false">IF($P118="","",1-(1-$P118)^Assumptions!$B$7)</f>
        <v>0.0712135411665691</v>
      </c>
      <c r="R118" s="42" t="n">
        <f aca="false">IF($M118="","",$M118*Assumptions!$B$7)</f>
        <v>55</v>
      </c>
      <c r="S118" s="42" t="str">
        <f aca="false">IF(OR($J118="",$Q118="",$Q118=0),"",($J118+$R118)/($Q118*(1-Assumptions!$B$4)))</f>
        <v/>
      </c>
      <c r="T118" s="43" t="str">
        <f aca="false">IF(OR($K118="",$S118="",$S118=0),"",$K118/$S118)</f>
        <v/>
      </c>
      <c r="U118" s="44" t="str">
        <f aca="false">IF(OR($K118="",$Q118=""),"",MAX(0,($K118-MAX($K118*Assumptions!$B$4,Assumptions!$B$5))*$Q118-$R118))</f>
        <v/>
      </c>
      <c r="V118" s="40" t="str">
        <f aca="false">IF($A118="","",IF($O118="FAIL","REJECT",IF($J118="","NEEDS PRICE",IF(OR($K118="",$L118=""),"NEEDS VALUATION",IF($T118&gt;=Assumptions!$B$13,"BUY",IF($T118&gt;=1,"MARGINAL","PASS"))))))</f>
        <v>NEEDS PRICE</v>
      </c>
      <c r="W118" s="25" t="s">
        <v>395</v>
      </c>
      <c r="X118" s="35" t="s">
        <v>406</v>
      </c>
    </row>
    <row r="119" customFormat="false" ht="15" hidden="false" customHeight="false" outlineLevel="0" collapsed="false">
      <c r="A119" s="22" t="s">
        <v>407</v>
      </c>
      <c r="B119" s="36" t="str">
        <f aca="false">IF($A119="","",IF(ISERROR(FIND(".",$A119)),"",LOWER(MID($A119,FIND(CHAR(1),SUBSTITUTE($A119,".",CHAR(1),LEN($A119)-LEN(SUBSTITUTE($A119,".",""))))+1,LEN($A119)))))</f>
        <v>com</v>
      </c>
      <c r="C119" s="37" t="n">
        <f aca="false">IF($B119="","",IFERROR(INDEX(Rubric!$B$14:$B$23,MATCH($B119,Rubric!$A$14:$A$23,0)),INDEX(Rubric!$B$14:$B$23,MATCH("other",Rubric!$A$14:$A$23,0))))</f>
        <v>5</v>
      </c>
      <c r="D119" s="25" t="n">
        <v>5</v>
      </c>
      <c r="E119" s="25" t="n">
        <v>3</v>
      </c>
      <c r="F119" s="25" t="n">
        <v>5</v>
      </c>
      <c r="G119" s="25" t="n">
        <v>5</v>
      </c>
      <c r="H119" s="25" t="s">
        <v>176</v>
      </c>
      <c r="I119" s="25" t="s">
        <v>176</v>
      </c>
      <c r="J119" s="26"/>
      <c r="K119" s="27"/>
      <c r="L119" s="25"/>
      <c r="M119" s="38" t="n">
        <f aca="false">IF($B119="","",IFERROR(INDEX(Rubric!$C$14:$C$23,MATCH($B119,Rubric!$A$14:$A$23,0)),INDEX(Rubric!$C$14:$C$23,MATCH("other",Rubric!$A$14:$A$23,0))))</f>
        <v>11</v>
      </c>
      <c r="N119" s="39" t="n">
        <f aca="false">IF(OR($A119="",$C119=""),"",$C119*Rubric!$B$5+$D119*Rubric!$B$6+$E119*Rubric!$B$7+$F119*Rubric!$B$8+$G119*Rubric!$B$9)</f>
        <v>4.56</v>
      </c>
      <c r="O119" s="40" t="str">
        <f aca="false">IF($A119="","",IF(OR(UPPER($H119)="Y",UPPER($I119)="Y"),"FAIL","PASS"))</f>
        <v>PASS</v>
      </c>
      <c r="P119" s="41" t="n">
        <f aca="false">IF($N119="","",Assumptions!$B$6*MAX(0.05,($N119/Assumptions!$B$11)^Assumptions!$B$12))</f>
        <v>0.0152</v>
      </c>
      <c r="Q119" s="41" t="n">
        <f aca="false">IF($P119="","",1-(1-$P119)^Assumptions!$B$7)</f>
        <v>0.0737244519939601</v>
      </c>
      <c r="R119" s="42" t="n">
        <f aca="false">IF($M119="","",$M119*Assumptions!$B$7)</f>
        <v>55</v>
      </c>
      <c r="S119" s="42" t="str">
        <f aca="false">IF(OR($J119="",$Q119="",$Q119=0),"",($J119+$R119)/($Q119*(1-Assumptions!$B$4)))</f>
        <v/>
      </c>
      <c r="T119" s="43" t="str">
        <f aca="false">IF(OR($K119="",$S119="",$S119=0),"",$K119/$S119)</f>
        <v/>
      </c>
      <c r="U119" s="44" t="str">
        <f aca="false">IF(OR($K119="",$Q119=""),"",MAX(0,($K119-MAX($K119*Assumptions!$B$4,Assumptions!$B$5))*$Q119-$R119))</f>
        <v/>
      </c>
      <c r="V119" s="40" t="str">
        <f aca="false">IF($A119="","",IF($O119="FAIL","REJECT",IF($J119="","NEEDS PRICE",IF(OR($K119="",$L119=""),"NEEDS VALUATION",IF($T119&gt;=Assumptions!$B$13,"BUY",IF($T119&gt;=1,"MARGINAL","PASS"))))))</f>
        <v>NEEDS PRICE</v>
      </c>
      <c r="W119" s="25" t="s">
        <v>395</v>
      </c>
      <c r="X119" s="35" t="s">
        <v>408</v>
      </c>
    </row>
    <row r="120" customFormat="false" ht="23.85" hidden="false" customHeight="false" outlineLevel="0" collapsed="false">
      <c r="A120" s="22" t="s">
        <v>409</v>
      </c>
      <c r="B120" s="36" t="str">
        <f aca="false">IF($A120="","",IF(ISERROR(FIND(".",$A120)),"",LOWER(MID($A120,FIND(CHAR(1),SUBSTITUTE($A120,".",CHAR(1),LEN($A120)-LEN(SUBSTITUTE($A120,".",""))))+1,LEN($A120)))))</f>
        <v>com</v>
      </c>
      <c r="C120" s="37" t="n">
        <f aca="false">IF($B120="","",IFERROR(INDEX(Rubric!$B$14:$B$23,MATCH($B120,Rubric!$A$14:$A$23,0)),INDEX(Rubric!$B$14:$B$23,MATCH("other",Rubric!$A$14:$A$23,0))))</f>
        <v>5</v>
      </c>
      <c r="D120" s="25" t="n">
        <v>4</v>
      </c>
      <c r="E120" s="25" t="n">
        <v>3</v>
      </c>
      <c r="F120" s="25" t="n">
        <v>5</v>
      </c>
      <c r="G120" s="25" t="n">
        <v>5</v>
      </c>
      <c r="H120" s="25" t="s">
        <v>176</v>
      </c>
      <c r="I120" s="25" t="s">
        <v>176</v>
      </c>
      <c r="J120" s="26"/>
      <c r="K120" s="27"/>
      <c r="L120" s="25"/>
      <c r="M120" s="38" t="n">
        <f aca="false">IF($B120="","",IFERROR(INDEX(Rubric!$C$14:$C$23,MATCH($B120,Rubric!$A$14:$A$23,0)),INDEX(Rubric!$C$14:$C$23,MATCH("other",Rubric!$A$14:$A$23,0))))</f>
        <v>11</v>
      </c>
      <c r="N120" s="39" t="n">
        <f aca="false">IF(OR($A120="",$C120=""),"",$C120*Rubric!$B$5+$D120*Rubric!$B$6+$E120*Rubric!$B$7+$F120*Rubric!$B$8+$G120*Rubric!$B$9)</f>
        <v>4.26</v>
      </c>
      <c r="O120" s="40" t="str">
        <f aca="false">IF($A120="","",IF(OR(UPPER($H120)="Y",UPPER($I120)="Y"),"FAIL","PASS"))</f>
        <v>PASS</v>
      </c>
      <c r="P120" s="41" t="n">
        <f aca="false">IF($N120="","",Assumptions!$B$6*MAX(0.05,($N120/Assumptions!$B$11)^Assumptions!$B$12))</f>
        <v>0.0142</v>
      </c>
      <c r="Q120" s="41" t="n">
        <f aca="false">IF($P120="","",1-(1-$P120)^Assumptions!$B$7)</f>
        <v>0.0690120301639053</v>
      </c>
      <c r="R120" s="42" t="n">
        <f aca="false">IF($M120="","",$M120*Assumptions!$B$7)</f>
        <v>55</v>
      </c>
      <c r="S120" s="42" t="str">
        <f aca="false">IF(OR($J120="",$Q120="",$Q120=0),"",($J120+$R120)/($Q120*(1-Assumptions!$B$4)))</f>
        <v/>
      </c>
      <c r="T120" s="43" t="str">
        <f aca="false">IF(OR($K120="",$S120="",$S120=0),"",$K120/$S120)</f>
        <v/>
      </c>
      <c r="U120" s="44" t="str">
        <f aca="false">IF(OR($K120="",$Q120=""),"",MAX(0,($K120-MAX($K120*Assumptions!$B$4,Assumptions!$B$5))*$Q120-$R120))</f>
        <v/>
      </c>
      <c r="V120" s="40" t="str">
        <f aca="false">IF($A120="","",IF($O120="FAIL","REJECT",IF($J120="","NEEDS PRICE",IF(OR($K120="",$L120=""),"NEEDS VALUATION",IF($T120&gt;=Assumptions!$B$13,"BUY",IF($T120&gt;=1,"MARGINAL","PASS"))))))</f>
        <v>NEEDS PRICE</v>
      </c>
      <c r="W120" s="25" t="s">
        <v>395</v>
      </c>
      <c r="X120" s="35" t="s">
        <v>410</v>
      </c>
    </row>
    <row r="121" customFormat="false" ht="23.85" hidden="false" customHeight="false" outlineLevel="0" collapsed="false">
      <c r="A121" s="22" t="s">
        <v>411</v>
      </c>
      <c r="B121" s="36" t="str">
        <f aca="false">IF($A121="","",IF(ISERROR(FIND(".",$A121)),"",LOWER(MID($A121,FIND(CHAR(1),SUBSTITUTE($A121,".",CHAR(1),LEN($A121)-LEN(SUBSTITUTE($A121,".",""))))+1,LEN($A121)))))</f>
        <v>com</v>
      </c>
      <c r="C121" s="37" t="n">
        <f aca="false">IF($B121="","",IFERROR(INDEX(Rubric!$B$14:$B$23,MATCH($B121,Rubric!$A$14:$A$23,0)),INDEX(Rubric!$B$14:$B$23,MATCH("other",Rubric!$A$14:$A$23,0))))</f>
        <v>5</v>
      </c>
      <c r="D121" s="25" t="n">
        <v>5</v>
      </c>
      <c r="E121" s="25" t="n">
        <v>3</v>
      </c>
      <c r="F121" s="25" t="n">
        <v>4</v>
      </c>
      <c r="G121" s="25" t="n">
        <v>5</v>
      </c>
      <c r="H121" s="25" t="s">
        <v>176</v>
      </c>
      <c r="I121" s="25" t="s">
        <v>176</v>
      </c>
      <c r="J121" s="26"/>
      <c r="K121" s="27"/>
      <c r="L121" s="25"/>
      <c r="M121" s="38" t="n">
        <f aca="false">IF($B121="","",IFERROR(INDEX(Rubric!$C$14:$C$23,MATCH($B121,Rubric!$A$14:$A$23,0)),INDEX(Rubric!$C$14:$C$23,MATCH("other",Rubric!$A$14:$A$23,0))))</f>
        <v>11</v>
      </c>
      <c r="N121" s="39" t="n">
        <f aca="false">IF(OR($A121="",$C121=""),"",$C121*Rubric!$B$5+$D121*Rubric!$B$6+$E121*Rubric!$B$7+$F121*Rubric!$B$8+$G121*Rubric!$B$9)</f>
        <v>4.4</v>
      </c>
      <c r="O121" s="40" t="str">
        <f aca="false">IF($A121="","",IF(OR(UPPER($H121)="Y",UPPER($I121)="Y"),"FAIL","PASS"))</f>
        <v>PASS</v>
      </c>
      <c r="P121" s="41" t="n">
        <f aca="false">IF($N121="","",Assumptions!$B$6*MAX(0.05,($N121/Assumptions!$B$11)^Assumptions!$B$12))</f>
        <v>0.0146666666666667</v>
      </c>
      <c r="Q121" s="41" t="n">
        <f aca="false">IF($P121="","",1-(1-$P121)^Assumptions!$B$7)</f>
        <v>0.0712135411665691</v>
      </c>
      <c r="R121" s="42" t="n">
        <f aca="false">IF($M121="","",$M121*Assumptions!$B$7)</f>
        <v>55</v>
      </c>
      <c r="S121" s="42" t="str">
        <f aca="false">IF(OR($J121="",$Q121="",$Q121=0),"",($J121+$R121)/($Q121*(1-Assumptions!$B$4)))</f>
        <v/>
      </c>
      <c r="T121" s="43" t="str">
        <f aca="false">IF(OR($K121="",$S121="",$S121=0),"",$K121/$S121)</f>
        <v/>
      </c>
      <c r="U121" s="44" t="str">
        <f aca="false">IF(OR($K121="",$Q121=""),"",MAX(0,($K121-MAX($K121*Assumptions!$B$4,Assumptions!$B$5))*$Q121-$R121))</f>
        <v/>
      </c>
      <c r="V121" s="40" t="str">
        <f aca="false">IF($A121="","",IF($O121="FAIL","REJECT",IF($J121="","NEEDS PRICE",IF(OR($K121="",$L121=""),"NEEDS VALUATION",IF($T121&gt;=Assumptions!$B$13,"BUY",IF($T121&gt;=1,"MARGINAL","PASS"))))))</f>
        <v>NEEDS PRICE</v>
      </c>
      <c r="W121" s="25" t="s">
        <v>395</v>
      </c>
      <c r="X121" s="35" t="s">
        <v>412</v>
      </c>
    </row>
    <row r="122" customFormat="false" ht="15" hidden="false" customHeight="false" outlineLevel="0" collapsed="false">
      <c r="A122" s="22" t="s">
        <v>413</v>
      </c>
      <c r="B122" s="36" t="str">
        <f aca="false">IF($A122="","",IF(ISERROR(FIND(".",$A122)),"",LOWER(MID($A122,FIND(CHAR(1),SUBSTITUTE($A122,".",CHAR(1),LEN($A122)-LEN(SUBSTITUTE($A122,".",""))))+1,LEN($A122)))))</f>
        <v>com</v>
      </c>
      <c r="C122" s="37" t="n">
        <f aca="false">IF($B122="","",IFERROR(INDEX(Rubric!$B$14:$B$23,MATCH($B122,Rubric!$A$14:$A$23,0)),INDEX(Rubric!$B$14:$B$23,MATCH("other",Rubric!$A$14:$A$23,0))))</f>
        <v>5</v>
      </c>
      <c r="D122" s="25" t="n">
        <v>4</v>
      </c>
      <c r="E122" s="25" t="n">
        <v>3</v>
      </c>
      <c r="F122" s="25" t="n">
        <v>3</v>
      </c>
      <c r="G122" s="25" t="n">
        <v>4</v>
      </c>
      <c r="H122" s="25" t="s">
        <v>176</v>
      </c>
      <c r="I122" s="25" t="s">
        <v>176</v>
      </c>
      <c r="J122" s="26"/>
      <c r="K122" s="27"/>
      <c r="L122" s="25"/>
      <c r="M122" s="38" t="n">
        <f aca="false">IF($B122="","",IFERROR(INDEX(Rubric!$C$14:$C$23,MATCH($B122,Rubric!$A$14:$A$23,0)),INDEX(Rubric!$C$14:$C$23,MATCH("other",Rubric!$A$14:$A$23,0))))</f>
        <v>11</v>
      </c>
      <c r="N122" s="39" t="n">
        <f aca="false">IF(OR($A122="",$C122=""),"",$C122*Rubric!$B$5+$D122*Rubric!$B$6+$E122*Rubric!$B$7+$F122*Rubric!$B$8+$G122*Rubric!$B$9)</f>
        <v>3.84</v>
      </c>
      <c r="O122" s="40" t="str">
        <f aca="false">IF($A122="","",IF(OR(UPPER($H122)="Y",UPPER($I122)="Y"),"FAIL","PASS"))</f>
        <v>PASS</v>
      </c>
      <c r="P122" s="41" t="n">
        <f aca="false">IF($N122="","",Assumptions!$B$6*MAX(0.05,($N122/Assumptions!$B$11)^Assumptions!$B$12))</f>
        <v>0.0128</v>
      </c>
      <c r="Q122" s="41" t="n">
        <f aca="false">IF($P122="","",1-(1-$P122)^Assumptions!$B$7)</f>
        <v>0.0623824376458696</v>
      </c>
      <c r="R122" s="42" t="n">
        <f aca="false">IF($M122="","",$M122*Assumptions!$B$7)</f>
        <v>55</v>
      </c>
      <c r="S122" s="42" t="str">
        <f aca="false">IF(OR($J122="",$Q122="",$Q122=0),"",($J122+$R122)/($Q122*(1-Assumptions!$B$4)))</f>
        <v/>
      </c>
      <c r="T122" s="43" t="str">
        <f aca="false">IF(OR($K122="",$S122="",$S122=0),"",$K122/$S122)</f>
        <v/>
      </c>
      <c r="U122" s="44" t="str">
        <f aca="false">IF(OR($K122="",$Q122=""),"",MAX(0,($K122-MAX($K122*Assumptions!$B$4,Assumptions!$B$5))*$Q122-$R122))</f>
        <v/>
      </c>
      <c r="V122" s="40" t="str">
        <f aca="false">IF($A122="","",IF($O122="FAIL","REJECT",IF($J122="","NEEDS PRICE",IF(OR($K122="",$L122=""),"NEEDS VALUATION",IF($T122&gt;=Assumptions!$B$13,"BUY",IF($T122&gt;=1,"MARGINAL","PASS"))))))</f>
        <v>NEEDS PRICE</v>
      </c>
      <c r="W122" s="25" t="s">
        <v>395</v>
      </c>
      <c r="X122" s="35" t="s">
        <v>414</v>
      </c>
    </row>
    <row r="123" customFormat="false" ht="15" hidden="false" customHeight="false" outlineLevel="0" collapsed="false">
      <c r="A123" s="22" t="s">
        <v>415</v>
      </c>
      <c r="B123" s="36" t="str">
        <f aca="false">IF($A123="","",IF(ISERROR(FIND(".",$A123)),"",LOWER(MID($A123,FIND(CHAR(1),SUBSTITUTE($A123,".",CHAR(1),LEN($A123)-LEN(SUBSTITUTE($A123,".",""))))+1,LEN($A123)))))</f>
        <v>com</v>
      </c>
      <c r="C123" s="37" t="n">
        <f aca="false">IF($B123="","",IFERROR(INDEX(Rubric!$B$14:$B$23,MATCH($B123,Rubric!$A$14:$A$23,0)),INDEX(Rubric!$B$14:$B$23,MATCH("other",Rubric!$A$14:$A$23,0))))</f>
        <v>5</v>
      </c>
      <c r="D123" s="25" t="n">
        <v>4</v>
      </c>
      <c r="E123" s="25" t="n">
        <v>3</v>
      </c>
      <c r="F123" s="25" t="n">
        <v>5</v>
      </c>
      <c r="G123" s="25" t="n">
        <v>5</v>
      </c>
      <c r="H123" s="25" t="s">
        <v>176</v>
      </c>
      <c r="I123" s="25" t="s">
        <v>176</v>
      </c>
      <c r="J123" s="26"/>
      <c r="K123" s="27"/>
      <c r="L123" s="25"/>
      <c r="M123" s="38" t="n">
        <f aca="false">IF($B123="","",IFERROR(INDEX(Rubric!$C$14:$C$23,MATCH($B123,Rubric!$A$14:$A$23,0)),INDEX(Rubric!$C$14:$C$23,MATCH("other",Rubric!$A$14:$A$23,0))))</f>
        <v>11</v>
      </c>
      <c r="N123" s="39" t="n">
        <f aca="false">IF(OR($A123="",$C123=""),"",$C123*Rubric!$B$5+$D123*Rubric!$B$6+$E123*Rubric!$B$7+$F123*Rubric!$B$8+$G123*Rubric!$B$9)</f>
        <v>4.26</v>
      </c>
      <c r="O123" s="40" t="str">
        <f aca="false">IF($A123="","",IF(OR(UPPER($H123)="Y",UPPER($I123)="Y"),"FAIL","PASS"))</f>
        <v>PASS</v>
      </c>
      <c r="P123" s="41" t="n">
        <f aca="false">IF($N123="","",Assumptions!$B$6*MAX(0.05,($N123/Assumptions!$B$11)^Assumptions!$B$12))</f>
        <v>0.0142</v>
      </c>
      <c r="Q123" s="41" t="n">
        <f aca="false">IF($P123="","",1-(1-$P123)^Assumptions!$B$7)</f>
        <v>0.0690120301639053</v>
      </c>
      <c r="R123" s="42" t="n">
        <f aca="false">IF($M123="","",$M123*Assumptions!$B$7)</f>
        <v>55</v>
      </c>
      <c r="S123" s="42" t="str">
        <f aca="false">IF(OR($J123="",$Q123="",$Q123=0),"",($J123+$R123)/($Q123*(1-Assumptions!$B$4)))</f>
        <v/>
      </c>
      <c r="T123" s="43" t="str">
        <f aca="false">IF(OR($K123="",$S123="",$S123=0),"",$K123/$S123)</f>
        <v/>
      </c>
      <c r="U123" s="44" t="str">
        <f aca="false">IF(OR($K123="",$Q123=""),"",MAX(0,($K123-MAX($K123*Assumptions!$B$4,Assumptions!$B$5))*$Q123-$R123))</f>
        <v/>
      </c>
      <c r="V123" s="40" t="str">
        <f aca="false">IF($A123="","",IF($O123="FAIL","REJECT",IF($J123="","NEEDS PRICE",IF(OR($K123="",$L123=""),"NEEDS VALUATION",IF($T123&gt;=Assumptions!$B$13,"BUY",IF($T123&gt;=1,"MARGINAL","PASS"))))))</f>
        <v>NEEDS PRICE</v>
      </c>
      <c r="W123" s="25" t="s">
        <v>395</v>
      </c>
      <c r="X123" s="35" t="s">
        <v>416</v>
      </c>
    </row>
    <row r="124" customFormat="false" ht="23.85" hidden="false" customHeight="false" outlineLevel="0" collapsed="false">
      <c r="A124" s="22" t="s">
        <v>417</v>
      </c>
      <c r="B124" s="36" t="str">
        <f aca="false">IF($A124="","",IF(ISERROR(FIND(".",$A124)),"",LOWER(MID($A124,FIND(CHAR(1),SUBSTITUTE($A124,".",CHAR(1),LEN($A124)-LEN(SUBSTITUTE($A124,".",""))))+1,LEN($A124)))))</f>
        <v>com</v>
      </c>
      <c r="C124" s="37" t="n">
        <f aca="false">IF($B124="","",IFERROR(INDEX(Rubric!$B$14:$B$23,MATCH($B124,Rubric!$A$14:$A$23,0)),INDEX(Rubric!$B$14:$B$23,MATCH("other",Rubric!$A$14:$A$23,0))))</f>
        <v>5</v>
      </c>
      <c r="D124" s="25" t="n">
        <v>4</v>
      </c>
      <c r="E124" s="25" t="n">
        <v>3</v>
      </c>
      <c r="F124" s="25" t="n">
        <v>3</v>
      </c>
      <c r="G124" s="25" t="n">
        <v>5</v>
      </c>
      <c r="H124" s="25" t="s">
        <v>176</v>
      </c>
      <c r="I124" s="25" t="s">
        <v>176</v>
      </c>
      <c r="J124" s="26"/>
      <c r="K124" s="27"/>
      <c r="L124" s="25"/>
      <c r="M124" s="38" t="n">
        <f aca="false">IF($B124="","",IFERROR(INDEX(Rubric!$C$14:$C$23,MATCH($B124,Rubric!$A$14:$A$23,0)),INDEX(Rubric!$C$14:$C$23,MATCH("other",Rubric!$A$14:$A$23,0))))</f>
        <v>11</v>
      </c>
      <c r="N124" s="39" t="n">
        <f aca="false">IF(OR($A124="",$C124=""),"",$C124*Rubric!$B$5+$D124*Rubric!$B$6+$E124*Rubric!$B$7+$F124*Rubric!$B$8+$G124*Rubric!$B$9)</f>
        <v>3.94</v>
      </c>
      <c r="O124" s="40" t="str">
        <f aca="false">IF($A124="","",IF(OR(UPPER($H124)="Y",UPPER($I124)="Y"),"FAIL","PASS"))</f>
        <v>PASS</v>
      </c>
      <c r="P124" s="41" t="n">
        <f aca="false">IF($N124="","",Assumptions!$B$6*MAX(0.05,($N124/Assumptions!$B$11)^Assumptions!$B$12))</f>
        <v>0.0131333333333333</v>
      </c>
      <c r="Q124" s="41" t="n">
        <f aca="false">IF($P124="","",1-(1-$P124)^Assumptions!$B$7)</f>
        <v>0.0639643268155696</v>
      </c>
      <c r="R124" s="42" t="n">
        <f aca="false">IF($M124="","",$M124*Assumptions!$B$7)</f>
        <v>55</v>
      </c>
      <c r="S124" s="42" t="str">
        <f aca="false">IF(OR($J124="",$Q124="",$Q124=0),"",($J124+$R124)/($Q124*(1-Assumptions!$B$4)))</f>
        <v/>
      </c>
      <c r="T124" s="43" t="str">
        <f aca="false">IF(OR($K124="",$S124="",$S124=0),"",$K124/$S124)</f>
        <v/>
      </c>
      <c r="U124" s="44" t="str">
        <f aca="false">IF(OR($K124="",$Q124=""),"",MAX(0,($K124-MAX($K124*Assumptions!$B$4,Assumptions!$B$5))*$Q124-$R124))</f>
        <v/>
      </c>
      <c r="V124" s="40" t="str">
        <f aca="false">IF($A124="","",IF($O124="FAIL","REJECT",IF($J124="","NEEDS PRICE",IF(OR($K124="",$L124=""),"NEEDS VALUATION",IF($T124&gt;=Assumptions!$B$13,"BUY",IF($T124&gt;=1,"MARGINAL","PASS"))))))</f>
        <v>NEEDS PRICE</v>
      </c>
      <c r="W124" s="25" t="s">
        <v>395</v>
      </c>
      <c r="X124" s="35" t="s">
        <v>418</v>
      </c>
    </row>
    <row r="125" customFormat="false" ht="15" hidden="false" customHeight="false" outlineLevel="0" collapsed="false">
      <c r="A125" s="22" t="s">
        <v>419</v>
      </c>
      <c r="B125" s="36" t="str">
        <f aca="false">IF($A125="","",IF(ISERROR(FIND(".",$A125)),"",LOWER(MID($A125,FIND(CHAR(1),SUBSTITUTE($A125,".",CHAR(1),LEN($A125)-LEN(SUBSTITUTE($A125,".",""))))+1,LEN($A125)))))</f>
        <v>com</v>
      </c>
      <c r="C125" s="37" t="n">
        <f aca="false">IF($B125="","",IFERROR(INDEX(Rubric!$B$14:$B$23,MATCH($B125,Rubric!$A$14:$A$23,0)),INDEX(Rubric!$B$14:$B$23,MATCH("other",Rubric!$A$14:$A$23,0))))</f>
        <v>5</v>
      </c>
      <c r="D125" s="25" t="n">
        <v>4</v>
      </c>
      <c r="E125" s="25" t="n">
        <v>3</v>
      </c>
      <c r="F125" s="25" t="n">
        <v>4</v>
      </c>
      <c r="G125" s="25" t="n">
        <v>4</v>
      </c>
      <c r="H125" s="25" t="s">
        <v>176</v>
      </c>
      <c r="I125" s="25" t="s">
        <v>176</v>
      </c>
      <c r="J125" s="26"/>
      <c r="K125" s="27"/>
      <c r="L125" s="25"/>
      <c r="M125" s="38" t="n">
        <f aca="false">IF($B125="","",IFERROR(INDEX(Rubric!$C$14:$C$23,MATCH($B125,Rubric!$A$14:$A$23,0)),INDEX(Rubric!$C$14:$C$23,MATCH("other",Rubric!$A$14:$A$23,0))))</f>
        <v>11</v>
      </c>
      <c r="N125" s="39" t="n">
        <f aca="false">IF(OR($A125="",$C125=""),"",$C125*Rubric!$B$5+$D125*Rubric!$B$6+$E125*Rubric!$B$7+$F125*Rubric!$B$8+$G125*Rubric!$B$9)</f>
        <v>4</v>
      </c>
      <c r="O125" s="40" t="str">
        <f aca="false">IF($A125="","",IF(OR(UPPER($H125)="Y",UPPER($I125)="Y"),"FAIL","PASS"))</f>
        <v>PASS</v>
      </c>
      <c r="P125" s="41" t="n">
        <f aca="false">IF($N125="","",Assumptions!$B$6*MAX(0.05,($N125/Assumptions!$B$11)^Assumptions!$B$12))</f>
        <v>0.0133333333333333</v>
      </c>
      <c r="Q125" s="41" t="n">
        <f aca="false">IF($P125="","",1-(1-$P125)^Assumptions!$B$7)</f>
        <v>0.0649124349893003</v>
      </c>
      <c r="R125" s="42" t="n">
        <f aca="false">IF($M125="","",$M125*Assumptions!$B$7)</f>
        <v>55</v>
      </c>
      <c r="S125" s="42" t="str">
        <f aca="false">IF(OR($J125="",$Q125="",$Q125=0),"",($J125+$R125)/($Q125*(1-Assumptions!$B$4)))</f>
        <v/>
      </c>
      <c r="T125" s="43" t="str">
        <f aca="false">IF(OR($K125="",$S125="",$S125=0),"",$K125/$S125)</f>
        <v/>
      </c>
      <c r="U125" s="44" t="str">
        <f aca="false">IF(OR($K125="",$Q125=""),"",MAX(0,($K125-MAX($K125*Assumptions!$B$4,Assumptions!$B$5))*$Q125-$R125))</f>
        <v/>
      </c>
      <c r="V125" s="40" t="str">
        <f aca="false">IF($A125="","",IF($O125="FAIL","REJECT",IF($J125="","NEEDS PRICE",IF(OR($K125="",$L125=""),"NEEDS VALUATION",IF($T125&gt;=Assumptions!$B$13,"BUY",IF($T125&gt;=1,"MARGINAL","PASS"))))))</f>
        <v>NEEDS PRICE</v>
      </c>
      <c r="W125" s="25" t="s">
        <v>395</v>
      </c>
      <c r="X125" s="35" t="s">
        <v>420</v>
      </c>
    </row>
    <row r="126" customFormat="false" ht="23.85" hidden="false" customHeight="false" outlineLevel="0" collapsed="false">
      <c r="A126" s="22" t="s">
        <v>421</v>
      </c>
      <c r="B126" s="36" t="str">
        <f aca="false">IF($A126="","",IF(ISERROR(FIND(".",$A126)),"",LOWER(MID($A126,FIND(CHAR(1),SUBSTITUTE($A126,".",CHAR(1),LEN($A126)-LEN(SUBSTITUTE($A126,".",""))))+1,LEN($A126)))))</f>
        <v>com</v>
      </c>
      <c r="C126" s="37" t="n">
        <f aca="false">IF($B126="","",IFERROR(INDEX(Rubric!$B$14:$B$23,MATCH($B126,Rubric!$A$14:$A$23,0)),INDEX(Rubric!$B$14:$B$23,MATCH("other",Rubric!$A$14:$A$23,0))))</f>
        <v>5</v>
      </c>
      <c r="D126" s="25" t="n">
        <v>4</v>
      </c>
      <c r="E126" s="25" t="n">
        <v>3</v>
      </c>
      <c r="F126" s="25" t="n">
        <v>5</v>
      </c>
      <c r="G126" s="25" t="n">
        <v>5</v>
      </c>
      <c r="H126" s="25" t="s">
        <v>176</v>
      </c>
      <c r="I126" s="25" t="s">
        <v>176</v>
      </c>
      <c r="J126" s="26"/>
      <c r="K126" s="27"/>
      <c r="L126" s="25"/>
      <c r="M126" s="38" t="n">
        <f aca="false">IF($B126="","",IFERROR(INDEX(Rubric!$C$14:$C$23,MATCH($B126,Rubric!$A$14:$A$23,0)),INDEX(Rubric!$C$14:$C$23,MATCH("other",Rubric!$A$14:$A$23,0))))</f>
        <v>11</v>
      </c>
      <c r="N126" s="39" t="n">
        <f aca="false">IF(OR($A126="",$C126=""),"",$C126*Rubric!$B$5+$D126*Rubric!$B$6+$E126*Rubric!$B$7+$F126*Rubric!$B$8+$G126*Rubric!$B$9)</f>
        <v>4.26</v>
      </c>
      <c r="O126" s="40" t="str">
        <f aca="false">IF($A126="","",IF(OR(UPPER($H126)="Y",UPPER($I126)="Y"),"FAIL","PASS"))</f>
        <v>PASS</v>
      </c>
      <c r="P126" s="41" t="n">
        <f aca="false">IF($N126="","",Assumptions!$B$6*MAX(0.05,($N126/Assumptions!$B$11)^Assumptions!$B$12))</f>
        <v>0.0142</v>
      </c>
      <c r="Q126" s="41" t="n">
        <f aca="false">IF($P126="","",1-(1-$P126)^Assumptions!$B$7)</f>
        <v>0.0690120301639053</v>
      </c>
      <c r="R126" s="42" t="n">
        <f aca="false">IF($M126="","",$M126*Assumptions!$B$7)</f>
        <v>55</v>
      </c>
      <c r="S126" s="42" t="str">
        <f aca="false">IF(OR($J126="",$Q126="",$Q126=0),"",($J126+$R126)/($Q126*(1-Assumptions!$B$4)))</f>
        <v/>
      </c>
      <c r="T126" s="43" t="str">
        <f aca="false">IF(OR($K126="",$S126="",$S126=0),"",$K126/$S126)</f>
        <v/>
      </c>
      <c r="U126" s="44" t="str">
        <f aca="false">IF(OR($K126="",$Q126=""),"",MAX(0,($K126-MAX($K126*Assumptions!$B$4,Assumptions!$B$5))*$Q126-$R126))</f>
        <v/>
      </c>
      <c r="V126" s="40" t="str">
        <f aca="false">IF($A126="","",IF($O126="FAIL","REJECT",IF($J126="","NEEDS PRICE",IF(OR($K126="",$L126=""),"NEEDS VALUATION",IF($T126&gt;=Assumptions!$B$13,"BUY",IF($T126&gt;=1,"MARGINAL","PASS"))))))</f>
        <v>NEEDS PRICE</v>
      </c>
      <c r="W126" s="25" t="s">
        <v>395</v>
      </c>
      <c r="X126" s="35" t="s">
        <v>422</v>
      </c>
    </row>
    <row r="127" customFormat="false" ht="15" hidden="false" customHeight="false" outlineLevel="0" collapsed="false">
      <c r="A127" s="22" t="s">
        <v>423</v>
      </c>
      <c r="B127" s="36" t="str">
        <f aca="false">IF($A127="","",IF(ISERROR(FIND(".",$A127)),"",LOWER(MID($A127,FIND(CHAR(1),SUBSTITUTE($A127,".",CHAR(1),LEN($A127)-LEN(SUBSTITUTE($A127,".",""))))+1,LEN($A127)))))</f>
        <v>com</v>
      </c>
      <c r="C127" s="37" t="n">
        <f aca="false">IF($B127="","",IFERROR(INDEX(Rubric!$B$14:$B$23,MATCH($B127,Rubric!$A$14:$A$23,0)),INDEX(Rubric!$B$14:$B$23,MATCH("other",Rubric!$A$14:$A$23,0))))</f>
        <v>5</v>
      </c>
      <c r="D127" s="25" t="n">
        <v>5</v>
      </c>
      <c r="E127" s="25" t="n">
        <v>3</v>
      </c>
      <c r="F127" s="25" t="n">
        <v>4</v>
      </c>
      <c r="G127" s="25" t="n">
        <v>5</v>
      </c>
      <c r="H127" s="25" t="s">
        <v>176</v>
      </c>
      <c r="I127" s="25" t="s">
        <v>176</v>
      </c>
      <c r="J127" s="26"/>
      <c r="K127" s="27"/>
      <c r="L127" s="25"/>
      <c r="M127" s="38" t="n">
        <f aca="false">IF($B127="","",IFERROR(INDEX(Rubric!$C$14:$C$23,MATCH($B127,Rubric!$A$14:$A$23,0)),INDEX(Rubric!$C$14:$C$23,MATCH("other",Rubric!$A$14:$A$23,0))))</f>
        <v>11</v>
      </c>
      <c r="N127" s="39" t="n">
        <f aca="false">IF(OR($A127="",$C127=""),"",$C127*Rubric!$B$5+$D127*Rubric!$B$6+$E127*Rubric!$B$7+$F127*Rubric!$B$8+$G127*Rubric!$B$9)</f>
        <v>4.4</v>
      </c>
      <c r="O127" s="40" t="str">
        <f aca="false">IF($A127="","",IF(OR(UPPER($H127)="Y",UPPER($I127)="Y"),"FAIL","PASS"))</f>
        <v>PASS</v>
      </c>
      <c r="P127" s="41" t="n">
        <f aca="false">IF($N127="","",Assumptions!$B$6*MAX(0.05,($N127/Assumptions!$B$11)^Assumptions!$B$12))</f>
        <v>0.0146666666666667</v>
      </c>
      <c r="Q127" s="41" t="n">
        <f aca="false">IF($P127="","",1-(1-$P127)^Assumptions!$B$7)</f>
        <v>0.0712135411665691</v>
      </c>
      <c r="R127" s="42" t="n">
        <f aca="false">IF($M127="","",$M127*Assumptions!$B$7)</f>
        <v>55</v>
      </c>
      <c r="S127" s="42" t="str">
        <f aca="false">IF(OR($J127="",$Q127="",$Q127=0),"",($J127+$R127)/($Q127*(1-Assumptions!$B$4)))</f>
        <v/>
      </c>
      <c r="T127" s="43" t="str">
        <f aca="false">IF(OR($K127="",$S127="",$S127=0),"",$K127/$S127)</f>
        <v/>
      </c>
      <c r="U127" s="44" t="str">
        <f aca="false">IF(OR($K127="",$Q127=""),"",MAX(0,($K127-MAX($K127*Assumptions!$B$4,Assumptions!$B$5))*$Q127-$R127))</f>
        <v/>
      </c>
      <c r="V127" s="40" t="str">
        <f aca="false">IF($A127="","",IF($O127="FAIL","REJECT",IF($J127="","NEEDS PRICE",IF(OR($K127="",$L127=""),"NEEDS VALUATION",IF($T127&gt;=Assumptions!$B$13,"BUY",IF($T127&gt;=1,"MARGINAL","PASS"))))))</f>
        <v>NEEDS PRICE</v>
      </c>
      <c r="W127" s="25" t="s">
        <v>395</v>
      </c>
      <c r="X127" s="35" t="s">
        <v>424</v>
      </c>
    </row>
    <row r="128" customFormat="false" ht="23.85" hidden="false" customHeight="false" outlineLevel="0" collapsed="false">
      <c r="A128" s="22" t="s">
        <v>425</v>
      </c>
      <c r="B128" s="36" t="str">
        <f aca="false">IF($A128="","",IF(ISERROR(FIND(".",$A128)),"",LOWER(MID($A128,FIND(CHAR(1),SUBSTITUTE($A128,".",CHAR(1),LEN($A128)-LEN(SUBSTITUTE($A128,".",""))))+1,LEN($A128)))))</f>
        <v>com</v>
      </c>
      <c r="C128" s="37" t="n">
        <f aca="false">IF($B128="","",IFERROR(INDEX(Rubric!$B$14:$B$23,MATCH($B128,Rubric!$A$14:$A$23,0)),INDEX(Rubric!$B$14:$B$23,MATCH("other",Rubric!$A$14:$A$23,0))))</f>
        <v>5</v>
      </c>
      <c r="D128" s="25" t="n">
        <v>5</v>
      </c>
      <c r="E128" s="25" t="n">
        <v>3</v>
      </c>
      <c r="F128" s="25" t="n">
        <v>4</v>
      </c>
      <c r="G128" s="25" t="n">
        <v>5</v>
      </c>
      <c r="H128" s="25" t="s">
        <v>176</v>
      </c>
      <c r="I128" s="25" t="s">
        <v>176</v>
      </c>
      <c r="J128" s="26"/>
      <c r="K128" s="27"/>
      <c r="L128" s="25"/>
      <c r="M128" s="38" t="n">
        <f aca="false">IF($B128="","",IFERROR(INDEX(Rubric!$C$14:$C$23,MATCH($B128,Rubric!$A$14:$A$23,0)),INDEX(Rubric!$C$14:$C$23,MATCH("other",Rubric!$A$14:$A$23,0))))</f>
        <v>11</v>
      </c>
      <c r="N128" s="39" t="n">
        <f aca="false">IF(OR($A128="",$C128=""),"",$C128*Rubric!$B$5+$D128*Rubric!$B$6+$E128*Rubric!$B$7+$F128*Rubric!$B$8+$G128*Rubric!$B$9)</f>
        <v>4.4</v>
      </c>
      <c r="O128" s="40" t="str">
        <f aca="false">IF($A128="","",IF(OR(UPPER($H128)="Y",UPPER($I128)="Y"),"FAIL","PASS"))</f>
        <v>PASS</v>
      </c>
      <c r="P128" s="41" t="n">
        <f aca="false">IF($N128="","",Assumptions!$B$6*MAX(0.05,($N128/Assumptions!$B$11)^Assumptions!$B$12))</f>
        <v>0.0146666666666667</v>
      </c>
      <c r="Q128" s="41" t="n">
        <f aca="false">IF($P128="","",1-(1-$P128)^Assumptions!$B$7)</f>
        <v>0.0712135411665691</v>
      </c>
      <c r="R128" s="42" t="n">
        <f aca="false">IF($M128="","",$M128*Assumptions!$B$7)</f>
        <v>55</v>
      </c>
      <c r="S128" s="42" t="str">
        <f aca="false">IF(OR($J128="",$Q128="",$Q128=0),"",($J128+$R128)/($Q128*(1-Assumptions!$B$4)))</f>
        <v/>
      </c>
      <c r="T128" s="43" t="str">
        <f aca="false">IF(OR($K128="",$S128="",$S128=0),"",$K128/$S128)</f>
        <v/>
      </c>
      <c r="U128" s="44" t="str">
        <f aca="false">IF(OR($K128="",$Q128=""),"",MAX(0,($K128-MAX($K128*Assumptions!$B$4,Assumptions!$B$5))*$Q128-$R128))</f>
        <v/>
      </c>
      <c r="V128" s="40" t="str">
        <f aca="false">IF($A128="","",IF($O128="FAIL","REJECT",IF($J128="","NEEDS PRICE",IF(OR($K128="",$L128=""),"NEEDS VALUATION",IF($T128&gt;=Assumptions!$B$13,"BUY",IF($T128&gt;=1,"MARGINAL","PASS"))))))</f>
        <v>NEEDS PRICE</v>
      </c>
      <c r="W128" s="25" t="s">
        <v>395</v>
      </c>
      <c r="X128" s="35" t="s">
        <v>426</v>
      </c>
    </row>
    <row r="129" customFormat="false" ht="15" hidden="false" customHeight="false" outlineLevel="0" collapsed="false">
      <c r="A129" s="22" t="s">
        <v>427</v>
      </c>
      <c r="B129" s="36" t="str">
        <f aca="false">IF($A129="","",IF(ISERROR(FIND(".",$A129)),"",LOWER(MID($A129,FIND(CHAR(1),SUBSTITUTE($A129,".",CHAR(1),LEN($A129)-LEN(SUBSTITUTE($A129,".",""))))+1,LEN($A129)))))</f>
        <v>com</v>
      </c>
      <c r="C129" s="37" t="n">
        <f aca="false">IF($B129="","",IFERROR(INDEX(Rubric!$B$14:$B$23,MATCH($B129,Rubric!$A$14:$A$23,0)),INDEX(Rubric!$B$14:$B$23,MATCH("other",Rubric!$A$14:$A$23,0))))</f>
        <v>5</v>
      </c>
      <c r="D129" s="25" t="n">
        <v>4</v>
      </c>
      <c r="E129" s="25" t="n">
        <v>3</v>
      </c>
      <c r="F129" s="25" t="n">
        <v>4</v>
      </c>
      <c r="G129" s="25" t="n">
        <v>4</v>
      </c>
      <c r="H129" s="25" t="s">
        <v>176</v>
      </c>
      <c r="I129" s="25" t="s">
        <v>176</v>
      </c>
      <c r="J129" s="26"/>
      <c r="K129" s="27"/>
      <c r="L129" s="25"/>
      <c r="M129" s="38" t="n">
        <f aca="false">IF($B129="","",IFERROR(INDEX(Rubric!$C$14:$C$23,MATCH($B129,Rubric!$A$14:$A$23,0)),INDEX(Rubric!$C$14:$C$23,MATCH("other",Rubric!$A$14:$A$23,0))))</f>
        <v>11</v>
      </c>
      <c r="N129" s="39" t="n">
        <f aca="false">IF(OR($A129="",$C129=""),"",$C129*Rubric!$B$5+$D129*Rubric!$B$6+$E129*Rubric!$B$7+$F129*Rubric!$B$8+$G129*Rubric!$B$9)</f>
        <v>4</v>
      </c>
      <c r="O129" s="40" t="str">
        <f aca="false">IF($A129="","",IF(OR(UPPER($H129)="Y",UPPER($I129)="Y"),"FAIL","PASS"))</f>
        <v>PASS</v>
      </c>
      <c r="P129" s="41" t="n">
        <f aca="false">IF($N129="","",Assumptions!$B$6*MAX(0.05,($N129/Assumptions!$B$11)^Assumptions!$B$12))</f>
        <v>0.0133333333333333</v>
      </c>
      <c r="Q129" s="41" t="n">
        <f aca="false">IF($P129="","",1-(1-$P129)^Assumptions!$B$7)</f>
        <v>0.0649124349893003</v>
      </c>
      <c r="R129" s="42" t="n">
        <f aca="false">IF($M129="","",$M129*Assumptions!$B$7)</f>
        <v>55</v>
      </c>
      <c r="S129" s="42" t="str">
        <f aca="false">IF(OR($J129="",$Q129="",$Q129=0),"",($J129+$R129)/($Q129*(1-Assumptions!$B$4)))</f>
        <v/>
      </c>
      <c r="T129" s="43" t="str">
        <f aca="false">IF(OR($K129="",$S129="",$S129=0),"",$K129/$S129)</f>
        <v/>
      </c>
      <c r="U129" s="44" t="str">
        <f aca="false">IF(OR($K129="",$Q129=""),"",MAX(0,($K129-MAX($K129*Assumptions!$B$4,Assumptions!$B$5))*$Q129-$R129))</f>
        <v/>
      </c>
      <c r="V129" s="40" t="str">
        <f aca="false">IF($A129="","",IF($O129="FAIL","REJECT",IF($J129="","NEEDS PRICE",IF(OR($K129="",$L129=""),"NEEDS VALUATION",IF($T129&gt;=Assumptions!$B$13,"BUY",IF($T129&gt;=1,"MARGINAL","PASS"))))))</f>
        <v>NEEDS PRICE</v>
      </c>
      <c r="W129" s="25" t="s">
        <v>395</v>
      </c>
      <c r="X129" s="35" t="s">
        <v>428</v>
      </c>
    </row>
    <row r="130" customFormat="false" ht="23.85" hidden="false" customHeight="false" outlineLevel="0" collapsed="false">
      <c r="A130" s="22" t="s">
        <v>429</v>
      </c>
      <c r="B130" s="36" t="str">
        <f aca="false">IF($A130="","",IF(ISERROR(FIND(".",$A130)),"",LOWER(MID($A130,FIND(CHAR(1),SUBSTITUTE($A130,".",CHAR(1),LEN($A130)-LEN(SUBSTITUTE($A130,".",""))))+1,LEN($A130)))))</f>
        <v>com</v>
      </c>
      <c r="C130" s="37" t="n">
        <f aca="false">IF($B130="","",IFERROR(INDEX(Rubric!$B$14:$B$23,MATCH($B130,Rubric!$A$14:$A$23,0)),INDEX(Rubric!$B$14:$B$23,MATCH("other",Rubric!$A$14:$A$23,0))))</f>
        <v>5</v>
      </c>
      <c r="D130" s="25" t="n">
        <v>4</v>
      </c>
      <c r="E130" s="25" t="n">
        <v>2</v>
      </c>
      <c r="F130" s="25" t="n">
        <v>4</v>
      </c>
      <c r="G130" s="25" t="n">
        <v>5</v>
      </c>
      <c r="H130" s="25" t="s">
        <v>176</v>
      </c>
      <c r="I130" s="25" t="s">
        <v>176</v>
      </c>
      <c r="J130" s="26"/>
      <c r="K130" s="27"/>
      <c r="L130" s="25"/>
      <c r="M130" s="38" t="n">
        <f aca="false">IF($B130="","",IFERROR(INDEX(Rubric!$C$14:$C$23,MATCH($B130,Rubric!$A$14:$A$23,0)),INDEX(Rubric!$C$14:$C$23,MATCH("other",Rubric!$A$14:$A$23,0))))</f>
        <v>11</v>
      </c>
      <c r="N130" s="39" t="n">
        <f aca="false">IF(OR($A130="",$C130=""),"",$C130*Rubric!$B$5+$D130*Rubric!$B$6+$E130*Rubric!$B$7+$F130*Rubric!$B$8+$G130*Rubric!$B$9)</f>
        <v>3.88</v>
      </c>
      <c r="O130" s="40" t="str">
        <f aca="false">IF($A130="","",IF(OR(UPPER($H130)="Y",UPPER($I130)="Y"),"FAIL","PASS"))</f>
        <v>PASS</v>
      </c>
      <c r="P130" s="41" t="n">
        <f aca="false">IF($N130="","",Assumptions!$B$6*MAX(0.05,($N130/Assumptions!$B$11)^Assumptions!$B$12))</f>
        <v>0.0129333333333333</v>
      </c>
      <c r="Q130" s="41" t="n">
        <f aca="false">IF($P130="","",1-(1-$P130)^Assumptions!$B$7)</f>
        <v>0.0630154497496728</v>
      </c>
      <c r="R130" s="42" t="n">
        <f aca="false">IF($M130="","",$M130*Assumptions!$B$7)</f>
        <v>55</v>
      </c>
      <c r="S130" s="42" t="str">
        <f aca="false">IF(OR($J130="",$Q130="",$Q130=0),"",($J130+$R130)/($Q130*(1-Assumptions!$B$4)))</f>
        <v/>
      </c>
      <c r="T130" s="43" t="str">
        <f aca="false">IF(OR($K130="",$S130="",$S130=0),"",$K130/$S130)</f>
        <v/>
      </c>
      <c r="U130" s="44" t="str">
        <f aca="false">IF(OR($K130="",$Q130=""),"",MAX(0,($K130-MAX($K130*Assumptions!$B$4,Assumptions!$B$5))*$Q130-$R130))</f>
        <v/>
      </c>
      <c r="V130" s="40" t="str">
        <f aca="false">IF($A130="","",IF($O130="FAIL","REJECT",IF($J130="","NEEDS PRICE",IF(OR($K130="",$L130=""),"NEEDS VALUATION",IF($T130&gt;=Assumptions!$B$13,"BUY",IF($T130&gt;=1,"MARGINAL","PASS"))))))</f>
        <v>NEEDS PRICE</v>
      </c>
      <c r="W130" s="25" t="s">
        <v>395</v>
      </c>
      <c r="X130" s="35" t="s">
        <v>430</v>
      </c>
    </row>
    <row r="131" customFormat="false" ht="15" hidden="false" customHeight="false" outlineLevel="0" collapsed="false">
      <c r="A131" s="22" t="s">
        <v>431</v>
      </c>
      <c r="B131" s="36" t="str">
        <f aca="false">IF($A131="","",IF(ISERROR(FIND(".",$A131)),"",LOWER(MID($A131,FIND(CHAR(1),SUBSTITUTE($A131,".",CHAR(1),LEN($A131)-LEN(SUBSTITUTE($A131,".",""))))+1,LEN($A131)))))</f>
        <v>com</v>
      </c>
      <c r="C131" s="37" t="n">
        <f aca="false">IF($B131="","",IFERROR(INDEX(Rubric!$B$14:$B$23,MATCH($B131,Rubric!$A$14:$A$23,0)),INDEX(Rubric!$B$14:$B$23,MATCH("other",Rubric!$A$14:$A$23,0))))</f>
        <v>5</v>
      </c>
      <c r="D131" s="25" t="n">
        <v>4</v>
      </c>
      <c r="E131" s="25" t="n">
        <v>2</v>
      </c>
      <c r="F131" s="25" t="n">
        <v>5</v>
      </c>
      <c r="G131" s="25" t="n">
        <v>5</v>
      </c>
      <c r="H131" s="25" t="s">
        <v>176</v>
      </c>
      <c r="I131" s="25" t="s">
        <v>176</v>
      </c>
      <c r="J131" s="26"/>
      <c r="K131" s="27"/>
      <c r="L131" s="25"/>
      <c r="M131" s="38" t="n">
        <f aca="false">IF($B131="","",IFERROR(INDEX(Rubric!$C$14:$C$23,MATCH($B131,Rubric!$A$14:$A$23,0)),INDEX(Rubric!$C$14:$C$23,MATCH("other",Rubric!$A$14:$A$23,0))))</f>
        <v>11</v>
      </c>
      <c r="N131" s="39" t="n">
        <f aca="false">IF(OR($A131="",$C131=""),"",$C131*Rubric!$B$5+$D131*Rubric!$B$6+$E131*Rubric!$B$7+$F131*Rubric!$B$8+$G131*Rubric!$B$9)</f>
        <v>4.04</v>
      </c>
      <c r="O131" s="40" t="str">
        <f aca="false">IF($A131="","",IF(OR(UPPER($H131)="Y",UPPER($I131)="Y"),"FAIL","PASS"))</f>
        <v>PASS</v>
      </c>
      <c r="P131" s="41" t="n">
        <f aca="false">IF($N131="","",Assumptions!$B$6*MAX(0.05,($N131/Assumptions!$B$11)^Assumptions!$B$12))</f>
        <v>0.0134666666666667</v>
      </c>
      <c r="Q131" s="41" t="n">
        <f aca="false">IF($P131="","",1-(1-$P131)^Assumptions!$B$7)</f>
        <v>0.0655440801736189</v>
      </c>
      <c r="R131" s="42" t="n">
        <f aca="false">IF($M131="","",$M131*Assumptions!$B$7)</f>
        <v>55</v>
      </c>
      <c r="S131" s="42" t="str">
        <f aca="false">IF(OR($J131="",$Q131="",$Q131=0),"",($J131+$R131)/($Q131*(1-Assumptions!$B$4)))</f>
        <v/>
      </c>
      <c r="T131" s="43" t="str">
        <f aca="false">IF(OR($K131="",$S131="",$S131=0),"",$K131/$S131)</f>
        <v/>
      </c>
      <c r="U131" s="44" t="str">
        <f aca="false">IF(OR($K131="",$Q131=""),"",MAX(0,($K131-MAX($K131*Assumptions!$B$4,Assumptions!$B$5))*$Q131-$R131))</f>
        <v/>
      </c>
      <c r="V131" s="40" t="str">
        <f aca="false">IF($A131="","",IF($O131="FAIL","REJECT",IF($J131="","NEEDS PRICE",IF(OR($K131="",$L131=""),"NEEDS VALUATION",IF($T131&gt;=Assumptions!$B$13,"BUY",IF($T131&gt;=1,"MARGINAL","PASS"))))))</f>
        <v>NEEDS PRICE</v>
      </c>
      <c r="W131" s="25" t="s">
        <v>395</v>
      </c>
      <c r="X131" s="35" t="s">
        <v>432</v>
      </c>
    </row>
    <row r="132" customFormat="false" ht="15" hidden="false" customHeight="false" outlineLevel="0" collapsed="false">
      <c r="A132" s="22" t="s">
        <v>433</v>
      </c>
      <c r="B132" s="36" t="str">
        <f aca="false">IF($A132="","",IF(ISERROR(FIND(".",$A132)),"",LOWER(MID($A132,FIND(CHAR(1),SUBSTITUTE($A132,".",CHAR(1),LEN($A132)-LEN(SUBSTITUTE($A132,".",""))))+1,LEN($A132)))))</f>
        <v>com</v>
      </c>
      <c r="C132" s="37" t="n">
        <f aca="false">IF($B132="","",IFERROR(INDEX(Rubric!$B$14:$B$23,MATCH($B132,Rubric!$A$14:$A$23,0)),INDEX(Rubric!$B$14:$B$23,MATCH("other",Rubric!$A$14:$A$23,0))))</f>
        <v>5</v>
      </c>
      <c r="D132" s="25" t="n">
        <v>4</v>
      </c>
      <c r="E132" s="25" t="n">
        <v>2</v>
      </c>
      <c r="F132" s="25" t="n">
        <v>5</v>
      </c>
      <c r="G132" s="25" t="n">
        <v>5</v>
      </c>
      <c r="H132" s="25" t="s">
        <v>176</v>
      </c>
      <c r="I132" s="25" t="s">
        <v>176</v>
      </c>
      <c r="J132" s="26"/>
      <c r="K132" s="27"/>
      <c r="L132" s="25"/>
      <c r="M132" s="38" t="n">
        <f aca="false">IF($B132="","",IFERROR(INDEX(Rubric!$C$14:$C$23,MATCH($B132,Rubric!$A$14:$A$23,0)),INDEX(Rubric!$C$14:$C$23,MATCH("other",Rubric!$A$14:$A$23,0))))</f>
        <v>11</v>
      </c>
      <c r="N132" s="39" t="n">
        <f aca="false">IF(OR($A132="",$C132=""),"",$C132*Rubric!$B$5+$D132*Rubric!$B$6+$E132*Rubric!$B$7+$F132*Rubric!$B$8+$G132*Rubric!$B$9)</f>
        <v>4.04</v>
      </c>
      <c r="O132" s="40" t="str">
        <f aca="false">IF($A132="","",IF(OR(UPPER($H132)="Y",UPPER($I132)="Y"),"FAIL","PASS"))</f>
        <v>PASS</v>
      </c>
      <c r="P132" s="41" t="n">
        <f aca="false">IF($N132="","",Assumptions!$B$6*MAX(0.05,($N132/Assumptions!$B$11)^Assumptions!$B$12))</f>
        <v>0.0134666666666667</v>
      </c>
      <c r="Q132" s="41" t="n">
        <f aca="false">IF($P132="","",1-(1-$P132)^Assumptions!$B$7)</f>
        <v>0.0655440801736189</v>
      </c>
      <c r="R132" s="42" t="n">
        <f aca="false">IF($M132="","",$M132*Assumptions!$B$7)</f>
        <v>55</v>
      </c>
      <c r="S132" s="42" t="str">
        <f aca="false">IF(OR($J132="",$Q132="",$Q132=0),"",($J132+$R132)/($Q132*(1-Assumptions!$B$4)))</f>
        <v/>
      </c>
      <c r="T132" s="43" t="str">
        <f aca="false">IF(OR($K132="",$S132="",$S132=0),"",$K132/$S132)</f>
        <v/>
      </c>
      <c r="U132" s="44" t="str">
        <f aca="false">IF(OR($K132="",$Q132=""),"",MAX(0,($K132-MAX($K132*Assumptions!$B$4,Assumptions!$B$5))*$Q132-$R132))</f>
        <v/>
      </c>
      <c r="V132" s="40" t="str">
        <f aca="false">IF($A132="","",IF($O132="FAIL","REJECT",IF($J132="","NEEDS PRICE",IF(OR($K132="",$L132=""),"NEEDS VALUATION",IF($T132&gt;=Assumptions!$B$13,"BUY",IF($T132&gt;=1,"MARGINAL","PASS"))))))</f>
        <v>NEEDS PRICE</v>
      </c>
      <c r="W132" s="25" t="s">
        <v>395</v>
      </c>
      <c r="X132" s="35" t="s">
        <v>434</v>
      </c>
    </row>
    <row r="133" customFormat="false" ht="23.85" hidden="false" customHeight="false" outlineLevel="0" collapsed="false">
      <c r="A133" s="22" t="s">
        <v>435</v>
      </c>
      <c r="B133" s="36" t="str">
        <f aca="false">IF($A133="","",IF(ISERROR(FIND(".",$A133)),"",LOWER(MID($A133,FIND(CHAR(1),SUBSTITUTE($A133,".",CHAR(1),LEN($A133)-LEN(SUBSTITUTE($A133,".",""))))+1,LEN($A133)))))</f>
        <v>com</v>
      </c>
      <c r="C133" s="37" t="n">
        <f aca="false">IF($B133="","",IFERROR(INDEX(Rubric!$B$14:$B$23,MATCH($B133,Rubric!$A$14:$A$23,0)),INDEX(Rubric!$B$14:$B$23,MATCH("other",Rubric!$A$14:$A$23,0))))</f>
        <v>5</v>
      </c>
      <c r="D133" s="25" t="n">
        <v>4</v>
      </c>
      <c r="E133" s="25" t="n">
        <v>2</v>
      </c>
      <c r="F133" s="25" t="n">
        <v>5</v>
      </c>
      <c r="G133" s="25" t="n">
        <v>4</v>
      </c>
      <c r="H133" s="25" t="s">
        <v>176</v>
      </c>
      <c r="I133" s="25" t="s">
        <v>176</v>
      </c>
      <c r="J133" s="26"/>
      <c r="K133" s="27"/>
      <c r="L133" s="25"/>
      <c r="M133" s="38" t="n">
        <f aca="false">IF($B133="","",IFERROR(INDEX(Rubric!$C$14:$C$23,MATCH($B133,Rubric!$A$14:$A$23,0)),INDEX(Rubric!$C$14:$C$23,MATCH("other",Rubric!$A$14:$A$23,0))))</f>
        <v>11</v>
      </c>
      <c r="N133" s="39" t="n">
        <f aca="false">IF(OR($A133="",$C133=""),"",$C133*Rubric!$B$5+$D133*Rubric!$B$6+$E133*Rubric!$B$7+$F133*Rubric!$B$8+$G133*Rubric!$B$9)</f>
        <v>3.94</v>
      </c>
      <c r="O133" s="40" t="str">
        <f aca="false">IF($A133="","",IF(OR(UPPER($H133)="Y",UPPER($I133)="Y"),"FAIL","PASS"))</f>
        <v>PASS</v>
      </c>
      <c r="P133" s="41" t="n">
        <f aca="false">IF($N133="","",Assumptions!$B$6*MAX(0.05,($N133/Assumptions!$B$11)^Assumptions!$B$12))</f>
        <v>0.0131333333333333</v>
      </c>
      <c r="Q133" s="41" t="n">
        <f aca="false">IF($P133="","",1-(1-$P133)^Assumptions!$B$7)</f>
        <v>0.0639643268155696</v>
      </c>
      <c r="R133" s="42" t="n">
        <f aca="false">IF($M133="","",$M133*Assumptions!$B$7)</f>
        <v>55</v>
      </c>
      <c r="S133" s="42" t="str">
        <f aca="false">IF(OR($J133="",$Q133="",$Q133=0),"",($J133+$R133)/($Q133*(1-Assumptions!$B$4)))</f>
        <v/>
      </c>
      <c r="T133" s="43" t="str">
        <f aca="false">IF(OR($K133="",$S133="",$S133=0),"",$K133/$S133)</f>
        <v/>
      </c>
      <c r="U133" s="44" t="str">
        <f aca="false">IF(OR($K133="",$Q133=""),"",MAX(0,($K133-MAX($K133*Assumptions!$B$4,Assumptions!$B$5))*$Q133-$R133))</f>
        <v/>
      </c>
      <c r="V133" s="40" t="str">
        <f aca="false">IF($A133="","",IF($O133="FAIL","REJECT",IF($J133="","NEEDS PRICE",IF(OR($K133="",$L133=""),"NEEDS VALUATION",IF($T133&gt;=Assumptions!$B$13,"BUY",IF($T133&gt;=1,"MARGINAL","PASS"))))))</f>
        <v>NEEDS PRICE</v>
      </c>
      <c r="W133" s="25" t="s">
        <v>395</v>
      </c>
      <c r="X133" s="35" t="s">
        <v>436</v>
      </c>
    </row>
    <row r="134" customFormat="false" ht="15" hidden="false" customHeight="false" outlineLevel="0" collapsed="false">
      <c r="A134" s="22" t="s">
        <v>437</v>
      </c>
      <c r="B134" s="36" t="str">
        <f aca="false">IF($A134="","",IF(ISERROR(FIND(".",$A134)),"",LOWER(MID($A134,FIND(CHAR(1),SUBSTITUTE($A134,".",CHAR(1),LEN($A134)-LEN(SUBSTITUTE($A134,".",""))))+1,LEN($A134)))))</f>
        <v>com</v>
      </c>
      <c r="C134" s="37" t="n">
        <f aca="false">IF($B134="","",IFERROR(INDEX(Rubric!$B$14:$B$23,MATCH($B134,Rubric!$A$14:$A$23,0)),INDEX(Rubric!$B$14:$B$23,MATCH("other",Rubric!$A$14:$A$23,0))))</f>
        <v>5</v>
      </c>
      <c r="D134" s="25" t="n">
        <v>4</v>
      </c>
      <c r="E134" s="25" t="n">
        <v>2</v>
      </c>
      <c r="F134" s="25" t="n">
        <v>3</v>
      </c>
      <c r="G134" s="25" t="n">
        <v>4</v>
      </c>
      <c r="H134" s="25" t="s">
        <v>176</v>
      </c>
      <c r="I134" s="25" t="s">
        <v>176</v>
      </c>
      <c r="J134" s="26"/>
      <c r="K134" s="27"/>
      <c r="L134" s="25"/>
      <c r="M134" s="38" t="n">
        <f aca="false">IF($B134="","",IFERROR(INDEX(Rubric!$C$14:$C$23,MATCH($B134,Rubric!$A$14:$A$23,0)),INDEX(Rubric!$C$14:$C$23,MATCH("other",Rubric!$A$14:$A$23,0))))</f>
        <v>11</v>
      </c>
      <c r="N134" s="39" t="n">
        <f aca="false">IF(OR($A134="",$C134=""),"",$C134*Rubric!$B$5+$D134*Rubric!$B$6+$E134*Rubric!$B$7+$F134*Rubric!$B$8+$G134*Rubric!$B$9)</f>
        <v>3.62</v>
      </c>
      <c r="O134" s="40" t="str">
        <f aca="false">IF($A134="","",IF(OR(UPPER($H134)="Y",UPPER($I134)="Y"),"FAIL","PASS"))</f>
        <v>PASS</v>
      </c>
      <c r="P134" s="41" t="n">
        <f aca="false">IF($N134="","",Assumptions!$B$6*MAX(0.05,($N134/Assumptions!$B$11)^Assumptions!$B$12))</f>
        <v>0.0120666666666667</v>
      </c>
      <c r="Q134" s="41" t="n">
        <f aca="false">IF($P134="","",1-(1-$P134)^Assumptions!$B$7)</f>
        <v>0.0588947527444019</v>
      </c>
      <c r="R134" s="42" t="n">
        <f aca="false">IF($M134="","",$M134*Assumptions!$B$7)</f>
        <v>55</v>
      </c>
      <c r="S134" s="42" t="str">
        <f aca="false">IF(OR($J134="",$Q134="",$Q134=0),"",($J134+$R134)/($Q134*(1-Assumptions!$B$4)))</f>
        <v/>
      </c>
      <c r="T134" s="43" t="str">
        <f aca="false">IF(OR($K134="",$S134="",$S134=0),"",$K134/$S134)</f>
        <v/>
      </c>
      <c r="U134" s="44" t="str">
        <f aca="false">IF(OR($K134="",$Q134=""),"",MAX(0,($K134-MAX($K134*Assumptions!$B$4,Assumptions!$B$5))*$Q134-$R134))</f>
        <v/>
      </c>
      <c r="V134" s="40" t="str">
        <f aca="false">IF($A134="","",IF($O134="FAIL","REJECT",IF($J134="","NEEDS PRICE",IF(OR($K134="",$L134=""),"NEEDS VALUATION",IF($T134&gt;=Assumptions!$B$13,"BUY",IF($T134&gt;=1,"MARGINAL","PASS"))))))</f>
        <v>NEEDS PRICE</v>
      </c>
      <c r="W134" s="25" t="s">
        <v>395</v>
      </c>
      <c r="X134" s="35" t="s">
        <v>438</v>
      </c>
    </row>
    <row r="135" customFormat="false" ht="15" hidden="false" customHeight="false" outlineLevel="0" collapsed="false">
      <c r="A135" s="22" t="s">
        <v>439</v>
      </c>
      <c r="B135" s="36" t="str">
        <f aca="false">IF($A135="","",IF(ISERROR(FIND(".",$A135)),"",LOWER(MID($A135,FIND(CHAR(1),SUBSTITUTE($A135,".",CHAR(1),LEN($A135)-LEN(SUBSTITUTE($A135,".",""))))+1,LEN($A135)))))</f>
        <v>com</v>
      </c>
      <c r="C135" s="37" t="n">
        <f aca="false">IF($B135="","",IFERROR(INDEX(Rubric!$B$14:$B$23,MATCH($B135,Rubric!$A$14:$A$23,0)),INDEX(Rubric!$B$14:$B$23,MATCH("other",Rubric!$A$14:$A$23,0))))</f>
        <v>5</v>
      </c>
      <c r="D135" s="25" t="n">
        <v>4</v>
      </c>
      <c r="E135" s="25" t="n">
        <v>2</v>
      </c>
      <c r="F135" s="25" t="n">
        <v>3</v>
      </c>
      <c r="G135" s="25" t="n">
        <v>4</v>
      </c>
      <c r="H135" s="25" t="s">
        <v>176</v>
      </c>
      <c r="I135" s="25" t="s">
        <v>176</v>
      </c>
      <c r="J135" s="26"/>
      <c r="K135" s="27"/>
      <c r="L135" s="25"/>
      <c r="M135" s="38" t="n">
        <f aca="false">IF($B135="","",IFERROR(INDEX(Rubric!$C$14:$C$23,MATCH($B135,Rubric!$A$14:$A$23,0)),INDEX(Rubric!$C$14:$C$23,MATCH("other",Rubric!$A$14:$A$23,0))))</f>
        <v>11</v>
      </c>
      <c r="N135" s="39" t="n">
        <f aca="false">IF(OR($A135="",$C135=""),"",$C135*Rubric!$B$5+$D135*Rubric!$B$6+$E135*Rubric!$B$7+$F135*Rubric!$B$8+$G135*Rubric!$B$9)</f>
        <v>3.62</v>
      </c>
      <c r="O135" s="40" t="str">
        <f aca="false">IF($A135="","",IF(OR(UPPER($H135)="Y",UPPER($I135)="Y"),"FAIL","PASS"))</f>
        <v>PASS</v>
      </c>
      <c r="P135" s="41" t="n">
        <f aca="false">IF($N135="","",Assumptions!$B$6*MAX(0.05,($N135/Assumptions!$B$11)^Assumptions!$B$12))</f>
        <v>0.0120666666666667</v>
      </c>
      <c r="Q135" s="41" t="n">
        <f aca="false">IF($P135="","",1-(1-$P135)^Assumptions!$B$7)</f>
        <v>0.0588947527444019</v>
      </c>
      <c r="R135" s="42" t="n">
        <f aca="false">IF($M135="","",$M135*Assumptions!$B$7)</f>
        <v>55</v>
      </c>
      <c r="S135" s="42" t="str">
        <f aca="false">IF(OR($J135="",$Q135="",$Q135=0),"",($J135+$R135)/($Q135*(1-Assumptions!$B$4)))</f>
        <v/>
      </c>
      <c r="T135" s="43" t="str">
        <f aca="false">IF(OR($K135="",$S135="",$S135=0),"",$K135/$S135)</f>
        <v/>
      </c>
      <c r="U135" s="44" t="str">
        <f aca="false">IF(OR($K135="",$Q135=""),"",MAX(0,($K135-MAX($K135*Assumptions!$B$4,Assumptions!$B$5))*$Q135-$R135))</f>
        <v/>
      </c>
      <c r="V135" s="40" t="str">
        <f aca="false">IF($A135="","",IF($O135="FAIL","REJECT",IF($J135="","NEEDS PRICE",IF(OR($K135="",$L135=""),"NEEDS VALUATION",IF($T135&gt;=Assumptions!$B$13,"BUY",IF($T135&gt;=1,"MARGINAL","PASS"))))))</f>
        <v>NEEDS PRICE</v>
      </c>
      <c r="W135" s="25" t="s">
        <v>395</v>
      </c>
      <c r="X135" s="35" t="s">
        <v>440</v>
      </c>
    </row>
    <row r="136" customFormat="false" ht="15" hidden="false" customHeight="false" outlineLevel="0" collapsed="false">
      <c r="A136" s="22" t="s">
        <v>441</v>
      </c>
      <c r="B136" s="36" t="str">
        <f aca="false">IF($A136="","",IF(ISERROR(FIND(".",$A136)),"",LOWER(MID($A136,FIND(CHAR(1),SUBSTITUTE($A136,".",CHAR(1),LEN($A136)-LEN(SUBSTITUTE($A136,".",""))))+1,LEN($A136)))))</f>
        <v>com</v>
      </c>
      <c r="C136" s="37" t="n">
        <f aca="false">IF($B136="","",IFERROR(INDEX(Rubric!$B$14:$B$23,MATCH($B136,Rubric!$A$14:$A$23,0)),INDEX(Rubric!$B$14:$B$23,MATCH("other",Rubric!$A$14:$A$23,0))))</f>
        <v>5</v>
      </c>
      <c r="D136" s="25" t="n">
        <v>4</v>
      </c>
      <c r="E136" s="25" t="n">
        <v>2</v>
      </c>
      <c r="F136" s="25" t="n">
        <v>4</v>
      </c>
      <c r="G136" s="25" t="n">
        <v>4</v>
      </c>
      <c r="H136" s="25" t="s">
        <v>176</v>
      </c>
      <c r="I136" s="25" t="s">
        <v>176</v>
      </c>
      <c r="J136" s="26"/>
      <c r="K136" s="27"/>
      <c r="L136" s="25"/>
      <c r="M136" s="38" t="n">
        <f aca="false">IF($B136="","",IFERROR(INDEX(Rubric!$C$14:$C$23,MATCH($B136,Rubric!$A$14:$A$23,0)),INDEX(Rubric!$C$14:$C$23,MATCH("other",Rubric!$A$14:$A$23,0))))</f>
        <v>11</v>
      </c>
      <c r="N136" s="39" t="n">
        <f aca="false">IF(OR($A136="",$C136=""),"",$C136*Rubric!$B$5+$D136*Rubric!$B$6+$E136*Rubric!$B$7+$F136*Rubric!$B$8+$G136*Rubric!$B$9)</f>
        <v>3.78</v>
      </c>
      <c r="O136" s="40" t="str">
        <f aca="false">IF($A136="","",IF(OR(UPPER($H136)="Y",UPPER($I136)="Y"),"FAIL","PASS"))</f>
        <v>PASS</v>
      </c>
      <c r="P136" s="41" t="n">
        <f aca="false">IF($N136="","",Assumptions!$B$6*MAX(0.05,($N136/Assumptions!$B$11)^Assumptions!$B$12))</f>
        <v>0.0126</v>
      </c>
      <c r="Q136" s="41" t="n">
        <f aca="false">IF($P136="","",1-(1-$P136)^Assumptions!$B$7)</f>
        <v>0.0614322780538914</v>
      </c>
      <c r="R136" s="42" t="n">
        <f aca="false">IF($M136="","",$M136*Assumptions!$B$7)</f>
        <v>55</v>
      </c>
      <c r="S136" s="42" t="str">
        <f aca="false">IF(OR($J136="",$Q136="",$Q136=0),"",($J136+$R136)/($Q136*(1-Assumptions!$B$4)))</f>
        <v/>
      </c>
      <c r="T136" s="43" t="str">
        <f aca="false">IF(OR($K136="",$S136="",$S136=0),"",$K136/$S136)</f>
        <v/>
      </c>
      <c r="U136" s="44" t="str">
        <f aca="false">IF(OR($K136="",$Q136=""),"",MAX(0,($K136-MAX($K136*Assumptions!$B$4,Assumptions!$B$5))*$Q136-$R136))</f>
        <v/>
      </c>
      <c r="V136" s="40" t="str">
        <f aca="false">IF($A136="","",IF($O136="FAIL","REJECT",IF($J136="","NEEDS PRICE",IF(OR($K136="",$L136=""),"NEEDS VALUATION",IF($T136&gt;=Assumptions!$B$13,"BUY",IF($T136&gt;=1,"MARGINAL","PASS"))))))</f>
        <v>NEEDS PRICE</v>
      </c>
      <c r="W136" s="25" t="s">
        <v>395</v>
      </c>
      <c r="X136" s="35" t="s">
        <v>442</v>
      </c>
    </row>
    <row r="137" customFormat="false" ht="23.85" hidden="false" customHeight="false" outlineLevel="0" collapsed="false">
      <c r="A137" s="22" t="s">
        <v>443</v>
      </c>
      <c r="B137" s="36" t="str">
        <f aca="false">IF($A137="","",IF(ISERROR(FIND(".",$A137)),"",LOWER(MID($A137,FIND(CHAR(1),SUBSTITUTE($A137,".",CHAR(1),LEN($A137)-LEN(SUBSTITUTE($A137,".",""))))+1,LEN($A137)))))</f>
        <v>com</v>
      </c>
      <c r="C137" s="37" t="n">
        <f aca="false">IF($B137="","",IFERROR(INDEX(Rubric!$B$14:$B$23,MATCH($B137,Rubric!$A$14:$A$23,0)),INDEX(Rubric!$B$14:$B$23,MATCH("other",Rubric!$A$14:$A$23,0))))</f>
        <v>5</v>
      </c>
      <c r="D137" s="25" t="n">
        <v>4</v>
      </c>
      <c r="E137" s="25" t="n">
        <v>2</v>
      </c>
      <c r="F137" s="25" t="n">
        <v>4</v>
      </c>
      <c r="G137" s="25" t="n">
        <v>4</v>
      </c>
      <c r="H137" s="25" t="s">
        <v>176</v>
      </c>
      <c r="I137" s="25" t="s">
        <v>176</v>
      </c>
      <c r="J137" s="26"/>
      <c r="K137" s="27"/>
      <c r="L137" s="25"/>
      <c r="M137" s="38" t="n">
        <f aca="false">IF($B137="","",IFERROR(INDEX(Rubric!$C$14:$C$23,MATCH($B137,Rubric!$A$14:$A$23,0)),INDEX(Rubric!$C$14:$C$23,MATCH("other",Rubric!$A$14:$A$23,0))))</f>
        <v>11</v>
      </c>
      <c r="N137" s="39" t="n">
        <f aca="false">IF(OR($A137="",$C137=""),"",$C137*Rubric!$B$5+$D137*Rubric!$B$6+$E137*Rubric!$B$7+$F137*Rubric!$B$8+$G137*Rubric!$B$9)</f>
        <v>3.78</v>
      </c>
      <c r="O137" s="40" t="str">
        <f aca="false">IF($A137="","",IF(OR(UPPER($H137)="Y",UPPER($I137)="Y"),"FAIL","PASS"))</f>
        <v>PASS</v>
      </c>
      <c r="P137" s="41" t="n">
        <f aca="false">IF($N137="","",Assumptions!$B$6*MAX(0.05,($N137/Assumptions!$B$11)^Assumptions!$B$12))</f>
        <v>0.0126</v>
      </c>
      <c r="Q137" s="41" t="n">
        <f aca="false">IF($P137="","",1-(1-$P137)^Assumptions!$B$7)</f>
        <v>0.0614322780538914</v>
      </c>
      <c r="R137" s="42" t="n">
        <f aca="false">IF($M137="","",$M137*Assumptions!$B$7)</f>
        <v>55</v>
      </c>
      <c r="S137" s="42" t="str">
        <f aca="false">IF(OR($J137="",$Q137="",$Q137=0),"",($J137+$R137)/($Q137*(1-Assumptions!$B$4)))</f>
        <v/>
      </c>
      <c r="T137" s="43" t="str">
        <f aca="false">IF(OR($K137="",$S137="",$S137=0),"",$K137/$S137)</f>
        <v/>
      </c>
      <c r="U137" s="44" t="str">
        <f aca="false">IF(OR($K137="",$Q137=""),"",MAX(0,($K137-MAX($K137*Assumptions!$B$4,Assumptions!$B$5))*$Q137-$R137))</f>
        <v/>
      </c>
      <c r="V137" s="40" t="str">
        <f aca="false">IF($A137="","",IF($O137="FAIL","REJECT",IF($J137="","NEEDS PRICE",IF(OR($K137="",$L137=""),"NEEDS VALUATION",IF($T137&gt;=Assumptions!$B$13,"BUY",IF($T137&gt;=1,"MARGINAL","PASS"))))))</f>
        <v>NEEDS PRICE</v>
      </c>
      <c r="W137" s="25" t="s">
        <v>395</v>
      </c>
      <c r="X137" s="35" t="s">
        <v>444</v>
      </c>
    </row>
    <row r="138" customFormat="false" ht="23.85" hidden="false" customHeight="false" outlineLevel="0" collapsed="false">
      <c r="A138" s="22" t="s">
        <v>445</v>
      </c>
      <c r="B138" s="36" t="str">
        <f aca="false">IF($A138="","",IF(ISERROR(FIND(".",$A138)),"",LOWER(MID($A138,FIND(CHAR(1),SUBSTITUTE($A138,".",CHAR(1),LEN($A138)-LEN(SUBSTITUTE($A138,".",""))))+1,LEN($A138)))))</f>
        <v>com</v>
      </c>
      <c r="C138" s="37" t="n">
        <f aca="false">IF($B138="","",IFERROR(INDEX(Rubric!$B$14:$B$23,MATCH($B138,Rubric!$A$14:$A$23,0)),INDEX(Rubric!$B$14:$B$23,MATCH("other",Rubric!$A$14:$A$23,0))))</f>
        <v>5</v>
      </c>
      <c r="D138" s="25" t="n">
        <v>4</v>
      </c>
      <c r="E138" s="25" t="n">
        <v>2</v>
      </c>
      <c r="F138" s="25" t="n">
        <v>4</v>
      </c>
      <c r="G138" s="25" t="n">
        <v>5</v>
      </c>
      <c r="H138" s="25" t="s">
        <v>176</v>
      </c>
      <c r="I138" s="25" t="s">
        <v>176</v>
      </c>
      <c r="J138" s="26"/>
      <c r="K138" s="27"/>
      <c r="L138" s="25"/>
      <c r="M138" s="38" t="n">
        <f aca="false">IF($B138="","",IFERROR(INDEX(Rubric!$C$14:$C$23,MATCH($B138,Rubric!$A$14:$A$23,0)),INDEX(Rubric!$C$14:$C$23,MATCH("other",Rubric!$A$14:$A$23,0))))</f>
        <v>11</v>
      </c>
      <c r="N138" s="39" t="n">
        <f aca="false">IF(OR($A138="",$C138=""),"",$C138*Rubric!$B$5+$D138*Rubric!$B$6+$E138*Rubric!$B$7+$F138*Rubric!$B$8+$G138*Rubric!$B$9)</f>
        <v>3.88</v>
      </c>
      <c r="O138" s="40" t="str">
        <f aca="false">IF($A138="","",IF(OR(UPPER($H138)="Y",UPPER($I138)="Y"),"FAIL","PASS"))</f>
        <v>PASS</v>
      </c>
      <c r="P138" s="41" t="n">
        <f aca="false">IF($N138="","",Assumptions!$B$6*MAX(0.05,($N138/Assumptions!$B$11)^Assumptions!$B$12))</f>
        <v>0.0129333333333333</v>
      </c>
      <c r="Q138" s="41" t="n">
        <f aca="false">IF($P138="","",1-(1-$P138)^Assumptions!$B$7)</f>
        <v>0.0630154497496728</v>
      </c>
      <c r="R138" s="42" t="n">
        <f aca="false">IF($M138="","",$M138*Assumptions!$B$7)</f>
        <v>55</v>
      </c>
      <c r="S138" s="42" t="str">
        <f aca="false">IF(OR($J138="",$Q138="",$Q138=0),"",($J138+$R138)/($Q138*(1-Assumptions!$B$4)))</f>
        <v/>
      </c>
      <c r="T138" s="43" t="str">
        <f aca="false">IF(OR($K138="",$S138="",$S138=0),"",$K138/$S138)</f>
        <v/>
      </c>
      <c r="U138" s="44" t="str">
        <f aca="false">IF(OR($K138="",$Q138=""),"",MAX(0,($K138-MAX($K138*Assumptions!$B$4,Assumptions!$B$5))*$Q138-$R138))</f>
        <v/>
      </c>
      <c r="V138" s="40" t="str">
        <f aca="false">IF($A138="","",IF($O138="FAIL","REJECT",IF($J138="","NEEDS PRICE",IF(OR($K138="",$L138=""),"NEEDS VALUATION",IF($T138&gt;=Assumptions!$B$13,"BUY",IF($T138&gt;=1,"MARGINAL","PASS"))))))</f>
        <v>NEEDS PRICE</v>
      </c>
      <c r="W138" s="25" t="s">
        <v>395</v>
      </c>
      <c r="X138" s="35" t="s">
        <v>446</v>
      </c>
    </row>
    <row r="139" customFormat="false" ht="15" hidden="false" customHeight="false" outlineLevel="0" collapsed="false">
      <c r="A139" s="22" t="s">
        <v>447</v>
      </c>
      <c r="B139" s="36" t="str">
        <f aca="false">IF($A139="","",IF(ISERROR(FIND(".",$A139)),"",LOWER(MID($A139,FIND(CHAR(1),SUBSTITUTE($A139,".",CHAR(1),LEN($A139)-LEN(SUBSTITUTE($A139,".",""))))+1,LEN($A139)))))</f>
        <v>com</v>
      </c>
      <c r="C139" s="37" t="n">
        <f aca="false">IF($B139="","",IFERROR(INDEX(Rubric!$B$14:$B$23,MATCH($B139,Rubric!$A$14:$A$23,0)),INDEX(Rubric!$B$14:$B$23,MATCH("other",Rubric!$A$14:$A$23,0))))</f>
        <v>5</v>
      </c>
      <c r="D139" s="25" t="n">
        <v>4</v>
      </c>
      <c r="E139" s="25" t="n">
        <v>2</v>
      </c>
      <c r="F139" s="25" t="n">
        <v>5</v>
      </c>
      <c r="G139" s="25" t="n">
        <v>5</v>
      </c>
      <c r="H139" s="25" t="s">
        <v>176</v>
      </c>
      <c r="I139" s="25" t="s">
        <v>176</v>
      </c>
      <c r="J139" s="26"/>
      <c r="K139" s="27"/>
      <c r="L139" s="25"/>
      <c r="M139" s="38" t="n">
        <f aca="false">IF($B139="","",IFERROR(INDEX(Rubric!$C$14:$C$23,MATCH($B139,Rubric!$A$14:$A$23,0)),INDEX(Rubric!$C$14:$C$23,MATCH("other",Rubric!$A$14:$A$23,0))))</f>
        <v>11</v>
      </c>
      <c r="N139" s="39" t="n">
        <f aca="false">IF(OR($A139="",$C139=""),"",$C139*Rubric!$B$5+$D139*Rubric!$B$6+$E139*Rubric!$B$7+$F139*Rubric!$B$8+$G139*Rubric!$B$9)</f>
        <v>4.04</v>
      </c>
      <c r="O139" s="40" t="str">
        <f aca="false">IF($A139="","",IF(OR(UPPER($H139)="Y",UPPER($I139)="Y"),"FAIL","PASS"))</f>
        <v>PASS</v>
      </c>
      <c r="P139" s="41" t="n">
        <f aca="false">IF($N139="","",Assumptions!$B$6*MAX(0.05,($N139/Assumptions!$B$11)^Assumptions!$B$12))</f>
        <v>0.0134666666666667</v>
      </c>
      <c r="Q139" s="41" t="n">
        <f aca="false">IF($P139="","",1-(1-$P139)^Assumptions!$B$7)</f>
        <v>0.0655440801736189</v>
      </c>
      <c r="R139" s="42" t="n">
        <f aca="false">IF($M139="","",$M139*Assumptions!$B$7)</f>
        <v>55</v>
      </c>
      <c r="S139" s="42" t="str">
        <f aca="false">IF(OR($J139="",$Q139="",$Q139=0),"",($J139+$R139)/($Q139*(1-Assumptions!$B$4)))</f>
        <v/>
      </c>
      <c r="T139" s="43" t="str">
        <f aca="false">IF(OR($K139="",$S139="",$S139=0),"",$K139/$S139)</f>
        <v/>
      </c>
      <c r="U139" s="44" t="str">
        <f aca="false">IF(OR($K139="",$Q139=""),"",MAX(0,($K139-MAX($K139*Assumptions!$B$4,Assumptions!$B$5))*$Q139-$R139))</f>
        <v/>
      </c>
      <c r="V139" s="40" t="str">
        <f aca="false">IF($A139="","",IF($O139="FAIL","REJECT",IF($J139="","NEEDS PRICE",IF(OR($K139="",$L139=""),"NEEDS VALUATION",IF($T139&gt;=Assumptions!$B$13,"BUY",IF($T139&gt;=1,"MARGINAL","PASS"))))))</f>
        <v>NEEDS PRICE</v>
      </c>
      <c r="W139" s="25" t="s">
        <v>395</v>
      </c>
      <c r="X139" s="35" t="s">
        <v>448</v>
      </c>
    </row>
    <row r="140" customFormat="false" ht="15" hidden="false" customHeight="false" outlineLevel="0" collapsed="false">
      <c r="A140" s="22" t="s">
        <v>449</v>
      </c>
      <c r="B140" s="36" t="str">
        <f aca="false">IF($A140="","",IF(ISERROR(FIND(".",$A140)),"",LOWER(MID($A140,FIND(CHAR(1),SUBSTITUTE($A140,".",CHAR(1),LEN($A140)-LEN(SUBSTITUTE($A140,".",""))))+1,LEN($A140)))))</f>
        <v>com</v>
      </c>
      <c r="C140" s="37" t="n">
        <f aca="false">IF($B140="","",IFERROR(INDEX(Rubric!$B$14:$B$23,MATCH($B140,Rubric!$A$14:$A$23,0)),INDEX(Rubric!$B$14:$B$23,MATCH("other",Rubric!$A$14:$A$23,0))))</f>
        <v>5</v>
      </c>
      <c r="D140" s="25" t="n">
        <v>4</v>
      </c>
      <c r="E140" s="25" t="n">
        <v>2</v>
      </c>
      <c r="F140" s="25" t="n">
        <v>5</v>
      </c>
      <c r="G140" s="25" t="n">
        <v>5</v>
      </c>
      <c r="H140" s="25" t="s">
        <v>176</v>
      </c>
      <c r="I140" s="25" t="s">
        <v>176</v>
      </c>
      <c r="J140" s="26"/>
      <c r="K140" s="27"/>
      <c r="L140" s="25"/>
      <c r="M140" s="38" t="n">
        <f aca="false">IF($B140="","",IFERROR(INDEX(Rubric!$C$14:$C$23,MATCH($B140,Rubric!$A$14:$A$23,0)),INDEX(Rubric!$C$14:$C$23,MATCH("other",Rubric!$A$14:$A$23,0))))</f>
        <v>11</v>
      </c>
      <c r="N140" s="39" t="n">
        <f aca="false">IF(OR($A140="",$C140=""),"",$C140*Rubric!$B$5+$D140*Rubric!$B$6+$E140*Rubric!$B$7+$F140*Rubric!$B$8+$G140*Rubric!$B$9)</f>
        <v>4.04</v>
      </c>
      <c r="O140" s="40" t="str">
        <f aca="false">IF($A140="","",IF(OR(UPPER($H140)="Y",UPPER($I140)="Y"),"FAIL","PASS"))</f>
        <v>PASS</v>
      </c>
      <c r="P140" s="41" t="n">
        <f aca="false">IF($N140="","",Assumptions!$B$6*MAX(0.05,($N140/Assumptions!$B$11)^Assumptions!$B$12))</f>
        <v>0.0134666666666667</v>
      </c>
      <c r="Q140" s="41" t="n">
        <f aca="false">IF($P140="","",1-(1-$P140)^Assumptions!$B$7)</f>
        <v>0.0655440801736189</v>
      </c>
      <c r="R140" s="42" t="n">
        <f aca="false">IF($M140="","",$M140*Assumptions!$B$7)</f>
        <v>55</v>
      </c>
      <c r="S140" s="42" t="str">
        <f aca="false">IF(OR($J140="",$Q140="",$Q140=0),"",($J140+$R140)/($Q140*(1-Assumptions!$B$4)))</f>
        <v/>
      </c>
      <c r="T140" s="43" t="str">
        <f aca="false">IF(OR($K140="",$S140="",$S140=0),"",$K140/$S140)</f>
        <v/>
      </c>
      <c r="U140" s="44" t="str">
        <f aca="false">IF(OR($K140="",$Q140=""),"",MAX(0,($K140-MAX($K140*Assumptions!$B$4,Assumptions!$B$5))*$Q140-$R140))</f>
        <v/>
      </c>
      <c r="V140" s="40" t="str">
        <f aca="false">IF($A140="","",IF($O140="FAIL","REJECT",IF($J140="","NEEDS PRICE",IF(OR($K140="",$L140=""),"NEEDS VALUATION",IF($T140&gt;=Assumptions!$B$13,"BUY",IF($T140&gt;=1,"MARGINAL","PASS"))))))</f>
        <v>NEEDS PRICE</v>
      </c>
      <c r="W140" s="25" t="s">
        <v>395</v>
      </c>
      <c r="X140" s="35" t="s">
        <v>450</v>
      </c>
    </row>
    <row r="141" customFormat="false" ht="15" hidden="false" customHeight="false" outlineLevel="0" collapsed="false">
      <c r="A141" s="22" t="s">
        <v>451</v>
      </c>
      <c r="B141" s="36" t="str">
        <f aca="false">IF($A141="","",IF(ISERROR(FIND(".",$A141)),"",LOWER(MID($A141,FIND(CHAR(1),SUBSTITUTE($A141,".",CHAR(1),LEN($A141)-LEN(SUBSTITUTE($A141,".",""))))+1,LEN($A141)))))</f>
        <v>com</v>
      </c>
      <c r="C141" s="37" t="n">
        <f aca="false">IF($B141="","",IFERROR(INDEX(Rubric!$B$14:$B$23,MATCH($B141,Rubric!$A$14:$A$23,0)),INDEX(Rubric!$B$14:$B$23,MATCH("other",Rubric!$A$14:$A$23,0))))</f>
        <v>5</v>
      </c>
      <c r="D141" s="25" t="n">
        <v>4</v>
      </c>
      <c r="E141" s="25" t="n">
        <v>2</v>
      </c>
      <c r="F141" s="25" t="n">
        <v>5</v>
      </c>
      <c r="G141" s="25" t="n">
        <v>5</v>
      </c>
      <c r="H141" s="25" t="s">
        <v>176</v>
      </c>
      <c r="I141" s="25" t="s">
        <v>176</v>
      </c>
      <c r="J141" s="26"/>
      <c r="K141" s="27"/>
      <c r="L141" s="25"/>
      <c r="M141" s="38" t="n">
        <f aca="false">IF($B141="","",IFERROR(INDEX(Rubric!$C$14:$C$23,MATCH($B141,Rubric!$A$14:$A$23,0)),INDEX(Rubric!$C$14:$C$23,MATCH("other",Rubric!$A$14:$A$23,0))))</f>
        <v>11</v>
      </c>
      <c r="N141" s="39" t="n">
        <f aca="false">IF(OR($A141="",$C141=""),"",$C141*Rubric!$B$5+$D141*Rubric!$B$6+$E141*Rubric!$B$7+$F141*Rubric!$B$8+$G141*Rubric!$B$9)</f>
        <v>4.04</v>
      </c>
      <c r="O141" s="40" t="str">
        <f aca="false">IF($A141="","",IF(OR(UPPER($H141)="Y",UPPER($I141)="Y"),"FAIL","PASS"))</f>
        <v>PASS</v>
      </c>
      <c r="P141" s="41" t="n">
        <f aca="false">IF($N141="","",Assumptions!$B$6*MAX(0.05,($N141/Assumptions!$B$11)^Assumptions!$B$12))</f>
        <v>0.0134666666666667</v>
      </c>
      <c r="Q141" s="41" t="n">
        <f aca="false">IF($P141="","",1-(1-$P141)^Assumptions!$B$7)</f>
        <v>0.0655440801736189</v>
      </c>
      <c r="R141" s="42" t="n">
        <f aca="false">IF($M141="","",$M141*Assumptions!$B$7)</f>
        <v>55</v>
      </c>
      <c r="S141" s="42" t="str">
        <f aca="false">IF(OR($J141="",$Q141="",$Q141=0),"",($J141+$R141)/($Q141*(1-Assumptions!$B$4)))</f>
        <v/>
      </c>
      <c r="T141" s="43" t="str">
        <f aca="false">IF(OR($K141="",$S141="",$S141=0),"",$K141/$S141)</f>
        <v/>
      </c>
      <c r="U141" s="44" t="str">
        <f aca="false">IF(OR($K141="",$Q141=""),"",MAX(0,($K141-MAX($K141*Assumptions!$B$4,Assumptions!$B$5))*$Q141-$R141))</f>
        <v/>
      </c>
      <c r="V141" s="40" t="str">
        <f aca="false">IF($A141="","",IF($O141="FAIL","REJECT",IF($J141="","NEEDS PRICE",IF(OR($K141="",$L141=""),"NEEDS VALUATION",IF($T141&gt;=Assumptions!$B$13,"BUY",IF($T141&gt;=1,"MARGINAL","PASS"))))))</f>
        <v>NEEDS PRICE</v>
      </c>
      <c r="W141" s="25" t="s">
        <v>395</v>
      </c>
      <c r="X141" s="35" t="s">
        <v>452</v>
      </c>
    </row>
    <row r="142" customFormat="false" ht="15" hidden="false" customHeight="false" outlineLevel="0" collapsed="false">
      <c r="A142" s="22" t="s">
        <v>453</v>
      </c>
      <c r="B142" s="36" t="str">
        <f aca="false">IF($A142="","",IF(ISERROR(FIND(".",$A142)),"",LOWER(MID($A142,FIND(CHAR(1),SUBSTITUTE($A142,".",CHAR(1),LEN($A142)-LEN(SUBSTITUTE($A142,".",""))))+1,LEN($A142)))))</f>
        <v>com</v>
      </c>
      <c r="C142" s="37" t="n">
        <f aca="false">IF($B142="","",IFERROR(INDEX(Rubric!$B$14:$B$23,MATCH($B142,Rubric!$A$14:$A$23,0)),INDEX(Rubric!$B$14:$B$23,MATCH("other",Rubric!$A$14:$A$23,0))))</f>
        <v>5</v>
      </c>
      <c r="D142" s="25" t="n">
        <v>3</v>
      </c>
      <c r="E142" s="25" t="n">
        <v>2</v>
      </c>
      <c r="F142" s="25" t="n">
        <v>5</v>
      </c>
      <c r="G142" s="25" t="n">
        <v>5</v>
      </c>
      <c r="H142" s="25" t="s">
        <v>176</v>
      </c>
      <c r="I142" s="25" t="s">
        <v>176</v>
      </c>
      <c r="J142" s="26"/>
      <c r="K142" s="27"/>
      <c r="L142" s="25"/>
      <c r="M142" s="38" t="n">
        <f aca="false">IF($B142="","",IFERROR(INDEX(Rubric!$C$14:$C$23,MATCH($B142,Rubric!$A$14:$A$23,0)),INDEX(Rubric!$C$14:$C$23,MATCH("other",Rubric!$A$14:$A$23,0))))</f>
        <v>11</v>
      </c>
      <c r="N142" s="39" t="n">
        <f aca="false">IF(OR($A142="",$C142=""),"",$C142*Rubric!$B$5+$D142*Rubric!$B$6+$E142*Rubric!$B$7+$F142*Rubric!$B$8+$G142*Rubric!$B$9)</f>
        <v>3.74</v>
      </c>
      <c r="O142" s="40" t="str">
        <f aca="false">IF($A142="","",IF(OR(UPPER($H142)="Y",UPPER($I142)="Y"),"FAIL","PASS"))</f>
        <v>PASS</v>
      </c>
      <c r="P142" s="41" t="n">
        <f aca="false">IF($N142="","",Assumptions!$B$6*MAX(0.05,($N142/Assumptions!$B$11)^Assumptions!$B$12))</f>
        <v>0.0124666666666667</v>
      </c>
      <c r="Q142" s="41" t="n">
        <f aca="false">IF($P142="","",1-(1-$P142)^Assumptions!$B$7)</f>
        <v>0.0607984104995518</v>
      </c>
      <c r="R142" s="42" t="n">
        <f aca="false">IF($M142="","",$M142*Assumptions!$B$7)</f>
        <v>55</v>
      </c>
      <c r="S142" s="42" t="str">
        <f aca="false">IF(OR($J142="",$Q142="",$Q142=0),"",($J142+$R142)/($Q142*(1-Assumptions!$B$4)))</f>
        <v/>
      </c>
      <c r="T142" s="43" t="str">
        <f aca="false">IF(OR($K142="",$S142="",$S142=0),"",$K142/$S142)</f>
        <v/>
      </c>
      <c r="U142" s="44" t="str">
        <f aca="false">IF(OR($K142="",$Q142=""),"",MAX(0,($K142-MAX($K142*Assumptions!$B$4,Assumptions!$B$5))*$Q142-$R142))</f>
        <v/>
      </c>
      <c r="V142" s="40" t="str">
        <f aca="false">IF($A142="","",IF($O142="FAIL","REJECT",IF($J142="","NEEDS PRICE",IF(OR($K142="",$L142=""),"NEEDS VALUATION",IF($T142&gt;=Assumptions!$B$13,"BUY",IF($T142&gt;=1,"MARGINAL","PASS"))))))</f>
        <v>NEEDS PRICE</v>
      </c>
      <c r="W142" s="25" t="s">
        <v>395</v>
      </c>
      <c r="X142" s="35" t="s">
        <v>454</v>
      </c>
    </row>
    <row r="143" customFormat="false" ht="23.85" hidden="false" customHeight="false" outlineLevel="0" collapsed="false">
      <c r="A143" s="22" t="s">
        <v>455</v>
      </c>
      <c r="B143" s="36" t="str">
        <f aca="false">IF($A143="","",IF(ISERROR(FIND(".",$A143)),"",LOWER(MID($A143,FIND(CHAR(1),SUBSTITUTE($A143,".",CHAR(1),LEN($A143)-LEN(SUBSTITUTE($A143,".",""))))+1,LEN($A143)))))</f>
        <v>com</v>
      </c>
      <c r="C143" s="37" t="n">
        <f aca="false">IF($B143="","",IFERROR(INDEX(Rubric!$B$14:$B$23,MATCH($B143,Rubric!$A$14:$A$23,0)),INDEX(Rubric!$B$14:$B$23,MATCH("other",Rubric!$A$14:$A$23,0))))</f>
        <v>5</v>
      </c>
      <c r="D143" s="25" t="n">
        <v>3</v>
      </c>
      <c r="E143" s="25" t="n">
        <v>2</v>
      </c>
      <c r="F143" s="25" t="n">
        <v>5</v>
      </c>
      <c r="G143" s="25" t="n">
        <v>5</v>
      </c>
      <c r="H143" s="25" t="s">
        <v>176</v>
      </c>
      <c r="I143" s="25" t="s">
        <v>176</v>
      </c>
      <c r="J143" s="26"/>
      <c r="K143" s="27"/>
      <c r="L143" s="25"/>
      <c r="M143" s="38" t="n">
        <f aca="false">IF($B143="","",IFERROR(INDEX(Rubric!$C$14:$C$23,MATCH($B143,Rubric!$A$14:$A$23,0)),INDEX(Rubric!$C$14:$C$23,MATCH("other",Rubric!$A$14:$A$23,0))))</f>
        <v>11</v>
      </c>
      <c r="N143" s="39" t="n">
        <f aca="false">IF(OR($A143="",$C143=""),"",$C143*Rubric!$B$5+$D143*Rubric!$B$6+$E143*Rubric!$B$7+$F143*Rubric!$B$8+$G143*Rubric!$B$9)</f>
        <v>3.74</v>
      </c>
      <c r="O143" s="40" t="str">
        <f aca="false">IF($A143="","",IF(OR(UPPER($H143)="Y",UPPER($I143)="Y"),"FAIL","PASS"))</f>
        <v>PASS</v>
      </c>
      <c r="P143" s="41" t="n">
        <f aca="false">IF($N143="","",Assumptions!$B$6*MAX(0.05,($N143/Assumptions!$B$11)^Assumptions!$B$12))</f>
        <v>0.0124666666666667</v>
      </c>
      <c r="Q143" s="41" t="n">
        <f aca="false">IF($P143="","",1-(1-$P143)^Assumptions!$B$7)</f>
        <v>0.0607984104995518</v>
      </c>
      <c r="R143" s="42" t="n">
        <f aca="false">IF($M143="","",$M143*Assumptions!$B$7)</f>
        <v>55</v>
      </c>
      <c r="S143" s="42" t="str">
        <f aca="false">IF(OR($J143="",$Q143="",$Q143=0),"",($J143+$R143)/($Q143*(1-Assumptions!$B$4)))</f>
        <v/>
      </c>
      <c r="T143" s="43" t="str">
        <f aca="false">IF(OR($K143="",$S143="",$S143=0),"",$K143/$S143)</f>
        <v/>
      </c>
      <c r="U143" s="44" t="str">
        <f aca="false">IF(OR($K143="",$Q143=""),"",MAX(0,($K143-MAX($K143*Assumptions!$B$4,Assumptions!$B$5))*$Q143-$R143))</f>
        <v/>
      </c>
      <c r="V143" s="40" t="str">
        <f aca="false">IF($A143="","",IF($O143="FAIL","REJECT",IF($J143="","NEEDS PRICE",IF(OR($K143="",$L143=""),"NEEDS VALUATION",IF($T143&gt;=Assumptions!$B$13,"BUY",IF($T143&gt;=1,"MARGINAL","PASS"))))))</f>
        <v>NEEDS PRICE</v>
      </c>
      <c r="W143" s="25" t="s">
        <v>395</v>
      </c>
      <c r="X143" s="35" t="s">
        <v>456</v>
      </c>
    </row>
    <row r="144" customFormat="false" ht="23.85" hidden="false" customHeight="false" outlineLevel="0" collapsed="false">
      <c r="A144" s="22" t="s">
        <v>457</v>
      </c>
      <c r="B144" s="36" t="str">
        <f aca="false">IF($A144="","",IF(ISERROR(FIND(".",$A144)),"",LOWER(MID($A144,FIND(CHAR(1),SUBSTITUTE($A144,".",CHAR(1),LEN($A144)-LEN(SUBSTITUTE($A144,".",""))))+1,LEN($A144)))))</f>
        <v>com</v>
      </c>
      <c r="C144" s="37" t="n">
        <f aca="false">IF($B144="","",IFERROR(INDEX(Rubric!$B$14:$B$23,MATCH($B144,Rubric!$A$14:$A$23,0)),INDEX(Rubric!$B$14:$B$23,MATCH("other",Rubric!$A$14:$A$23,0))))</f>
        <v>5</v>
      </c>
      <c r="D144" s="25" t="n">
        <v>5</v>
      </c>
      <c r="E144" s="25" t="n">
        <v>3</v>
      </c>
      <c r="F144" s="25" t="n">
        <v>4</v>
      </c>
      <c r="G144" s="25" t="n">
        <v>5</v>
      </c>
      <c r="H144" s="25" t="s">
        <v>176</v>
      </c>
      <c r="I144" s="25" t="s">
        <v>176</v>
      </c>
      <c r="J144" s="26"/>
      <c r="K144" s="27"/>
      <c r="L144" s="25"/>
      <c r="M144" s="38" t="n">
        <f aca="false">IF($B144="","",IFERROR(INDEX(Rubric!$C$14:$C$23,MATCH($B144,Rubric!$A$14:$A$23,0)),INDEX(Rubric!$C$14:$C$23,MATCH("other",Rubric!$A$14:$A$23,0))))</f>
        <v>11</v>
      </c>
      <c r="N144" s="39" t="n">
        <f aca="false">IF(OR($A144="",$C144=""),"",$C144*Rubric!$B$5+$D144*Rubric!$B$6+$E144*Rubric!$B$7+$F144*Rubric!$B$8+$G144*Rubric!$B$9)</f>
        <v>4.4</v>
      </c>
      <c r="O144" s="40" t="str">
        <f aca="false">IF($A144="","",IF(OR(UPPER($H144)="Y",UPPER($I144)="Y"),"FAIL","PASS"))</f>
        <v>PASS</v>
      </c>
      <c r="P144" s="41" t="n">
        <f aca="false">IF($N144="","",Assumptions!$B$6*MAX(0.05,($N144/Assumptions!$B$11)^Assumptions!$B$12))</f>
        <v>0.0146666666666667</v>
      </c>
      <c r="Q144" s="41" t="n">
        <f aca="false">IF($P144="","",1-(1-$P144)^Assumptions!$B$7)</f>
        <v>0.0712135411665691</v>
      </c>
      <c r="R144" s="42" t="n">
        <f aca="false">IF($M144="","",$M144*Assumptions!$B$7)</f>
        <v>55</v>
      </c>
      <c r="S144" s="42" t="str">
        <f aca="false">IF(OR($J144="",$Q144="",$Q144=0),"",($J144+$R144)/($Q144*(1-Assumptions!$B$4)))</f>
        <v/>
      </c>
      <c r="T144" s="43" t="str">
        <f aca="false">IF(OR($K144="",$S144="",$S144=0),"",$K144/$S144)</f>
        <v/>
      </c>
      <c r="U144" s="44" t="str">
        <f aca="false">IF(OR($K144="",$Q144=""),"",MAX(0,($K144-MAX($K144*Assumptions!$B$4,Assumptions!$B$5))*$Q144-$R144))</f>
        <v/>
      </c>
      <c r="V144" s="40" t="str">
        <f aca="false">IF($A144="","",IF($O144="FAIL","REJECT",IF($J144="","NEEDS PRICE",IF(OR($K144="",$L144=""),"NEEDS VALUATION",IF($T144&gt;=Assumptions!$B$13,"BUY",IF($T144&gt;=1,"MARGINAL","PASS"))))))</f>
        <v>NEEDS PRICE</v>
      </c>
      <c r="W144" s="25" t="s">
        <v>395</v>
      </c>
      <c r="X144" s="35" t="s">
        <v>458</v>
      </c>
    </row>
    <row r="145" customFormat="false" ht="15" hidden="false" customHeight="false" outlineLevel="0" collapsed="false">
      <c r="A145" s="22" t="s">
        <v>459</v>
      </c>
      <c r="B145" s="36" t="str">
        <f aca="false">IF($A145="","",IF(ISERROR(FIND(".",$A145)),"",LOWER(MID($A145,FIND(CHAR(1),SUBSTITUTE($A145,".",CHAR(1),LEN($A145)-LEN(SUBSTITUTE($A145,".",""))))+1,LEN($A145)))))</f>
        <v>com</v>
      </c>
      <c r="C145" s="37" t="n">
        <f aca="false">IF($B145="","",IFERROR(INDEX(Rubric!$B$14:$B$23,MATCH($B145,Rubric!$A$14:$A$23,0)),INDEX(Rubric!$B$14:$B$23,MATCH("other",Rubric!$A$14:$A$23,0))))</f>
        <v>5</v>
      </c>
      <c r="D145" s="25" t="n">
        <v>5</v>
      </c>
      <c r="E145" s="25" t="n">
        <v>3</v>
      </c>
      <c r="F145" s="25" t="n">
        <v>5</v>
      </c>
      <c r="G145" s="25" t="n">
        <v>5</v>
      </c>
      <c r="H145" s="25" t="s">
        <v>176</v>
      </c>
      <c r="I145" s="25" t="s">
        <v>176</v>
      </c>
      <c r="J145" s="26"/>
      <c r="K145" s="27"/>
      <c r="L145" s="25"/>
      <c r="M145" s="38" t="n">
        <f aca="false">IF($B145="","",IFERROR(INDEX(Rubric!$C$14:$C$23,MATCH($B145,Rubric!$A$14:$A$23,0)),INDEX(Rubric!$C$14:$C$23,MATCH("other",Rubric!$A$14:$A$23,0))))</f>
        <v>11</v>
      </c>
      <c r="N145" s="39" t="n">
        <f aca="false">IF(OR($A145="",$C145=""),"",$C145*Rubric!$B$5+$D145*Rubric!$B$6+$E145*Rubric!$B$7+$F145*Rubric!$B$8+$G145*Rubric!$B$9)</f>
        <v>4.56</v>
      </c>
      <c r="O145" s="40" t="str">
        <f aca="false">IF($A145="","",IF(OR(UPPER($H145)="Y",UPPER($I145)="Y"),"FAIL","PASS"))</f>
        <v>PASS</v>
      </c>
      <c r="P145" s="41" t="n">
        <f aca="false">IF($N145="","",Assumptions!$B$6*MAX(0.05,($N145/Assumptions!$B$11)^Assumptions!$B$12))</f>
        <v>0.0152</v>
      </c>
      <c r="Q145" s="41" t="n">
        <f aca="false">IF($P145="","",1-(1-$P145)^Assumptions!$B$7)</f>
        <v>0.0737244519939601</v>
      </c>
      <c r="R145" s="42" t="n">
        <f aca="false">IF($M145="","",$M145*Assumptions!$B$7)</f>
        <v>55</v>
      </c>
      <c r="S145" s="42" t="str">
        <f aca="false">IF(OR($J145="",$Q145="",$Q145=0),"",($J145+$R145)/($Q145*(1-Assumptions!$B$4)))</f>
        <v/>
      </c>
      <c r="T145" s="43" t="str">
        <f aca="false">IF(OR($K145="",$S145="",$S145=0),"",$K145/$S145)</f>
        <v/>
      </c>
      <c r="U145" s="44" t="str">
        <f aca="false">IF(OR($K145="",$Q145=""),"",MAX(0,($K145-MAX($K145*Assumptions!$B$4,Assumptions!$B$5))*$Q145-$R145))</f>
        <v/>
      </c>
      <c r="V145" s="40" t="str">
        <f aca="false">IF($A145="","",IF($O145="FAIL","REJECT",IF($J145="","NEEDS PRICE",IF(OR($K145="",$L145=""),"NEEDS VALUATION",IF($T145&gt;=Assumptions!$B$13,"BUY",IF($T145&gt;=1,"MARGINAL","PASS"))))))</f>
        <v>NEEDS PRICE</v>
      </c>
      <c r="W145" s="25" t="s">
        <v>395</v>
      </c>
      <c r="X145" s="35" t="s">
        <v>460</v>
      </c>
    </row>
    <row r="146" customFormat="false" ht="15" hidden="false" customHeight="false" outlineLevel="0" collapsed="false">
      <c r="A146" s="22" t="s">
        <v>461</v>
      </c>
      <c r="B146" s="36" t="str">
        <f aca="false">IF($A146="","",IF(ISERROR(FIND(".",$A146)),"",LOWER(MID($A146,FIND(CHAR(1),SUBSTITUTE($A146,".",CHAR(1),LEN($A146)-LEN(SUBSTITUTE($A146,".",""))))+1,LEN($A146)))))</f>
        <v>com</v>
      </c>
      <c r="C146" s="37" t="n">
        <f aca="false">IF($B146="","",IFERROR(INDEX(Rubric!$B$14:$B$23,MATCH($B146,Rubric!$A$14:$A$23,0)),INDEX(Rubric!$B$14:$B$23,MATCH("other",Rubric!$A$14:$A$23,0))))</f>
        <v>5</v>
      </c>
      <c r="D146" s="25" t="n">
        <v>4</v>
      </c>
      <c r="E146" s="25" t="n">
        <v>3</v>
      </c>
      <c r="F146" s="25" t="n">
        <v>5</v>
      </c>
      <c r="G146" s="25" t="n">
        <v>5</v>
      </c>
      <c r="H146" s="25" t="s">
        <v>176</v>
      </c>
      <c r="I146" s="25" t="s">
        <v>176</v>
      </c>
      <c r="J146" s="26"/>
      <c r="K146" s="27"/>
      <c r="L146" s="25"/>
      <c r="M146" s="38" t="n">
        <f aca="false">IF($B146="","",IFERROR(INDEX(Rubric!$C$14:$C$23,MATCH($B146,Rubric!$A$14:$A$23,0)),INDEX(Rubric!$C$14:$C$23,MATCH("other",Rubric!$A$14:$A$23,0))))</f>
        <v>11</v>
      </c>
      <c r="N146" s="39" t="n">
        <f aca="false">IF(OR($A146="",$C146=""),"",$C146*Rubric!$B$5+$D146*Rubric!$B$6+$E146*Rubric!$B$7+$F146*Rubric!$B$8+$G146*Rubric!$B$9)</f>
        <v>4.26</v>
      </c>
      <c r="O146" s="40" t="str">
        <f aca="false">IF($A146="","",IF(OR(UPPER($H146)="Y",UPPER($I146)="Y"),"FAIL","PASS"))</f>
        <v>PASS</v>
      </c>
      <c r="P146" s="41" t="n">
        <f aca="false">IF($N146="","",Assumptions!$B$6*MAX(0.05,($N146/Assumptions!$B$11)^Assumptions!$B$12))</f>
        <v>0.0142</v>
      </c>
      <c r="Q146" s="41" t="n">
        <f aca="false">IF($P146="","",1-(1-$P146)^Assumptions!$B$7)</f>
        <v>0.0690120301639053</v>
      </c>
      <c r="R146" s="42" t="n">
        <f aca="false">IF($M146="","",$M146*Assumptions!$B$7)</f>
        <v>55</v>
      </c>
      <c r="S146" s="42" t="str">
        <f aca="false">IF(OR($J146="",$Q146="",$Q146=0),"",($J146+$R146)/($Q146*(1-Assumptions!$B$4)))</f>
        <v/>
      </c>
      <c r="T146" s="43" t="str">
        <f aca="false">IF(OR($K146="",$S146="",$S146=0),"",$K146/$S146)</f>
        <v/>
      </c>
      <c r="U146" s="44" t="str">
        <f aca="false">IF(OR($K146="",$Q146=""),"",MAX(0,($K146-MAX($K146*Assumptions!$B$4,Assumptions!$B$5))*$Q146-$R146))</f>
        <v/>
      </c>
      <c r="V146" s="40" t="str">
        <f aca="false">IF($A146="","",IF($O146="FAIL","REJECT",IF($J146="","NEEDS PRICE",IF(OR($K146="",$L146=""),"NEEDS VALUATION",IF($T146&gt;=Assumptions!$B$13,"BUY",IF($T146&gt;=1,"MARGINAL","PASS"))))))</f>
        <v>NEEDS PRICE</v>
      </c>
      <c r="W146" s="25" t="s">
        <v>395</v>
      </c>
      <c r="X146" s="35" t="s">
        <v>462</v>
      </c>
    </row>
    <row r="147" customFormat="false" ht="15" hidden="false" customHeight="false" outlineLevel="0" collapsed="false">
      <c r="A147" s="22" t="s">
        <v>463</v>
      </c>
      <c r="B147" s="36" t="str">
        <f aca="false">IF($A147="","",IF(ISERROR(FIND(".",$A147)),"",LOWER(MID($A147,FIND(CHAR(1),SUBSTITUTE($A147,".",CHAR(1),LEN($A147)-LEN(SUBSTITUTE($A147,".",""))))+1,LEN($A147)))))</f>
        <v>com</v>
      </c>
      <c r="C147" s="37" t="n">
        <f aca="false">IF($B147="","",IFERROR(INDEX(Rubric!$B$14:$B$23,MATCH($B147,Rubric!$A$14:$A$23,0)),INDEX(Rubric!$B$14:$B$23,MATCH("other",Rubric!$A$14:$A$23,0))))</f>
        <v>5</v>
      </c>
      <c r="D147" s="25" t="n">
        <v>4</v>
      </c>
      <c r="E147" s="25" t="n">
        <v>2</v>
      </c>
      <c r="F147" s="25" t="n">
        <v>4</v>
      </c>
      <c r="G147" s="25" t="n">
        <v>5</v>
      </c>
      <c r="H147" s="25" t="s">
        <v>176</v>
      </c>
      <c r="I147" s="25" t="s">
        <v>176</v>
      </c>
      <c r="J147" s="26"/>
      <c r="K147" s="27"/>
      <c r="L147" s="25"/>
      <c r="M147" s="38" t="n">
        <f aca="false">IF($B147="","",IFERROR(INDEX(Rubric!$C$14:$C$23,MATCH($B147,Rubric!$A$14:$A$23,0)),INDEX(Rubric!$C$14:$C$23,MATCH("other",Rubric!$A$14:$A$23,0))))</f>
        <v>11</v>
      </c>
      <c r="N147" s="39" t="n">
        <f aca="false">IF(OR($A147="",$C147=""),"",$C147*Rubric!$B$5+$D147*Rubric!$B$6+$E147*Rubric!$B$7+$F147*Rubric!$B$8+$G147*Rubric!$B$9)</f>
        <v>3.88</v>
      </c>
      <c r="O147" s="40" t="str">
        <f aca="false">IF($A147="","",IF(OR(UPPER($H147)="Y",UPPER($I147)="Y"),"FAIL","PASS"))</f>
        <v>PASS</v>
      </c>
      <c r="P147" s="41" t="n">
        <f aca="false">IF($N147="","",Assumptions!$B$6*MAX(0.05,($N147/Assumptions!$B$11)^Assumptions!$B$12))</f>
        <v>0.0129333333333333</v>
      </c>
      <c r="Q147" s="41" t="n">
        <f aca="false">IF($P147="","",1-(1-$P147)^Assumptions!$B$7)</f>
        <v>0.0630154497496728</v>
      </c>
      <c r="R147" s="42" t="n">
        <f aca="false">IF($M147="","",$M147*Assumptions!$B$7)</f>
        <v>55</v>
      </c>
      <c r="S147" s="42" t="str">
        <f aca="false">IF(OR($J147="",$Q147="",$Q147=0),"",($J147+$R147)/($Q147*(1-Assumptions!$B$4)))</f>
        <v/>
      </c>
      <c r="T147" s="43" t="str">
        <f aca="false">IF(OR($K147="",$S147="",$S147=0),"",$K147/$S147)</f>
        <v/>
      </c>
      <c r="U147" s="44" t="str">
        <f aca="false">IF(OR($K147="",$Q147=""),"",MAX(0,($K147-MAX($K147*Assumptions!$B$4,Assumptions!$B$5))*$Q147-$R147))</f>
        <v/>
      </c>
      <c r="V147" s="40" t="str">
        <f aca="false">IF($A147="","",IF($O147="FAIL","REJECT",IF($J147="","NEEDS PRICE",IF(OR($K147="",$L147=""),"NEEDS VALUATION",IF($T147&gt;=Assumptions!$B$13,"BUY",IF($T147&gt;=1,"MARGINAL","PASS"))))))</f>
        <v>NEEDS PRICE</v>
      </c>
      <c r="W147" s="25" t="s">
        <v>395</v>
      </c>
      <c r="X147" s="35" t="s">
        <v>464</v>
      </c>
    </row>
    <row r="148" customFormat="false" ht="23.85" hidden="false" customHeight="false" outlineLevel="0" collapsed="false">
      <c r="A148" s="22" t="s">
        <v>465</v>
      </c>
      <c r="B148" s="36" t="str">
        <f aca="false">IF($A148="","",IF(ISERROR(FIND(".",$A148)),"",LOWER(MID($A148,FIND(CHAR(1),SUBSTITUTE($A148,".",CHAR(1),LEN($A148)-LEN(SUBSTITUTE($A148,".",""))))+1,LEN($A148)))))</f>
        <v>com</v>
      </c>
      <c r="C148" s="37" t="n">
        <f aca="false">IF($B148="","",IFERROR(INDEX(Rubric!$B$14:$B$23,MATCH($B148,Rubric!$A$14:$A$23,0)),INDEX(Rubric!$B$14:$B$23,MATCH("other",Rubric!$A$14:$A$23,0))))</f>
        <v>5</v>
      </c>
      <c r="D148" s="25" t="n">
        <v>4</v>
      </c>
      <c r="E148" s="25" t="n">
        <v>3</v>
      </c>
      <c r="F148" s="25" t="n">
        <v>3</v>
      </c>
      <c r="G148" s="25" t="n">
        <v>4</v>
      </c>
      <c r="H148" s="25" t="s">
        <v>176</v>
      </c>
      <c r="I148" s="25" t="s">
        <v>176</v>
      </c>
      <c r="J148" s="26"/>
      <c r="K148" s="27"/>
      <c r="L148" s="25"/>
      <c r="M148" s="38" t="n">
        <f aca="false">IF($B148="","",IFERROR(INDEX(Rubric!$C$14:$C$23,MATCH($B148,Rubric!$A$14:$A$23,0)),INDEX(Rubric!$C$14:$C$23,MATCH("other",Rubric!$A$14:$A$23,0))))</f>
        <v>11</v>
      </c>
      <c r="N148" s="39" t="n">
        <f aca="false">IF(OR($A148="",$C148=""),"",$C148*Rubric!$B$5+$D148*Rubric!$B$6+$E148*Rubric!$B$7+$F148*Rubric!$B$8+$G148*Rubric!$B$9)</f>
        <v>3.84</v>
      </c>
      <c r="O148" s="40" t="str">
        <f aca="false">IF($A148="","",IF(OR(UPPER($H148)="Y",UPPER($I148)="Y"),"FAIL","PASS"))</f>
        <v>PASS</v>
      </c>
      <c r="P148" s="41" t="n">
        <f aca="false">IF($N148="","",Assumptions!$B$6*MAX(0.05,($N148/Assumptions!$B$11)^Assumptions!$B$12))</f>
        <v>0.0128</v>
      </c>
      <c r="Q148" s="41" t="n">
        <f aca="false">IF($P148="","",1-(1-$P148)^Assumptions!$B$7)</f>
        <v>0.0623824376458696</v>
      </c>
      <c r="R148" s="42" t="n">
        <f aca="false">IF($M148="","",$M148*Assumptions!$B$7)</f>
        <v>55</v>
      </c>
      <c r="S148" s="42" t="str">
        <f aca="false">IF(OR($J148="",$Q148="",$Q148=0),"",($J148+$R148)/($Q148*(1-Assumptions!$B$4)))</f>
        <v/>
      </c>
      <c r="T148" s="43" t="str">
        <f aca="false">IF(OR($K148="",$S148="",$S148=0),"",$K148/$S148)</f>
        <v/>
      </c>
      <c r="U148" s="44" t="str">
        <f aca="false">IF(OR($K148="",$Q148=""),"",MAX(0,($K148-MAX($K148*Assumptions!$B$4,Assumptions!$B$5))*$Q148-$R148))</f>
        <v/>
      </c>
      <c r="V148" s="40" t="str">
        <f aca="false">IF($A148="","",IF($O148="FAIL","REJECT",IF($J148="","NEEDS PRICE",IF(OR($K148="",$L148=""),"NEEDS VALUATION",IF($T148&gt;=Assumptions!$B$13,"BUY",IF($T148&gt;=1,"MARGINAL","PASS"))))))</f>
        <v>NEEDS PRICE</v>
      </c>
      <c r="W148" s="25" t="s">
        <v>395</v>
      </c>
      <c r="X148" s="35" t="s">
        <v>466</v>
      </c>
    </row>
    <row r="149" customFormat="false" ht="23.85" hidden="false" customHeight="false" outlineLevel="0" collapsed="false">
      <c r="A149" s="22" t="s">
        <v>467</v>
      </c>
      <c r="B149" s="36" t="str">
        <f aca="false">IF($A149="","",IF(ISERROR(FIND(".",$A149)),"",LOWER(MID($A149,FIND(CHAR(1),SUBSTITUTE($A149,".",CHAR(1),LEN($A149)-LEN(SUBSTITUTE($A149,".",""))))+1,LEN($A149)))))</f>
        <v>com</v>
      </c>
      <c r="C149" s="37" t="n">
        <f aca="false">IF($B149="","",IFERROR(INDEX(Rubric!$B$14:$B$23,MATCH($B149,Rubric!$A$14:$A$23,0)),INDEX(Rubric!$B$14:$B$23,MATCH("other",Rubric!$A$14:$A$23,0))))</f>
        <v>5</v>
      </c>
      <c r="D149" s="25" t="n">
        <v>4</v>
      </c>
      <c r="E149" s="25" t="n">
        <v>3</v>
      </c>
      <c r="F149" s="25" t="n">
        <v>4</v>
      </c>
      <c r="G149" s="25" t="n">
        <v>5</v>
      </c>
      <c r="H149" s="25" t="s">
        <v>176</v>
      </c>
      <c r="I149" s="25" t="s">
        <v>176</v>
      </c>
      <c r="J149" s="26"/>
      <c r="K149" s="27"/>
      <c r="L149" s="25"/>
      <c r="M149" s="38" t="n">
        <f aca="false">IF($B149="","",IFERROR(INDEX(Rubric!$C$14:$C$23,MATCH($B149,Rubric!$A$14:$A$23,0)),INDEX(Rubric!$C$14:$C$23,MATCH("other",Rubric!$A$14:$A$23,0))))</f>
        <v>11</v>
      </c>
      <c r="N149" s="39" t="n">
        <f aca="false">IF(OR($A149="",$C149=""),"",$C149*Rubric!$B$5+$D149*Rubric!$B$6+$E149*Rubric!$B$7+$F149*Rubric!$B$8+$G149*Rubric!$B$9)</f>
        <v>4.1</v>
      </c>
      <c r="O149" s="40" t="str">
        <f aca="false">IF($A149="","",IF(OR(UPPER($H149)="Y",UPPER($I149)="Y"),"FAIL","PASS"))</f>
        <v>PASS</v>
      </c>
      <c r="P149" s="41" t="n">
        <f aca="false">IF($N149="","",Assumptions!$B$6*MAX(0.05,($N149/Assumptions!$B$11)^Assumptions!$B$12))</f>
        <v>0.0136666666666667</v>
      </c>
      <c r="Q149" s="41" t="n">
        <f aca="false">IF($P149="","",1-(1-$P149)^Assumptions!$B$7)</f>
        <v>0.0664909078989352</v>
      </c>
      <c r="R149" s="42" t="n">
        <f aca="false">IF($M149="","",$M149*Assumptions!$B$7)</f>
        <v>55</v>
      </c>
      <c r="S149" s="42" t="str">
        <f aca="false">IF(OR($J149="",$Q149="",$Q149=0),"",($J149+$R149)/($Q149*(1-Assumptions!$B$4)))</f>
        <v/>
      </c>
      <c r="T149" s="43" t="str">
        <f aca="false">IF(OR($K149="",$S149="",$S149=0),"",$K149/$S149)</f>
        <v/>
      </c>
      <c r="U149" s="44" t="str">
        <f aca="false">IF(OR($K149="",$Q149=""),"",MAX(0,($K149-MAX($K149*Assumptions!$B$4,Assumptions!$B$5))*$Q149-$R149))</f>
        <v/>
      </c>
      <c r="V149" s="40" t="str">
        <f aca="false">IF($A149="","",IF($O149="FAIL","REJECT",IF($J149="","NEEDS PRICE",IF(OR($K149="",$L149=""),"NEEDS VALUATION",IF($T149&gt;=Assumptions!$B$13,"BUY",IF($T149&gt;=1,"MARGINAL","PASS"))))))</f>
        <v>NEEDS PRICE</v>
      </c>
      <c r="W149" s="25" t="s">
        <v>395</v>
      </c>
      <c r="X149" s="35" t="s">
        <v>468</v>
      </c>
    </row>
    <row r="150" customFormat="false" ht="15" hidden="false" customHeight="false" outlineLevel="0" collapsed="false">
      <c r="A150" s="22" t="s">
        <v>469</v>
      </c>
      <c r="B150" s="36" t="str">
        <f aca="false">IF($A150="","",IF(ISERROR(FIND(".",$A150)),"",LOWER(MID($A150,FIND(CHAR(1),SUBSTITUTE($A150,".",CHAR(1),LEN($A150)-LEN(SUBSTITUTE($A150,".",""))))+1,LEN($A150)))))</f>
        <v>com</v>
      </c>
      <c r="C150" s="37" t="n">
        <f aca="false">IF($B150="","",IFERROR(INDEX(Rubric!$B$14:$B$23,MATCH($B150,Rubric!$A$14:$A$23,0)),INDEX(Rubric!$B$14:$B$23,MATCH("other",Rubric!$A$14:$A$23,0))))</f>
        <v>5</v>
      </c>
      <c r="D150" s="25" t="n">
        <v>4</v>
      </c>
      <c r="E150" s="25" t="n">
        <v>3</v>
      </c>
      <c r="F150" s="25" t="n">
        <v>3</v>
      </c>
      <c r="G150" s="25" t="n">
        <v>5</v>
      </c>
      <c r="H150" s="25" t="s">
        <v>176</v>
      </c>
      <c r="I150" s="25" t="s">
        <v>176</v>
      </c>
      <c r="J150" s="26"/>
      <c r="K150" s="27"/>
      <c r="L150" s="25"/>
      <c r="M150" s="38" t="n">
        <f aca="false">IF($B150="","",IFERROR(INDEX(Rubric!$C$14:$C$23,MATCH($B150,Rubric!$A$14:$A$23,0)),INDEX(Rubric!$C$14:$C$23,MATCH("other",Rubric!$A$14:$A$23,0))))</f>
        <v>11</v>
      </c>
      <c r="N150" s="39" t="n">
        <f aca="false">IF(OR($A150="",$C150=""),"",$C150*Rubric!$B$5+$D150*Rubric!$B$6+$E150*Rubric!$B$7+$F150*Rubric!$B$8+$G150*Rubric!$B$9)</f>
        <v>3.94</v>
      </c>
      <c r="O150" s="40" t="str">
        <f aca="false">IF($A150="","",IF(OR(UPPER($H150)="Y",UPPER($I150)="Y"),"FAIL","PASS"))</f>
        <v>PASS</v>
      </c>
      <c r="P150" s="41" t="n">
        <f aca="false">IF($N150="","",Assumptions!$B$6*MAX(0.05,($N150/Assumptions!$B$11)^Assumptions!$B$12))</f>
        <v>0.0131333333333333</v>
      </c>
      <c r="Q150" s="41" t="n">
        <f aca="false">IF($P150="","",1-(1-$P150)^Assumptions!$B$7)</f>
        <v>0.0639643268155696</v>
      </c>
      <c r="R150" s="42" t="n">
        <f aca="false">IF($M150="","",$M150*Assumptions!$B$7)</f>
        <v>55</v>
      </c>
      <c r="S150" s="42" t="str">
        <f aca="false">IF(OR($J150="",$Q150="",$Q150=0),"",($J150+$R150)/($Q150*(1-Assumptions!$B$4)))</f>
        <v/>
      </c>
      <c r="T150" s="43" t="str">
        <f aca="false">IF(OR($K150="",$S150="",$S150=0),"",$K150/$S150)</f>
        <v/>
      </c>
      <c r="U150" s="44" t="str">
        <f aca="false">IF(OR($K150="",$Q150=""),"",MAX(0,($K150-MAX($K150*Assumptions!$B$4,Assumptions!$B$5))*$Q150-$R150))</f>
        <v/>
      </c>
      <c r="V150" s="40" t="str">
        <f aca="false">IF($A150="","",IF($O150="FAIL","REJECT",IF($J150="","NEEDS PRICE",IF(OR($K150="",$L150=""),"NEEDS VALUATION",IF($T150&gt;=Assumptions!$B$13,"BUY",IF($T150&gt;=1,"MARGINAL","PASS"))))))</f>
        <v>NEEDS PRICE</v>
      </c>
      <c r="W150" s="25" t="s">
        <v>395</v>
      </c>
      <c r="X150" s="35" t="s">
        <v>470</v>
      </c>
    </row>
    <row r="151" customFormat="false" ht="23.85" hidden="false" customHeight="false" outlineLevel="0" collapsed="false">
      <c r="A151" s="22" t="s">
        <v>471</v>
      </c>
      <c r="B151" s="36" t="str">
        <f aca="false">IF($A151="","",IF(ISERROR(FIND(".",$A151)),"",LOWER(MID($A151,FIND(CHAR(1),SUBSTITUTE($A151,".",CHAR(1),LEN($A151)-LEN(SUBSTITUTE($A151,".",""))))+1,LEN($A151)))))</f>
        <v>com</v>
      </c>
      <c r="C151" s="37" t="n">
        <f aca="false">IF($B151="","",IFERROR(INDEX(Rubric!$B$14:$B$23,MATCH($B151,Rubric!$A$14:$A$23,0)),INDEX(Rubric!$B$14:$B$23,MATCH("other",Rubric!$A$14:$A$23,0))))</f>
        <v>5</v>
      </c>
      <c r="D151" s="25" t="n">
        <v>5</v>
      </c>
      <c r="E151" s="25" t="n">
        <v>3</v>
      </c>
      <c r="F151" s="25" t="n">
        <v>3</v>
      </c>
      <c r="G151" s="25" t="n">
        <v>5</v>
      </c>
      <c r="H151" s="25" t="s">
        <v>176</v>
      </c>
      <c r="I151" s="25" t="s">
        <v>176</v>
      </c>
      <c r="J151" s="26"/>
      <c r="K151" s="27"/>
      <c r="L151" s="25"/>
      <c r="M151" s="38" t="n">
        <f aca="false">IF($B151="","",IFERROR(INDEX(Rubric!$C$14:$C$23,MATCH($B151,Rubric!$A$14:$A$23,0)),INDEX(Rubric!$C$14:$C$23,MATCH("other",Rubric!$A$14:$A$23,0))))</f>
        <v>11</v>
      </c>
      <c r="N151" s="39" t="n">
        <f aca="false">IF(OR($A151="",$C151=""),"",$C151*Rubric!$B$5+$D151*Rubric!$B$6+$E151*Rubric!$B$7+$F151*Rubric!$B$8+$G151*Rubric!$B$9)</f>
        <v>4.24</v>
      </c>
      <c r="O151" s="40" t="str">
        <f aca="false">IF($A151="","",IF(OR(UPPER($H151)="Y",UPPER($I151)="Y"),"FAIL","PASS"))</f>
        <v>PASS</v>
      </c>
      <c r="P151" s="41" t="n">
        <f aca="false">IF($N151="","",Assumptions!$B$6*MAX(0.05,($N151/Assumptions!$B$11)^Assumptions!$B$12))</f>
        <v>0.0141333333333333</v>
      </c>
      <c r="Q151" s="41" t="n">
        <f aca="false">IF($P151="","",1-(1-$P151)^Assumptions!$B$7)</f>
        <v>0.0686971881073212</v>
      </c>
      <c r="R151" s="42" t="n">
        <f aca="false">IF($M151="","",$M151*Assumptions!$B$7)</f>
        <v>55</v>
      </c>
      <c r="S151" s="42" t="str">
        <f aca="false">IF(OR($J151="",$Q151="",$Q151=0),"",($J151+$R151)/($Q151*(1-Assumptions!$B$4)))</f>
        <v/>
      </c>
      <c r="T151" s="43" t="str">
        <f aca="false">IF(OR($K151="",$S151="",$S151=0),"",$K151/$S151)</f>
        <v/>
      </c>
      <c r="U151" s="44" t="str">
        <f aca="false">IF(OR($K151="",$Q151=""),"",MAX(0,($K151-MAX($K151*Assumptions!$B$4,Assumptions!$B$5))*$Q151-$R151))</f>
        <v/>
      </c>
      <c r="V151" s="40" t="str">
        <f aca="false">IF($A151="","",IF($O151="FAIL","REJECT",IF($J151="","NEEDS PRICE",IF(OR($K151="",$L151=""),"NEEDS VALUATION",IF($T151&gt;=Assumptions!$B$13,"BUY",IF($T151&gt;=1,"MARGINAL","PASS"))))))</f>
        <v>NEEDS PRICE</v>
      </c>
      <c r="W151" s="25" t="s">
        <v>395</v>
      </c>
      <c r="X151" s="35" t="s">
        <v>472</v>
      </c>
    </row>
    <row r="152" customFormat="false" ht="23.85" hidden="false" customHeight="false" outlineLevel="0" collapsed="false">
      <c r="A152" s="22" t="s">
        <v>473</v>
      </c>
      <c r="B152" s="36" t="str">
        <f aca="false">IF($A152="","",IF(ISERROR(FIND(".",$A152)),"",LOWER(MID($A152,FIND(CHAR(1),SUBSTITUTE($A152,".",CHAR(1),LEN($A152)-LEN(SUBSTITUTE($A152,".",""))))+1,LEN($A152)))))</f>
        <v>com</v>
      </c>
      <c r="C152" s="37" t="n">
        <f aca="false">IF($B152="","",IFERROR(INDEX(Rubric!$B$14:$B$23,MATCH($B152,Rubric!$A$14:$A$23,0)),INDEX(Rubric!$B$14:$B$23,MATCH("other",Rubric!$A$14:$A$23,0))))</f>
        <v>5</v>
      </c>
      <c r="D152" s="25" t="n">
        <v>4</v>
      </c>
      <c r="E152" s="25" t="n">
        <v>2</v>
      </c>
      <c r="F152" s="25" t="n">
        <v>2</v>
      </c>
      <c r="G152" s="25" t="n">
        <v>4</v>
      </c>
      <c r="H152" s="25" t="s">
        <v>176</v>
      </c>
      <c r="I152" s="25" t="s">
        <v>176</v>
      </c>
      <c r="J152" s="26"/>
      <c r="K152" s="27"/>
      <c r="L152" s="25"/>
      <c r="M152" s="38" t="n">
        <f aca="false">IF($B152="","",IFERROR(INDEX(Rubric!$C$14:$C$23,MATCH($B152,Rubric!$A$14:$A$23,0)),INDEX(Rubric!$C$14:$C$23,MATCH("other",Rubric!$A$14:$A$23,0))))</f>
        <v>11</v>
      </c>
      <c r="N152" s="39" t="n">
        <f aca="false">IF(OR($A152="",$C152=""),"",$C152*Rubric!$B$5+$D152*Rubric!$B$6+$E152*Rubric!$B$7+$F152*Rubric!$B$8+$G152*Rubric!$B$9)</f>
        <v>3.46</v>
      </c>
      <c r="O152" s="40" t="str">
        <f aca="false">IF($A152="","",IF(OR(UPPER($H152)="Y",UPPER($I152)="Y"),"FAIL","PASS"))</f>
        <v>PASS</v>
      </c>
      <c r="P152" s="41" t="n">
        <f aca="false">IF($N152="","",Assumptions!$B$6*MAX(0.05,($N152/Assumptions!$B$11)^Assumptions!$B$12))</f>
        <v>0.0115333333333333</v>
      </c>
      <c r="Q152" s="41" t="n">
        <f aca="false">IF($P152="","",1-(1-$P152)^Assumptions!$B$7)</f>
        <v>0.056351742008014</v>
      </c>
      <c r="R152" s="42" t="n">
        <f aca="false">IF($M152="","",$M152*Assumptions!$B$7)</f>
        <v>55</v>
      </c>
      <c r="S152" s="42" t="str">
        <f aca="false">IF(OR($J152="",$Q152="",$Q152=0),"",($J152+$R152)/($Q152*(1-Assumptions!$B$4)))</f>
        <v/>
      </c>
      <c r="T152" s="43" t="str">
        <f aca="false">IF(OR($K152="",$S152="",$S152=0),"",$K152/$S152)</f>
        <v/>
      </c>
      <c r="U152" s="44" t="str">
        <f aca="false">IF(OR($K152="",$Q152=""),"",MAX(0,($K152-MAX($K152*Assumptions!$B$4,Assumptions!$B$5))*$Q152-$R152))</f>
        <v/>
      </c>
      <c r="V152" s="40" t="str">
        <f aca="false">IF($A152="","",IF($O152="FAIL","REJECT",IF($J152="","NEEDS PRICE",IF(OR($K152="",$L152=""),"NEEDS VALUATION",IF($T152&gt;=Assumptions!$B$13,"BUY",IF($T152&gt;=1,"MARGINAL","PASS"))))))</f>
        <v>NEEDS PRICE</v>
      </c>
      <c r="W152" s="25" t="s">
        <v>395</v>
      </c>
      <c r="X152" s="35" t="s">
        <v>474</v>
      </c>
    </row>
    <row r="153" customFormat="false" ht="15" hidden="false" customHeight="false" outlineLevel="0" collapsed="false">
      <c r="A153" s="22" t="s">
        <v>475</v>
      </c>
      <c r="B153" s="36" t="str">
        <f aca="false">IF($A153="","",IF(ISERROR(FIND(".",$A153)),"",LOWER(MID($A153,FIND(CHAR(1),SUBSTITUTE($A153,".",CHAR(1),LEN($A153)-LEN(SUBSTITUTE($A153,".",""))))+1,LEN($A153)))))</f>
        <v>com</v>
      </c>
      <c r="C153" s="37" t="n">
        <f aca="false">IF($B153="","",IFERROR(INDEX(Rubric!$B$14:$B$23,MATCH($B153,Rubric!$A$14:$A$23,0)),INDEX(Rubric!$B$14:$B$23,MATCH("other",Rubric!$A$14:$A$23,0))))</f>
        <v>5</v>
      </c>
      <c r="D153" s="25" t="n">
        <v>4</v>
      </c>
      <c r="E153" s="25" t="n">
        <v>3</v>
      </c>
      <c r="F153" s="25" t="n">
        <v>4</v>
      </c>
      <c r="G153" s="25" t="n">
        <v>5</v>
      </c>
      <c r="H153" s="25" t="s">
        <v>176</v>
      </c>
      <c r="I153" s="25" t="s">
        <v>176</v>
      </c>
      <c r="J153" s="26"/>
      <c r="K153" s="27"/>
      <c r="L153" s="25"/>
      <c r="M153" s="38" t="n">
        <f aca="false">IF($B153="","",IFERROR(INDEX(Rubric!$C$14:$C$23,MATCH($B153,Rubric!$A$14:$A$23,0)),INDEX(Rubric!$C$14:$C$23,MATCH("other",Rubric!$A$14:$A$23,0))))</f>
        <v>11</v>
      </c>
      <c r="N153" s="39" t="n">
        <f aca="false">IF(OR($A153="",$C153=""),"",$C153*Rubric!$B$5+$D153*Rubric!$B$6+$E153*Rubric!$B$7+$F153*Rubric!$B$8+$G153*Rubric!$B$9)</f>
        <v>4.1</v>
      </c>
      <c r="O153" s="40" t="str">
        <f aca="false">IF($A153="","",IF(OR(UPPER($H153)="Y",UPPER($I153)="Y"),"FAIL","PASS"))</f>
        <v>PASS</v>
      </c>
      <c r="P153" s="41" t="n">
        <f aca="false">IF($N153="","",Assumptions!$B$6*MAX(0.05,($N153/Assumptions!$B$11)^Assumptions!$B$12))</f>
        <v>0.0136666666666667</v>
      </c>
      <c r="Q153" s="41" t="n">
        <f aca="false">IF($P153="","",1-(1-$P153)^Assumptions!$B$7)</f>
        <v>0.0664909078989352</v>
      </c>
      <c r="R153" s="42" t="n">
        <f aca="false">IF($M153="","",$M153*Assumptions!$B$7)</f>
        <v>55</v>
      </c>
      <c r="S153" s="42" t="str">
        <f aca="false">IF(OR($J153="",$Q153="",$Q153=0),"",($J153+$R153)/($Q153*(1-Assumptions!$B$4)))</f>
        <v/>
      </c>
      <c r="T153" s="43" t="str">
        <f aca="false">IF(OR($K153="",$S153="",$S153=0),"",$K153/$S153)</f>
        <v/>
      </c>
      <c r="U153" s="44" t="str">
        <f aca="false">IF(OR($K153="",$Q153=""),"",MAX(0,($K153-MAX($K153*Assumptions!$B$4,Assumptions!$B$5))*$Q153-$R153))</f>
        <v/>
      </c>
      <c r="V153" s="40" t="str">
        <f aca="false">IF($A153="","",IF($O153="FAIL","REJECT",IF($J153="","NEEDS PRICE",IF(OR($K153="",$L153=""),"NEEDS VALUATION",IF($T153&gt;=Assumptions!$B$13,"BUY",IF($T153&gt;=1,"MARGINAL","PASS"))))))</f>
        <v>NEEDS PRICE</v>
      </c>
      <c r="W153" s="25" t="s">
        <v>395</v>
      </c>
      <c r="X153" s="35" t="s">
        <v>476</v>
      </c>
    </row>
    <row r="154" customFormat="false" ht="23.85" hidden="false" customHeight="false" outlineLevel="0" collapsed="false">
      <c r="A154" s="22" t="s">
        <v>477</v>
      </c>
      <c r="B154" s="36" t="str">
        <f aca="false">IF($A154="","",IF(ISERROR(FIND(".",$A154)),"",LOWER(MID($A154,FIND(CHAR(1),SUBSTITUTE($A154,".",CHAR(1),LEN($A154)-LEN(SUBSTITUTE($A154,".",""))))+1,LEN($A154)))))</f>
        <v>com</v>
      </c>
      <c r="C154" s="37" t="n">
        <f aca="false">IF($B154="","",IFERROR(INDEX(Rubric!$B$14:$B$23,MATCH($B154,Rubric!$A$14:$A$23,0)),INDEX(Rubric!$B$14:$B$23,MATCH("other",Rubric!$A$14:$A$23,0))))</f>
        <v>5</v>
      </c>
      <c r="D154" s="25" t="n">
        <v>4</v>
      </c>
      <c r="E154" s="25" t="n">
        <v>2</v>
      </c>
      <c r="F154" s="25" t="n">
        <v>3</v>
      </c>
      <c r="G154" s="25" t="n">
        <v>4</v>
      </c>
      <c r="H154" s="25" t="s">
        <v>176</v>
      </c>
      <c r="I154" s="25" t="s">
        <v>176</v>
      </c>
      <c r="J154" s="26"/>
      <c r="K154" s="27"/>
      <c r="L154" s="25"/>
      <c r="M154" s="38" t="n">
        <f aca="false">IF($B154="","",IFERROR(INDEX(Rubric!$C$14:$C$23,MATCH($B154,Rubric!$A$14:$A$23,0)),INDEX(Rubric!$C$14:$C$23,MATCH("other",Rubric!$A$14:$A$23,0))))</f>
        <v>11</v>
      </c>
      <c r="N154" s="39" t="n">
        <f aca="false">IF(OR($A154="",$C154=""),"",$C154*Rubric!$B$5+$D154*Rubric!$B$6+$E154*Rubric!$B$7+$F154*Rubric!$B$8+$G154*Rubric!$B$9)</f>
        <v>3.62</v>
      </c>
      <c r="O154" s="40" t="str">
        <f aca="false">IF($A154="","",IF(OR(UPPER($H154)="Y",UPPER($I154)="Y"),"FAIL","PASS"))</f>
        <v>PASS</v>
      </c>
      <c r="P154" s="41" t="n">
        <f aca="false">IF($N154="","",Assumptions!$B$6*MAX(0.05,($N154/Assumptions!$B$11)^Assumptions!$B$12))</f>
        <v>0.0120666666666667</v>
      </c>
      <c r="Q154" s="41" t="n">
        <f aca="false">IF($P154="","",1-(1-$P154)^Assumptions!$B$7)</f>
        <v>0.0588947527444019</v>
      </c>
      <c r="R154" s="42" t="n">
        <f aca="false">IF($M154="","",$M154*Assumptions!$B$7)</f>
        <v>55</v>
      </c>
      <c r="S154" s="42" t="str">
        <f aca="false">IF(OR($J154="",$Q154="",$Q154=0),"",($J154+$R154)/($Q154*(1-Assumptions!$B$4)))</f>
        <v/>
      </c>
      <c r="T154" s="43" t="str">
        <f aca="false">IF(OR($K154="",$S154="",$S154=0),"",$K154/$S154)</f>
        <v/>
      </c>
      <c r="U154" s="44" t="str">
        <f aca="false">IF(OR($K154="",$Q154=""),"",MAX(0,($K154-MAX($K154*Assumptions!$B$4,Assumptions!$B$5))*$Q154-$R154))</f>
        <v/>
      </c>
      <c r="V154" s="40" t="str">
        <f aca="false">IF($A154="","",IF($O154="FAIL","REJECT",IF($J154="","NEEDS PRICE",IF(OR($K154="",$L154=""),"NEEDS VALUATION",IF($T154&gt;=Assumptions!$B$13,"BUY",IF($T154&gt;=1,"MARGINAL","PASS"))))))</f>
        <v>NEEDS PRICE</v>
      </c>
      <c r="W154" s="25" t="s">
        <v>395</v>
      </c>
      <c r="X154" s="35" t="s">
        <v>478</v>
      </c>
    </row>
    <row r="155" customFormat="false" ht="23.85" hidden="false" customHeight="false" outlineLevel="0" collapsed="false">
      <c r="A155" s="22" t="s">
        <v>479</v>
      </c>
      <c r="B155" s="36" t="str">
        <f aca="false">IF($A155="","",IF(ISERROR(FIND(".",$A155)),"",LOWER(MID($A155,FIND(CHAR(1),SUBSTITUTE($A155,".",CHAR(1),LEN($A155)-LEN(SUBSTITUTE($A155,".",""))))+1,LEN($A155)))))</f>
        <v>com</v>
      </c>
      <c r="C155" s="37" t="n">
        <f aca="false">IF($B155="","",IFERROR(INDEX(Rubric!$B$14:$B$23,MATCH($B155,Rubric!$A$14:$A$23,0)),INDEX(Rubric!$B$14:$B$23,MATCH("other",Rubric!$A$14:$A$23,0))))</f>
        <v>5</v>
      </c>
      <c r="D155" s="25" t="n">
        <v>4</v>
      </c>
      <c r="E155" s="25" t="n">
        <v>2</v>
      </c>
      <c r="F155" s="25" t="n">
        <v>4</v>
      </c>
      <c r="G155" s="25" t="n">
        <v>4</v>
      </c>
      <c r="H155" s="25" t="s">
        <v>176</v>
      </c>
      <c r="I155" s="25" t="s">
        <v>176</v>
      </c>
      <c r="J155" s="26"/>
      <c r="K155" s="27"/>
      <c r="L155" s="25"/>
      <c r="M155" s="38" t="n">
        <f aca="false">IF($B155="","",IFERROR(INDEX(Rubric!$C$14:$C$23,MATCH($B155,Rubric!$A$14:$A$23,0)),INDEX(Rubric!$C$14:$C$23,MATCH("other",Rubric!$A$14:$A$23,0))))</f>
        <v>11</v>
      </c>
      <c r="N155" s="39" t="n">
        <f aca="false">IF(OR($A155="",$C155=""),"",$C155*Rubric!$B$5+$D155*Rubric!$B$6+$E155*Rubric!$B$7+$F155*Rubric!$B$8+$G155*Rubric!$B$9)</f>
        <v>3.78</v>
      </c>
      <c r="O155" s="40" t="str">
        <f aca="false">IF($A155="","",IF(OR(UPPER($H155)="Y",UPPER($I155)="Y"),"FAIL","PASS"))</f>
        <v>PASS</v>
      </c>
      <c r="P155" s="41" t="n">
        <f aca="false">IF($N155="","",Assumptions!$B$6*MAX(0.05,($N155/Assumptions!$B$11)^Assumptions!$B$12))</f>
        <v>0.0126</v>
      </c>
      <c r="Q155" s="41" t="n">
        <f aca="false">IF($P155="","",1-(1-$P155)^Assumptions!$B$7)</f>
        <v>0.0614322780538914</v>
      </c>
      <c r="R155" s="42" t="n">
        <f aca="false">IF($M155="","",$M155*Assumptions!$B$7)</f>
        <v>55</v>
      </c>
      <c r="S155" s="42" t="str">
        <f aca="false">IF(OR($J155="",$Q155="",$Q155=0),"",($J155+$R155)/($Q155*(1-Assumptions!$B$4)))</f>
        <v/>
      </c>
      <c r="T155" s="43" t="str">
        <f aca="false">IF(OR($K155="",$S155="",$S155=0),"",$K155/$S155)</f>
        <v/>
      </c>
      <c r="U155" s="44" t="str">
        <f aca="false">IF(OR($K155="",$Q155=""),"",MAX(0,($K155-MAX($K155*Assumptions!$B$4,Assumptions!$B$5))*$Q155-$R155))</f>
        <v/>
      </c>
      <c r="V155" s="40" t="str">
        <f aca="false">IF($A155="","",IF($O155="FAIL","REJECT",IF($J155="","NEEDS PRICE",IF(OR($K155="",$L155=""),"NEEDS VALUATION",IF($T155&gt;=Assumptions!$B$13,"BUY",IF($T155&gt;=1,"MARGINAL","PASS"))))))</f>
        <v>NEEDS PRICE</v>
      </c>
      <c r="W155" s="25" t="s">
        <v>395</v>
      </c>
      <c r="X155" s="35" t="s">
        <v>480</v>
      </c>
    </row>
    <row r="156" customFormat="false" ht="23.85" hidden="false" customHeight="false" outlineLevel="0" collapsed="false">
      <c r="A156" s="22" t="s">
        <v>481</v>
      </c>
      <c r="B156" s="36" t="str">
        <f aca="false">IF($A156="","",IF(ISERROR(FIND(".",$A156)),"",LOWER(MID($A156,FIND(CHAR(1),SUBSTITUTE($A156,".",CHAR(1),LEN($A156)-LEN(SUBSTITUTE($A156,".",""))))+1,LEN($A156)))))</f>
        <v>com</v>
      </c>
      <c r="C156" s="37" t="n">
        <f aca="false">IF($B156="","",IFERROR(INDEX(Rubric!$B$14:$B$23,MATCH($B156,Rubric!$A$14:$A$23,0)),INDEX(Rubric!$B$14:$B$23,MATCH("other",Rubric!$A$14:$A$23,0))))</f>
        <v>5</v>
      </c>
      <c r="D156" s="25" t="n">
        <v>4</v>
      </c>
      <c r="E156" s="25" t="n">
        <v>3</v>
      </c>
      <c r="F156" s="25" t="n">
        <v>4</v>
      </c>
      <c r="G156" s="25" t="n">
        <v>4</v>
      </c>
      <c r="H156" s="25" t="s">
        <v>176</v>
      </c>
      <c r="I156" s="25" t="s">
        <v>254</v>
      </c>
      <c r="J156" s="26"/>
      <c r="K156" s="27"/>
      <c r="L156" s="25"/>
      <c r="M156" s="38" t="n">
        <f aca="false">IF($B156="","",IFERROR(INDEX(Rubric!$C$14:$C$23,MATCH($B156,Rubric!$A$14:$A$23,0)),INDEX(Rubric!$C$14:$C$23,MATCH("other",Rubric!$A$14:$A$23,0))))</f>
        <v>11</v>
      </c>
      <c r="N156" s="39" t="n">
        <f aca="false">IF(OR($A156="",$C156=""),"",$C156*Rubric!$B$5+$D156*Rubric!$B$6+$E156*Rubric!$B$7+$F156*Rubric!$B$8+$G156*Rubric!$B$9)</f>
        <v>4</v>
      </c>
      <c r="O156" s="40" t="str">
        <f aca="false">IF($A156="","",IF(OR(UPPER($H156)="Y",UPPER($I156)="Y"),"FAIL","PASS"))</f>
        <v>FAIL</v>
      </c>
      <c r="P156" s="41" t="n">
        <f aca="false">IF($N156="","",Assumptions!$B$6*MAX(0.05,($N156/Assumptions!$B$11)^Assumptions!$B$12))</f>
        <v>0.0133333333333333</v>
      </c>
      <c r="Q156" s="41" t="n">
        <f aca="false">IF($P156="","",1-(1-$P156)^Assumptions!$B$7)</f>
        <v>0.0649124349893003</v>
      </c>
      <c r="R156" s="42" t="n">
        <f aca="false">IF($M156="","",$M156*Assumptions!$B$7)</f>
        <v>55</v>
      </c>
      <c r="S156" s="42" t="str">
        <f aca="false">IF(OR($J156="",$Q156="",$Q156=0),"",($J156+$R156)/($Q156*(1-Assumptions!$B$4)))</f>
        <v/>
      </c>
      <c r="T156" s="43" t="str">
        <f aca="false">IF(OR($K156="",$S156="",$S156=0),"",$K156/$S156)</f>
        <v/>
      </c>
      <c r="U156" s="44" t="str">
        <f aca="false">IF(OR($K156="",$Q156=""),"",MAX(0,($K156-MAX($K156*Assumptions!$B$4,Assumptions!$B$5))*$Q156-$R156))</f>
        <v/>
      </c>
      <c r="V156" s="40" t="str">
        <f aca="false">IF($A156="","",IF($O156="FAIL","REJECT",IF($J156="","NEEDS PRICE",IF(OR($K156="",$L156=""),"NEEDS VALUATION",IF($T156&gt;=Assumptions!$B$13,"BUY",IF($T156&gt;=1,"MARGINAL","PASS"))))))</f>
        <v>REJECT</v>
      </c>
      <c r="W156" s="25" t="s">
        <v>395</v>
      </c>
      <c r="X156" s="35" t="s">
        <v>482</v>
      </c>
    </row>
    <row r="157" customFormat="false" ht="15" hidden="false" customHeight="false" outlineLevel="0" collapsed="false">
      <c r="A157" s="22" t="s">
        <v>483</v>
      </c>
      <c r="B157" s="36" t="str">
        <f aca="false">IF($A157="","",IF(ISERROR(FIND(".",$A157)),"",LOWER(MID($A157,FIND(CHAR(1),SUBSTITUTE($A157,".",CHAR(1),LEN($A157)-LEN(SUBSTITUTE($A157,".",""))))+1,LEN($A157)))))</f>
        <v>com</v>
      </c>
      <c r="C157" s="37" t="n">
        <f aca="false">IF($B157="","",IFERROR(INDEX(Rubric!$B$14:$B$23,MATCH($B157,Rubric!$A$14:$A$23,0)),INDEX(Rubric!$B$14:$B$23,MATCH("other",Rubric!$A$14:$A$23,0))))</f>
        <v>5</v>
      </c>
      <c r="D157" s="25" t="n">
        <v>3</v>
      </c>
      <c r="E157" s="25" t="n">
        <v>2</v>
      </c>
      <c r="F157" s="25" t="n">
        <v>3</v>
      </c>
      <c r="G157" s="25" t="n">
        <v>4</v>
      </c>
      <c r="H157" s="25" t="s">
        <v>176</v>
      </c>
      <c r="I157" s="25" t="s">
        <v>176</v>
      </c>
      <c r="J157" s="26"/>
      <c r="K157" s="27"/>
      <c r="L157" s="25"/>
      <c r="M157" s="38" t="n">
        <f aca="false">IF($B157="","",IFERROR(INDEX(Rubric!$C$14:$C$23,MATCH($B157,Rubric!$A$14:$A$23,0)),INDEX(Rubric!$C$14:$C$23,MATCH("other",Rubric!$A$14:$A$23,0))))</f>
        <v>11</v>
      </c>
      <c r="N157" s="39" t="n">
        <f aca="false">IF(OR($A157="",$C157=""),"",$C157*Rubric!$B$5+$D157*Rubric!$B$6+$E157*Rubric!$B$7+$F157*Rubric!$B$8+$G157*Rubric!$B$9)</f>
        <v>3.32</v>
      </c>
      <c r="O157" s="40" t="str">
        <f aca="false">IF($A157="","",IF(OR(UPPER($H157)="Y",UPPER($I157)="Y"),"FAIL","PASS"))</f>
        <v>PASS</v>
      </c>
      <c r="P157" s="41" t="n">
        <f aca="false">IF($N157="","",Assumptions!$B$6*MAX(0.05,($N157/Assumptions!$B$11)^Assumptions!$B$12))</f>
        <v>0.0110666666666667</v>
      </c>
      <c r="Q157" s="41" t="n">
        <f aca="false">IF($P157="","",1-(1-$P157)^Assumptions!$B$7)</f>
        <v>0.0541221008619774</v>
      </c>
      <c r="R157" s="42" t="n">
        <f aca="false">IF($M157="","",$M157*Assumptions!$B$7)</f>
        <v>55</v>
      </c>
      <c r="S157" s="42" t="str">
        <f aca="false">IF(OR($J157="",$Q157="",$Q157=0),"",($J157+$R157)/($Q157*(1-Assumptions!$B$4)))</f>
        <v/>
      </c>
      <c r="T157" s="43" t="str">
        <f aca="false">IF(OR($K157="",$S157="",$S157=0),"",$K157/$S157)</f>
        <v/>
      </c>
      <c r="U157" s="44" t="str">
        <f aca="false">IF(OR($K157="",$Q157=""),"",MAX(0,($K157-MAX($K157*Assumptions!$B$4,Assumptions!$B$5))*$Q157-$R157))</f>
        <v/>
      </c>
      <c r="V157" s="40" t="str">
        <f aca="false">IF($A157="","",IF($O157="FAIL","REJECT",IF($J157="","NEEDS PRICE",IF(OR($K157="",$L157=""),"NEEDS VALUATION",IF($T157&gt;=Assumptions!$B$13,"BUY",IF($T157&gt;=1,"MARGINAL","PASS"))))))</f>
        <v>NEEDS PRICE</v>
      </c>
      <c r="W157" s="25" t="s">
        <v>395</v>
      </c>
      <c r="X157" s="35" t="s">
        <v>484</v>
      </c>
    </row>
    <row r="158" customFormat="false" ht="15" hidden="false" customHeight="false" outlineLevel="0" collapsed="false">
      <c r="A158" s="22" t="s">
        <v>485</v>
      </c>
      <c r="B158" s="36" t="str">
        <f aca="false">IF($A158="","",IF(ISERROR(FIND(".",$A158)),"",LOWER(MID($A158,FIND(CHAR(1),SUBSTITUTE($A158,".",CHAR(1),LEN($A158)-LEN(SUBSTITUTE($A158,".",""))))+1,LEN($A158)))))</f>
        <v>com</v>
      </c>
      <c r="C158" s="37" t="n">
        <f aca="false">IF($B158="","",IFERROR(INDEX(Rubric!$B$14:$B$23,MATCH($B158,Rubric!$A$14:$A$23,0)),INDEX(Rubric!$B$14:$B$23,MATCH("other",Rubric!$A$14:$A$23,0))))</f>
        <v>5</v>
      </c>
      <c r="D158" s="25" t="n">
        <v>4</v>
      </c>
      <c r="E158" s="25" t="n">
        <v>3</v>
      </c>
      <c r="F158" s="25" t="n">
        <v>5</v>
      </c>
      <c r="G158" s="25" t="n">
        <v>5</v>
      </c>
      <c r="H158" s="25" t="s">
        <v>176</v>
      </c>
      <c r="I158" s="25" t="s">
        <v>176</v>
      </c>
      <c r="J158" s="26"/>
      <c r="K158" s="27"/>
      <c r="L158" s="25"/>
      <c r="M158" s="38" t="n">
        <f aca="false">IF($B158="","",IFERROR(INDEX(Rubric!$C$14:$C$23,MATCH($B158,Rubric!$A$14:$A$23,0)),INDEX(Rubric!$C$14:$C$23,MATCH("other",Rubric!$A$14:$A$23,0))))</f>
        <v>11</v>
      </c>
      <c r="N158" s="39" t="n">
        <f aca="false">IF(OR($A158="",$C158=""),"",$C158*Rubric!$B$5+$D158*Rubric!$B$6+$E158*Rubric!$B$7+$F158*Rubric!$B$8+$G158*Rubric!$B$9)</f>
        <v>4.26</v>
      </c>
      <c r="O158" s="40" t="str">
        <f aca="false">IF($A158="","",IF(OR(UPPER($H158)="Y",UPPER($I158)="Y"),"FAIL","PASS"))</f>
        <v>PASS</v>
      </c>
      <c r="P158" s="41" t="n">
        <f aca="false">IF($N158="","",Assumptions!$B$6*MAX(0.05,($N158/Assumptions!$B$11)^Assumptions!$B$12))</f>
        <v>0.0142</v>
      </c>
      <c r="Q158" s="41" t="n">
        <f aca="false">IF($P158="","",1-(1-$P158)^Assumptions!$B$7)</f>
        <v>0.0690120301639053</v>
      </c>
      <c r="R158" s="42" t="n">
        <f aca="false">IF($M158="","",$M158*Assumptions!$B$7)</f>
        <v>55</v>
      </c>
      <c r="S158" s="42" t="str">
        <f aca="false">IF(OR($J158="",$Q158="",$Q158=0),"",($J158+$R158)/($Q158*(1-Assumptions!$B$4)))</f>
        <v/>
      </c>
      <c r="T158" s="43" t="str">
        <f aca="false">IF(OR($K158="",$S158="",$S158=0),"",$K158/$S158)</f>
        <v/>
      </c>
      <c r="U158" s="44" t="str">
        <f aca="false">IF(OR($K158="",$Q158=""),"",MAX(0,($K158-MAX($K158*Assumptions!$B$4,Assumptions!$B$5))*$Q158-$R158))</f>
        <v/>
      </c>
      <c r="V158" s="40" t="str">
        <f aca="false">IF($A158="","",IF($O158="FAIL","REJECT",IF($J158="","NEEDS PRICE",IF(OR($K158="",$L158=""),"NEEDS VALUATION",IF($T158&gt;=Assumptions!$B$13,"BUY",IF($T158&gt;=1,"MARGINAL","PASS"))))))</f>
        <v>NEEDS PRICE</v>
      </c>
      <c r="W158" s="25" t="s">
        <v>395</v>
      </c>
      <c r="X158" s="35" t="s">
        <v>486</v>
      </c>
    </row>
    <row r="159" customFormat="false" ht="15" hidden="false" customHeight="false" outlineLevel="0" collapsed="false">
      <c r="A159" s="22" t="s">
        <v>487</v>
      </c>
      <c r="B159" s="36" t="str">
        <f aca="false">IF($A159="","",IF(ISERROR(FIND(".",$A159)),"",LOWER(MID($A159,FIND(CHAR(1),SUBSTITUTE($A159,".",CHAR(1),LEN($A159)-LEN(SUBSTITUTE($A159,".",""))))+1,LEN($A159)))))</f>
        <v>com</v>
      </c>
      <c r="C159" s="37" t="n">
        <f aca="false">IF($B159="","",IFERROR(INDEX(Rubric!$B$14:$B$23,MATCH($B159,Rubric!$A$14:$A$23,0)),INDEX(Rubric!$B$14:$B$23,MATCH("other",Rubric!$A$14:$A$23,0))))</f>
        <v>5</v>
      </c>
      <c r="D159" s="25" t="n">
        <v>4</v>
      </c>
      <c r="E159" s="25" t="n">
        <v>3</v>
      </c>
      <c r="F159" s="25" t="n">
        <v>5</v>
      </c>
      <c r="G159" s="25" t="n">
        <v>5</v>
      </c>
      <c r="H159" s="25" t="s">
        <v>176</v>
      </c>
      <c r="I159" s="25" t="s">
        <v>176</v>
      </c>
      <c r="J159" s="26"/>
      <c r="K159" s="27"/>
      <c r="L159" s="25"/>
      <c r="M159" s="38" t="n">
        <f aca="false">IF($B159="","",IFERROR(INDEX(Rubric!$C$14:$C$23,MATCH($B159,Rubric!$A$14:$A$23,0)),INDEX(Rubric!$C$14:$C$23,MATCH("other",Rubric!$A$14:$A$23,0))))</f>
        <v>11</v>
      </c>
      <c r="N159" s="39" t="n">
        <f aca="false">IF(OR($A159="",$C159=""),"",$C159*Rubric!$B$5+$D159*Rubric!$B$6+$E159*Rubric!$B$7+$F159*Rubric!$B$8+$G159*Rubric!$B$9)</f>
        <v>4.26</v>
      </c>
      <c r="O159" s="40" t="str">
        <f aca="false">IF($A159="","",IF(OR(UPPER($H159)="Y",UPPER($I159)="Y"),"FAIL","PASS"))</f>
        <v>PASS</v>
      </c>
      <c r="P159" s="41" t="n">
        <f aca="false">IF($N159="","",Assumptions!$B$6*MAX(0.05,($N159/Assumptions!$B$11)^Assumptions!$B$12))</f>
        <v>0.0142</v>
      </c>
      <c r="Q159" s="41" t="n">
        <f aca="false">IF($P159="","",1-(1-$P159)^Assumptions!$B$7)</f>
        <v>0.0690120301639053</v>
      </c>
      <c r="R159" s="42" t="n">
        <f aca="false">IF($M159="","",$M159*Assumptions!$B$7)</f>
        <v>55</v>
      </c>
      <c r="S159" s="42" t="str">
        <f aca="false">IF(OR($J159="",$Q159="",$Q159=0),"",($J159+$R159)/($Q159*(1-Assumptions!$B$4)))</f>
        <v/>
      </c>
      <c r="T159" s="43" t="str">
        <f aca="false">IF(OR($K159="",$S159="",$S159=0),"",$K159/$S159)</f>
        <v/>
      </c>
      <c r="U159" s="44" t="str">
        <f aca="false">IF(OR($K159="",$Q159=""),"",MAX(0,($K159-MAX($K159*Assumptions!$B$4,Assumptions!$B$5))*$Q159-$R159))</f>
        <v/>
      </c>
      <c r="V159" s="40" t="str">
        <f aca="false">IF($A159="","",IF($O159="FAIL","REJECT",IF($J159="","NEEDS PRICE",IF(OR($K159="",$L159=""),"NEEDS VALUATION",IF($T159&gt;=Assumptions!$B$13,"BUY",IF($T159&gt;=1,"MARGINAL","PASS"))))))</f>
        <v>NEEDS PRICE</v>
      </c>
      <c r="W159" s="25" t="s">
        <v>395</v>
      </c>
      <c r="X159" s="35" t="s">
        <v>488</v>
      </c>
    </row>
    <row r="160" customFormat="false" ht="15" hidden="false" customHeight="false" outlineLevel="0" collapsed="false">
      <c r="A160" s="22" t="s">
        <v>489</v>
      </c>
      <c r="B160" s="36" t="str">
        <f aca="false">IF($A160="","",IF(ISERROR(FIND(".",$A160)),"",LOWER(MID($A160,FIND(CHAR(1),SUBSTITUTE($A160,".",CHAR(1),LEN($A160)-LEN(SUBSTITUTE($A160,".",""))))+1,LEN($A160)))))</f>
        <v>com</v>
      </c>
      <c r="C160" s="37" t="n">
        <f aca="false">IF($B160="","",IFERROR(INDEX(Rubric!$B$14:$B$23,MATCH($B160,Rubric!$A$14:$A$23,0)),INDEX(Rubric!$B$14:$B$23,MATCH("other",Rubric!$A$14:$A$23,0))))</f>
        <v>5</v>
      </c>
      <c r="D160" s="25" t="n">
        <v>4</v>
      </c>
      <c r="E160" s="25" t="n">
        <v>2</v>
      </c>
      <c r="F160" s="25" t="n">
        <v>3</v>
      </c>
      <c r="G160" s="25" t="n">
        <v>5</v>
      </c>
      <c r="H160" s="25" t="s">
        <v>176</v>
      </c>
      <c r="I160" s="25" t="s">
        <v>176</v>
      </c>
      <c r="J160" s="26"/>
      <c r="K160" s="27"/>
      <c r="L160" s="25"/>
      <c r="M160" s="38" t="n">
        <f aca="false">IF($B160="","",IFERROR(INDEX(Rubric!$C$14:$C$23,MATCH($B160,Rubric!$A$14:$A$23,0)),INDEX(Rubric!$C$14:$C$23,MATCH("other",Rubric!$A$14:$A$23,0))))</f>
        <v>11</v>
      </c>
      <c r="N160" s="39" t="n">
        <f aca="false">IF(OR($A160="",$C160=""),"",$C160*Rubric!$B$5+$D160*Rubric!$B$6+$E160*Rubric!$B$7+$F160*Rubric!$B$8+$G160*Rubric!$B$9)</f>
        <v>3.72</v>
      </c>
      <c r="O160" s="40" t="str">
        <f aca="false">IF($A160="","",IF(OR(UPPER($H160)="Y",UPPER($I160)="Y"),"FAIL","PASS"))</f>
        <v>PASS</v>
      </c>
      <c r="P160" s="41" t="n">
        <f aca="false">IF($N160="","",Assumptions!$B$6*MAX(0.05,($N160/Assumptions!$B$11)^Assumptions!$B$12))</f>
        <v>0.0124</v>
      </c>
      <c r="Q160" s="41" t="n">
        <f aca="false">IF($P160="","",1-(1-$P160)^Assumptions!$B$7)</f>
        <v>0.0604813483224743</v>
      </c>
      <c r="R160" s="42" t="n">
        <f aca="false">IF($M160="","",$M160*Assumptions!$B$7)</f>
        <v>55</v>
      </c>
      <c r="S160" s="42" t="str">
        <f aca="false">IF(OR($J160="",$Q160="",$Q160=0),"",($J160+$R160)/($Q160*(1-Assumptions!$B$4)))</f>
        <v/>
      </c>
      <c r="T160" s="43" t="str">
        <f aca="false">IF(OR($K160="",$S160="",$S160=0),"",$K160/$S160)</f>
        <v/>
      </c>
      <c r="U160" s="44" t="str">
        <f aca="false">IF(OR($K160="",$Q160=""),"",MAX(0,($K160-MAX($K160*Assumptions!$B$4,Assumptions!$B$5))*$Q160-$R160))</f>
        <v/>
      </c>
      <c r="V160" s="40" t="str">
        <f aca="false">IF($A160="","",IF($O160="FAIL","REJECT",IF($J160="","NEEDS PRICE",IF(OR($K160="",$L160=""),"NEEDS VALUATION",IF($T160&gt;=Assumptions!$B$13,"BUY",IF($T160&gt;=1,"MARGINAL","PASS"))))))</f>
        <v>NEEDS PRICE</v>
      </c>
      <c r="W160" s="25" t="s">
        <v>395</v>
      </c>
      <c r="X160" s="35" t="s">
        <v>490</v>
      </c>
    </row>
    <row r="161" customFormat="false" ht="23.85" hidden="false" customHeight="false" outlineLevel="0" collapsed="false">
      <c r="A161" s="22" t="s">
        <v>491</v>
      </c>
      <c r="B161" s="36" t="str">
        <f aca="false">IF($A161="","",IF(ISERROR(FIND(".",$A161)),"",LOWER(MID($A161,FIND(CHAR(1),SUBSTITUTE($A161,".",CHAR(1),LEN($A161)-LEN(SUBSTITUTE($A161,".",""))))+1,LEN($A161)))))</f>
        <v>com</v>
      </c>
      <c r="C161" s="37" t="n">
        <f aca="false">IF($B161="","",IFERROR(INDEX(Rubric!$B$14:$B$23,MATCH($B161,Rubric!$A$14:$A$23,0)),INDEX(Rubric!$B$14:$B$23,MATCH("other",Rubric!$A$14:$A$23,0))))</f>
        <v>5</v>
      </c>
      <c r="D161" s="25" t="n">
        <v>4</v>
      </c>
      <c r="E161" s="25" t="n">
        <v>2</v>
      </c>
      <c r="F161" s="25" t="n">
        <v>5</v>
      </c>
      <c r="G161" s="25" t="n">
        <v>5</v>
      </c>
      <c r="H161" s="25" t="s">
        <v>176</v>
      </c>
      <c r="I161" s="25" t="s">
        <v>176</v>
      </c>
      <c r="J161" s="26"/>
      <c r="K161" s="27"/>
      <c r="L161" s="25"/>
      <c r="M161" s="38" t="n">
        <f aca="false">IF($B161="","",IFERROR(INDEX(Rubric!$C$14:$C$23,MATCH($B161,Rubric!$A$14:$A$23,0)),INDEX(Rubric!$C$14:$C$23,MATCH("other",Rubric!$A$14:$A$23,0))))</f>
        <v>11</v>
      </c>
      <c r="N161" s="39" t="n">
        <f aca="false">IF(OR($A161="",$C161=""),"",$C161*Rubric!$B$5+$D161*Rubric!$B$6+$E161*Rubric!$B$7+$F161*Rubric!$B$8+$G161*Rubric!$B$9)</f>
        <v>4.04</v>
      </c>
      <c r="O161" s="40" t="str">
        <f aca="false">IF($A161="","",IF(OR(UPPER($H161)="Y",UPPER($I161)="Y"),"FAIL","PASS"))</f>
        <v>PASS</v>
      </c>
      <c r="P161" s="41" t="n">
        <f aca="false">IF($N161="","",Assumptions!$B$6*MAX(0.05,($N161/Assumptions!$B$11)^Assumptions!$B$12))</f>
        <v>0.0134666666666667</v>
      </c>
      <c r="Q161" s="41" t="n">
        <f aca="false">IF($P161="","",1-(1-$P161)^Assumptions!$B$7)</f>
        <v>0.0655440801736189</v>
      </c>
      <c r="R161" s="42" t="n">
        <f aca="false">IF($M161="","",$M161*Assumptions!$B$7)</f>
        <v>55</v>
      </c>
      <c r="S161" s="42" t="str">
        <f aca="false">IF(OR($J161="",$Q161="",$Q161=0),"",($J161+$R161)/($Q161*(1-Assumptions!$B$4)))</f>
        <v/>
      </c>
      <c r="T161" s="43" t="str">
        <f aca="false">IF(OR($K161="",$S161="",$S161=0),"",$K161/$S161)</f>
        <v/>
      </c>
      <c r="U161" s="44" t="str">
        <f aca="false">IF(OR($K161="",$Q161=""),"",MAX(0,($K161-MAX($K161*Assumptions!$B$4,Assumptions!$B$5))*$Q161-$R161))</f>
        <v/>
      </c>
      <c r="V161" s="40" t="str">
        <f aca="false">IF($A161="","",IF($O161="FAIL","REJECT",IF($J161="","NEEDS PRICE",IF(OR($K161="",$L161=""),"NEEDS VALUATION",IF($T161&gt;=Assumptions!$B$13,"BUY",IF($T161&gt;=1,"MARGINAL","PASS"))))))</f>
        <v>NEEDS PRICE</v>
      </c>
      <c r="W161" s="25" t="s">
        <v>395</v>
      </c>
      <c r="X161" s="35" t="s">
        <v>492</v>
      </c>
    </row>
    <row r="162" customFormat="false" ht="23.85" hidden="false" customHeight="false" outlineLevel="0" collapsed="false">
      <c r="A162" s="22" t="s">
        <v>493</v>
      </c>
      <c r="B162" s="36" t="str">
        <f aca="false">IF($A162="","",IF(ISERROR(FIND(".",$A162)),"",LOWER(MID($A162,FIND(CHAR(1),SUBSTITUTE($A162,".",CHAR(1),LEN($A162)-LEN(SUBSTITUTE($A162,".",""))))+1,LEN($A162)))))</f>
        <v>com</v>
      </c>
      <c r="C162" s="37" t="n">
        <f aca="false">IF($B162="","",IFERROR(INDEX(Rubric!$B$14:$B$23,MATCH($B162,Rubric!$A$14:$A$23,0)),INDEX(Rubric!$B$14:$B$23,MATCH("other",Rubric!$A$14:$A$23,0))))</f>
        <v>5</v>
      </c>
      <c r="D162" s="25" t="n">
        <v>4</v>
      </c>
      <c r="E162" s="25" t="n">
        <v>3</v>
      </c>
      <c r="F162" s="25" t="n">
        <v>4</v>
      </c>
      <c r="G162" s="25" t="n">
        <v>5</v>
      </c>
      <c r="H162" s="25" t="s">
        <v>176</v>
      </c>
      <c r="I162" s="25" t="s">
        <v>176</v>
      </c>
      <c r="J162" s="26"/>
      <c r="K162" s="27"/>
      <c r="L162" s="25"/>
      <c r="M162" s="38" t="n">
        <f aca="false">IF($B162="","",IFERROR(INDEX(Rubric!$C$14:$C$23,MATCH($B162,Rubric!$A$14:$A$23,0)),INDEX(Rubric!$C$14:$C$23,MATCH("other",Rubric!$A$14:$A$23,0))))</f>
        <v>11</v>
      </c>
      <c r="N162" s="39" t="n">
        <f aca="false">IF(OR($A162="",$C162=""),"",$C162*Rubric!$B$5+$D162*Rubric!$B$6+$E162*Rubric!$B$7+$F162*Rubric!$B$8+$G162*Rubric!$B$9)</f>
        <v>4.1</v>
      </c>
      <c r="O162" s="40" t="str">
        <f aca="false">IF($A162="","",IF(OR(UPPER($H162)="Y",UPPER($I162)="Y"),"FAIL","PASS"))</f>
        <v>PASS</v>
      </c>
      <c r="P162" s="41" t="n">
        <f aca="false">IF($N162="","",Assumptions!$B$6*MAX(0.05,($N162/Assumptions!$B$11)^Assumptions!$B$12))</f>
        <v>0.0136666666666667</v>
      </c>
      <c r="Q162" s="41" t="n">
        <f aca="false">IF($P162="","",1-(1-$P162)^Assumptions!$B$7)</f>
        <v>0.0664909078989352</v>
      </c>
      <c r="R162" s="42" t="n">
        <f aca="false">IF($M162="","",$M162*Assumptions!$B$7)</f>
        <v>55</v>
      </c>
      <c r="S162" s="42" t="str">
        <f aca="false">IF(OR($J162="",$Q162="",$Q162=0),"",($J162+$R162)/($Q162*(1-Assumptions!$B$4)))</f>
        <v/>
      </c>
      <c r="T162" s="43" t="str">
        <f aca="false">IF(OR($K162="",$S162="",$S162=0),"",$K162/$S162)</f>
        <v/>
      </c>
      <c r="U162" s="44" t="str">
        <f aca="false">IF(OR($K162="",$Q162=""),"",MAX(0,($K162-MAX($K162*Assumptions!$B$4,Assumptions!$B$5))*$Q162-$R162))</f>
        <v/>
      </c>
      <c r="V162" s="40" t="str">
        <f aca="false">IF($A162="","",IF($O162="FAIL","REJECT",IF($J162="","NEEDS PRICE",IF(OR($K162="",$L162=""),"NEEDS VALUATION",IF($T162&gt;=Assumptions!$B$13,"BUY",IF($T162&gt;=1,"MARGINAL","PASS"))))))</f>
        <v>NEEDS PRICE</v>
      </c>
      <c r="W162" s="25" t="s">
        <v>395</v>
      </c>
      <c r="X162" s="35" t="s">
        <v>494</v>
      </c>
    </row>
    <row r="163" customFormat="false" ht="23.85" hidden="false" customHeight="false" outlineLevel="0" collapsed="false">
      <c r="A163" s="22" t="s">
        <v>495</v>
      </c>
      <c r="B163" s="36" t="str">
        <f aca="false">IF($A163="","",IF(ISERROR(FIND(".",$A163)),"",LOWER(MID($A163,FIND(CHAR(1),SUBSTITUTE($A163,".",CHAR(1),LEN($A163)-LEN(SUBSTITUTE($A163,".",""))))+1,LEN($A163)))))</f>
        <v>com</v>
      </c>
      <c r="C163" s="37" t="n">
        <f aca="false">IF($B163="","",IFERROR(INDEX(Rubric!$B$14:$B$23,MATCH($B163,Rubric!$A$14:$A$23,0)),INDEX(Rubric!$B$14:$B$23,MATCH("other",Rubric!$A$14:$A$23,0))))</f>
        <v>5</v>
      </c>
      <c r="D163" s="25" t="n">
        <v>2</v>
      </c>
      <c r="E163" s="25" t="n">
        <v>1</v>
      </c>
      <c r="F163" s="25" t="n">
        <v>5</v>
      </c>
      <c r="G163" s="25" t="n">
        <v>5</v>
      </c>
      <c r="H163" s="25" t="s">
        <v>176</v>
      </c>
      <c r="I163" s="25" t="s">
        <v>176</v>
      </c>
      <c r="J163" s="26"/>
      <c r="K163" s="27"/>
      <c r="L163" s="25"/>
      <c r="M163" s="38" t="n">
        <f aca="false">IF($B163="","",IFERROR(INDEX(Rubric!$C$14:$C$23,MATCH($B163,Rubric!$A$14:$A$23,0)),INDEX(Rubric!$C$14:$C$23,MATCH("other",Rubric!$A$14:$A$23,0))))</f>
        <v>11</v>
      </c>
      <c r="N163" s="39" t="n">
        <f aca="false">IF(OR($A163="",$C163=""),"",$C163*Rubric!$B$5+$D163*Rubric!$B$6+$E163*Rubric!$B$7+$F163*Rubric!$B$8+$G163*Rubric!$B$9)</f>
        <v>3.22</v>
      </c>
      <c r="O163" s="40" t="str">
        <f aca="false">IF($A163="","",IF(OR(UPPER($H163)="Y",UPPER($I163)="Y"),"FAIL","PASS"))</f>
        <v>PASS</v>
      </c>
      <c r="P163" s="41" t="n">
        <f aca="false">IF($N163="","",Assumptions!$B$6*MAX(0.05,($N163/Assumptions!$B$11)^Assumptions!$B$12))</f>
        <v>0.0107333333333333</v>
      </c>
      <c r="Q163" s="41" t="n">
        <f aca="false">IF($P163="","",1-(1-$P163)^Assumptions!$B$7)</f>
        <v>0.0525269212813928</v>
      </c>
      <c r="R163" s="42" t="n">
        <f aca="false">IF($M163="","",$M163*Assumptions!$B$7)</f>
        <v>55</v>
      </c>
      <c r="S163" s="42" t="str">
        <f aca="false">IF(OR($J163="",$Q163="",$Q163=0),"",($J163+$R163)/($Q163*(1-Assumptions!$B$4)))</f>
        <v/>
      </c>
      <c r="T163" s="43" t="str">
        <f aca="false">IF(OR($K163="",$S163="",$S163=0),"",$K163/$S163)</f>
        <v/>
      </c>
      <c r="U163" s="44" t="str">
        <f aca="false">IF(OR($K163="",$Q163=""),"",MAX(0,($K163-MAX($K163*Assumptions!$B$4,Assumptions!$B$5))*$Q163-$R163))</f>
        <v/>
      </c>
      <c r="V163" s="40" t="str">
        <f aca="false">IF($A163="","",IF($O163="FAIL","REJECT",IF($J163="","NEEDS PRICE",IF(OR($K163="",$L163=""),"NEEDS VALUATION",IF($T163&gt;=Assumptions!$B$13,"BUY",IF($T163&gt;=1,"MARGINAL","PASS"))))))</f>
        <v>NEEDS PRICE</v>
      </c>
      <c r="W163" s="25" t="s">
        <v>395</v>
      </c>
      <c r="X163" s="35" t="s">
        <v>496</v>
      </c>
    </row>
    <row r="164" customFormat="false" ht="15" hidden="false" customHeight="false" outlineLevel="0" collapsed="false">
      <c r="A164" s="22" t="s">
        <v>497</v>
      </c>
      <c r="B164" s="36" t="str">
        <f aca="false">IF($A164="","",IF(ISERROR(FIND(".",$A164)),"",LOWER(MID($A164,FIND(CHAR(1),SUBSTITUTE($A164,".",CHAR(1),LEN($A164)-LEN(SUBSTITUTE($A164,".",""))))+1,LEN($A164)))))</f>
        <v>com</v>
      </c>
      <c r="C164" s="37" t="n">
        <f aca="false">IF($B164="","",IFERROR(INDEX(Rubric!$B$14:$B$23,MATCH($B164,Rubric!$A$14:$A$23,0)),INDEX(Rubric!$B$14:$B$23,MATCH("other",Rubric!$A$14:$A$23,0))))</f>
        <v>5</v>
      </c>
      <c r="D164" s="25" t="n">
        <v>1</v>
      </c>
      <c r="E164" s="25" t="n">
        <v>1</v>
      </c>
      <c r="F164" s="25" t="n">
        <v>5</v>
      </c>
      <c r="G164" s="25" t="n">
        <v>4</v>
      </c>
      <c r="H164" s="25" t="s">
        <v>176</v>
      </c>
      <c r="I164" s="25" t="s">
        <v>176</v>
      </c>
      <c r="J164" s="26"/>
      <c r="K164" s="27"/>
      <c r="L164" s="25"/>
      <c r="M164" s="38" t="n">
        <f aca="false">IF($B164="","",IFERROR(INDEX(Rubric!$C$14:$C$23,MATCH($B164,Rubric!$A$14:$A$23,0)),INDEX(Rubric!$C$14:$C$23,MATCH("other",Rubric!$A$14:$A$23,0))))</f>
        <v>11</v>
      </c>
      <c r="N164" s="39" t="n">
        <f aca="false">IF(OR($A164="",$C164=""),"",$C164*Rubric!$B$5+$D164*Rubric!$B$6+$E164*Rubric!$B$7+$F164*Rubric!$B$8+$G164*Rubric!$B$9)</f>
        <v>2.82</v>
      </c>
      <c r="O164" s="40" t="str">
        <f aca="false">IF($A164="","",IF(OR(UPPER($H164)="Y",UPPER($I164)="Y"),"FAIL","PASS"))</f>
        <v>PASS</v>
      </c>
      <c r="P164" s="41" t="n">
        <f aca="false">IF($N164="","",Assumptions!$B$6*MAX(0.05,($N164/Assumptions!$B$11)^Assumptions!$B$12))</f>
        <v>0.0094</v>
      </c>
      <c r="Q164" s="41" t="n">
        <f aca="false">IF($P164="","",1-(1-$P164)^Assumptions!$B$7)</f>
        <v>0.0461246668759422</v>
      </c>
      <c r="R164" s="42" t="n">
        <f aca="false">IF($M164="","",$M164*Assumptions!$B$7)</f>
        <v>55</v>
      </c>
      <c r="S164" s="42" t="str">
        <f aca="false">IF(OR($J164="",$Q164="",$Q164=0),"",($J164+$R164)/($Q164*(1-Assumptions!$B$4)))</f>
        <v/>
      </c>
      <c r="T164" s="43" t="str">
        <f aca="false">IF(OR($K164="",$S164="",$S164=0),"",$K164/$S164)</f>
        <v/>
      </c>
      <c r="U164" s="44" t="str">
        <f aca="false">IF(OR($K164="",$Q164=""),"",MAX(0,($K164-MAX($K164*Assumptions!$B$4,Assumptions!$B$5))*$Q164-$R164))</f>
        <v/>
      </c>
      <c r="V164" s="40" t="str">
        <f aca="false">IF($A164="","",IF($O164="FAIL","REJECT",IF($J164="","NEEDS PRICE",IF(OR($K164="",$L164=""),"NEEDS VALUATION",IF($T164&gt;=Assumptions!$B$13,"BUY",IF($T164&gt;=1,"MARGINAL","PASS"))))))</f>
        <v>NEEDS PRICE</v>
      </c>
      <c r="W164" s="25" t="s">
        <v>395</v>
      </c>
      <c r="X164" s="35" t="s">
        <v>498</v>
      </c>
    </row>
    <row r="165" customFormat="false" ht="23.85" hidden="false" customHeight="false" outlineLevel="0" collapsed="false">
      <c r="A165" s="22" t="s">
        <v>499</v>
      </c>
      <c r="B165" s="36" t="str">
        <f aca="false">IF($A165="","",IF(ISERROR(FIND(".",$A165)),"",LOWER(MID($A165,FIND(CHAR(1),SUBSTITUTE($A165,".",CHAR(1),LEN($A165)-LEN(SUBSTITUTE($A165,".",""))))+1,LEN($A165)))))</f>
        <v>com</v>
      </c>
      <c r="C165" s="37" t="n">
        <f aca="false">IF($B165="","",IFERROR(INDEX(Rubric!$B$14:$B$23,MATCH($B165,Rubric!$A$14:$A$23,0)),INDEX(Rubric!$B$14:$B$23,MATCH("other",Rubric!$A$14:$A$23,0))))</f>
        <v>5</v>
      </c>
      <c r="D165" s="25" t="n">
        <v>1</v>
      </c>
      <c r="E165" s="25" t="n">
        <v>1</v>
      </c>
      <c r="F165" s="25" t="n">
        <v>5</v>
      </c>
      <c r="G165" s="25" t="n">
        <v>5</v>
      </c>
      <c r="H165" s="25" t="s">
        <v>176</v>
      </c>
      <c r="I165" s="25" t="s">
        <v>176</v>
      </c>
      <c r="J165" s="26"/>
      <c r="K165" s="27"/>
      <c r="L165" s="25"/>
      <c r="M165" s="38" t="n">
        <f aca="false">IF($B165="","",IFERROR(INDEX(Rubric!$C$14:$C$23,MATCH($B165,Rubric!$A$14:$A$23,0)),INDEX(Rubric!$C$14:$C$23,MATCH("other",Rubric!$A$14:$A$23,0))))</f>
        <v>11</v>
      </c>
      <c r="N165" s="39" t="n">
        <f aca="false">IF(OR($A165="",$C165=""),"",$C165*Rubric!$B$5+$D165*Rubric!$B$6+$E165*Rubric!$B$7+$F165*Rubric!$B$8+$G165*Rubric!$B$9)</f>
        <v>2.92</v>
      </c>
      <c r="O165" s="40" t="str">
        <f aca="false">IF($A165="","",IF(OR(UPPER($H165)="Y",UPPER($I165)="Y"),"FAIL","PASS"))</f>
        <v>PASS</v>
      </c>
      <c r="P165" s="41" t="n">
        <f aca="false">IF($N165="","",Assumptions!$B$6*MAX(0.05,($N165/Assumptions!$B$11)^Assumptions!$B$12))</f>
        <v>0.00973333333333333</v>
      </c>
      <c r="Q165" s="41" t="n">
        <f aca="false">IF($P165="","",1-(1-$P165)^Assumptions!$B$7)</f>
        <v>0.0477284652437191</v>
      </c>
      <c r="R165" s="42" t="n">
        <f aca="false">IF($M165="","",$M165*Assumptions!$B$7)</f>
        <v>55</v>
      </c>
      <c r="S165" s="42" t="str">
        <f aca="false">IF(OR($J165="",$Q165="",$Q165=0),"",($J165+$R165)/($Q165*(1-Assumptions!$B$4)))</f>
        <v/>
      </c>
      <c r="T165" s="43" t="str">
        <f aca="false">IF(OR($K165="",$S165="",$S165=0),"",$K165/$S165)</f>
        <v/>
      </c>
      <c r="U165" s="44" t="str">
        <f aca="false">IF(OR($K165="",$Q165=""),"",MAX(0,($K165-MAX($K165*Assumptions!$B$4,Assumptions!$B$5))*$Q165-$R165))</f>
        <v/>
      </c>
      <c r="V165" s="40" t="str">
        <f aca="false">IF($A165="","",IF($O165="FAIL","REJECT",IF($J165="","NEEDS PRICE",IF(OR($K165="",$L165=""),"NEEDS VALUATION",IF($T165&gt;=Assumptions!$B$13,"BUY",IF($T165&gt;=1,"MARGINAL","PASS"))))))</f>
        <v>NEEDS PRICE</v>
      </c>
      <c r="W165" s="25" t="s">
        <v>395</v>
      </c>
      <c r="X165" s="35" t="s">
        <v>500</v>
      </c>
    </row>
    <row r="166" customFormat="false" ht="23.85" hidden="false" customHeight="false" outlineLevel="0" collapsed="false">
      <c r="A166" s="22" t="s">
        <v>501</v>
      </c>
      <c r="B166" s="36" t="str">
        <f aca="false">IF($A166="","",IF(ISERROR(FIND(".",$A166)),"",LOWER(MID($A166,FIND(CHAR(1),SUBSTITUTE($A166,".",CHAR(1),LEN($A166)-LEN(SUBSTITUTE($A166,".",""))))+1,LEN($A166)))))</f>
        <v>com</v>
      </c>
      <c r="C166" s="37" t="n">
        <f aca="false">IF($B166="","",IFERROR(INDEX(Rubric!$B$14:$B$23,MATCH($B166,Rubric!$A$14:$A$23,0)),INDEX(Rubric!$B$14:$B$23,MATCH("other",Rubric!$A$14:$A$23,0))))</f>
        <v>5</v>
      </c>
      <c r="D166" s="25" t="n">
        <v>5</v>
      </c>
      <c r="E166" s="25" t="n">
        <v>5</v>
      </c>
      <c r="F166" s="25" t="n">
        <v>4</v>
      </c>
      <c r="G166" s="25" t="n">
        <v>5</v>
      </c>
      <c r="H166" s="25" t="s">
        <v>176</v>
      </c>
      <c r="I166" s="25" t="s">
        <v>176</v>
      </c>
      <c r="J166" s="26"/>
      <c r="K166" s="27"/>
      <c r="L166" s="25"/>
      <c r="M166" s="38" t="n">
        <f aca="false">IF($B166="","",IFERROR(INDEX(Rubric!$C$14:$C$23,MATCH($B166,Rubric!$A$14:$A$23,0)),INDEX(Rubric!$C$14:$C$23,MATCH("other",Rubric!$A$14:$A$23,0))))</f>
        <v>11</v>
      </c>
      <c r="N166" s="39" t="n">
        <f aca="false">IF(OR($A166="",$C166=""),"",$C166*Rubric!$B$5+$D166*Rubric!$B$6+$E166*Rubric!$B$7+$F166*Rubric!$B$8+$G166*Rubric!$B$9)</f>
        <v>4.84</v>
      </c>
      <c r="O166" s="40" t="str">
        <f aca="false">IF($A166="","",IF(OR(UPPER($H166)="Y",UPPER($I166)="Y"),"FAIL","PASS"))</f>
        <v>PASS</v>
      </c>
      <c r="P166" s="41" t="n">
        <f aca="false">IF($N166="","",Assumptions!$B$6*MAX(0.05,($N166/Assumptions!$B$11)^Assumptions!$B$12))</f>
        <v>0.0161333333333333</v>
      </c>
      <c r="Q166" s="41" t="n">
        <f aca="false">IF($P166="","",1-(1-$P166)^Assumptions!$B$7)</f>
        <v>0.0781054771323001</v>
      </c>
      <c r="R166" s="42" t="n">
        <f aca="false">IF($M166="","",$M166*Assumptions!$B$7)</f>
        <v>55</v>
      </c>
      <c r="S166" s="42" t="str">
        <f aca="false">IF(OR($J166="",$Q166="",$Q166=0),"",($J166+$R166)/($Q166*(1-Assumptions!$B$4)))</f>
        <v/>
      </c>
      <c r="T166" s="43" t="str">
        <f aca="false">IF(OR($K166="",$S166="",$S166=0),"",$K166/$S166)</f>
        <v/>
      </c>
      <c r="U166" s="44" t="str">
        <f aca="false">IF(OR($K166="",$Q166=""),"",MAX(0,($K166-MAX($K166*Assumptions!$B$4,Assumptions!$B$5))*$Q166-$R166))</f>
        <v/>
      </c>
      <c r="V166" s="40" t="str">
        <f aca="false">IF($A166="","",IF($O166="FAIL","REJECT",IF($J166="","NEEDS PRICE",IF(OR($K166="",$L166=""),"NEEDS VALUATION",IF($T166&gt;=Assumptions!$B$13,"BUY",IF($T166&gt;=1,"MARGINAL","PASS"))))))</f>
        <v>NEEDS PRICE</v>
      </c>
      <c r="W166" s="25" t="s">
        <v>395</v>
      </c>
      <c r="X166" s="35" t="s">
        <v>502</v>
      </c>
    </row>
    <row r="167" customFormat="false" ht="23.85" hidden="false" customHeight="false" outlineLevel="0" collapsed="false">
      <c r="A167" s="22" t="s">
        <v>503</v>
      </c>
      <c r="B167" s="36" t="str">
        <f aca="false">IF($A167="","",IF(ISERROR(FIND(".",$A167)),"",LOWER(MID($A167,FIND(CHAR(1),SUBSTITUTE($A167,".",CHAR(1),LEN($A167)-LEN(SUBSTITUTE($A167,".",""))))+1,LEN($A167)))))</f>
        <v>com</v>
      </c>
      <c r="C167" s="37" t="n">
        <f aca="false">IF($B167="","",IFERROR(INDEX(Rubric!$B$14:$B$23,MATCH($B167,Rubric!$A$14:$A$23,0)),INDEX(Rubric!$B$14:$B$23,MATCH("other",Rubric!$A$14:$A$23,0))))</f>
        <v>5</v>
      </c>
      <c r="D167" s="25" t="n">
        <v>5</v>
      </c>
      <c r="E167" s="25" t="n">
        <v>5</v>
      </c>
      <c r="F167" s="25" t="n">
        <v>4</v>
      </c>
      <c r="G167" s="25" t="n">
        <v>5</v>
      </c>
      <c r="H167" s="25" t="s">
        <v>176</v>
      </c>
      <c r="I167" s="25" t="s">
        <v>176</v>
      </c>
      <c r="J167" s="26"/>
      <c r="K167" s="27"/>
      <c r="L167" s="25"/>
      <c r="M167" s="38" t="n">
        <f aca="false">IF($B167="","",IFERROR(INDEX(Rubric!$C$14:$C$23,MATCH($B167,Rubric!$A$14:$A$23,0)),INDEX(Rubric!$C$14:$C$23,MATCH("other",Rubric!$A$14:$A$23,0))))</f>
        <v>11</v>
      </c>
      <c r="N167" s="39" t="n">
        <f aca="false">IF(OR($A167="",$C167=""),"",$C167*Rubric!$B$5+$D167*Rubric!$B$6+$E167*Rubric!$B$7+$F167*Rubric!$B$8+$G167*Rubric!$B$9)</f>
        <v>4.84</v>
      </c>
      <c r="O167" s="40" t="str">
        <f aca="false">IF($A167="","",IF(OR(UPPER($H167)="Y",UPPER($I167)="Y"),"FAIL","PASS"))</f>
        <v>PASS</v>
      </c>
      <c r="P167" s="41" t="n">
        <f aca="false">IF($N167="","",Assumptions!$B$6*MAX(0.05,($N167/Assumptions!$B$11)^Assumptions!$B$12))</f>
        <v>0.0161333333333333</v>
      </c>
      <c r="Q167" s="41" t="n">
        <f aca="false">IF($P167="","",1-(1-$P167)^Assumptions!$B$7)</f>
        <v>0.0781054771323001</v>
      </c>
      <c r="R167" s="42" t="n">
        <f aca="false">IF($M167="","",$M167*Assumptions!$B$7)</f>
        <v>55</v>
      </c>
      <c r="S167" s="42" t="str">
        <f aca="false">IF(OR($J167="",$Q167="",$Q167=0),"",($J167+$R167)/($Q167*(1-Assumptions!$B$4)))</f>
        <v/>
      </c>
      <c r="T167" s="43" t="str">
        <f aca="false">IF(OR($K167="",$S167="",$S167=0),"",$K167/$S167)</f>
        <v/>
      </c>
      <c r="U167" s="44" t="str">
        <f aca="false">IF(OR($K167="",$Q167=""),"",MAX(0,($K167-MAX($K167*Assumptions!$B$4,Assumptions!$B$5))*$Q167-$R167))</f>
        <v/>
      </c>
      <c r="V167" s="40" t="str">
        <f aca="false">IF($A167="","",IF($O167="FAIL","REJECT",IF($J167="","NEEDS PRICE",IF(OR($K167="",$L167=""),"NEEDS VALUATION",IF($T167&gt;=Assumptions!$B$13,"BUY",IF($T167&gt;=1,"MARGINAL","PASS"))))))</f>
        <v>NEEDS PRICE</v>
      </c>
      <c r="W167" s="25" t="s">
        <v>395</v>
      </c>
      <c r="X167" s="35" t="s">
        <v>504</v>
      </c>
    </row>
    <row r="168" customFormat="false" ht="23.85" hidden="false" customHeight="false" outlineLevel="0" collapsed="false">
      <c r="A168" s="22" t="s">
        <v>505</v>
      </c>
      <c r="B168" s="36" t="str">
        <f aca="false">IF($A168="","",IF(ISERROR(FIND(".",$A168)),"",LOWER(MID($A168,FIND(CHAR(1),SUBSTITUTE($A168,".",CHAR(1),LEN($A168)-LEN(SUBSTITUTE($A168,".",""))))+1,LEN($A168)))))</f>
        <v>com</v>
      </c>
      <c r="C168" s="37" t="n">
        <f aca="false">IF($B168="","",IFERROR(INDEX(Rubric!$B$14:$B$23,MATCH($B168,Rubric!$A$14:$A$23,0)),INDEX(Rubric!$B$14:$B$23,MATCH("other",Rubric!$A$14:$A$23,0))))</f>
        <v>5</v>
      </c>
      <c r="D168" s="25" t="n">
        <v>5</v>
      </c>
      <c r="E168" s="25" t="n">
        <v>5</v>
      </c>
      <c r="F168" s="25" t="n">
        <v>4</v>
      </c>
      <c r="G168" s="25" t="n">
        <v>5</v>
      </c>
      <c r="H168" s="25" t="s">
        <v>176</v>
      </c>
      <c r="I168" s="25" t="s">
        <v>176</v>
      </c>
      <c r="J168" s="26"/>
      <c r="K168" s="27"/>
      <c r="L168" s="25"/>
      <c r="M168" s="38" t="n">
        <f aca="false">IF($B168="","",IFERROR(INDEX(Rubric!$C$14:$C$23,MATCH($B168,Rubric!$A$14:$A$23,0)),INDEX(Rubric!$C$14:$C$23,MATCH("other",Rubric!$A$14:$A$23,0))))</f>
        <v>11</v>
      </c>
      <c r="N168" s="39" t="n">
        <f aca="false">IF(OR($A168="",$C168=""),"",$C168*Rubric!$B$5+$D168*Rubric!$B$6+$E168*Rubric!$B$7+$F168*Rubric!$B$8+$G168*Rubric!$B$9)</f>
        <v>4.84</v>
      </c>
      <c r="O168" s="40" t="str">
        <f aca="false">IF($A168="","",IF(OR(UPPER($H168)="Y",UPPER($I168)="Y"),"FAIL","PASS"))</f>
        <v>PASS</v>
      </c>
      <c r="P168" s="41" t="n">
        <f aca="false">IF($N168="","",Assumptions!$B$6*MAX(0.05,($N168/Assumptions!$B$11)^Assumptions!$B$12))</f>
        <v>0.0161333333333333</v>
      </c>
      <c r="Q168" s="41" t="n">
        <f aca="false">IF($P168="","",1-(1-$P168)^Assumptions!$B$7)</f>
        <v>0.0781054771323001</v>
      </c>
      <c r="R168" s="42" t="n">
        <f aca="false">IF($M168="","",$M168*Assumptions!$B$7)</f>
        <v>55</v>
      </c>
      <c r="S168" s="42" t="str">
        <f aca="false">IF(OR($J168="",$Q168="",$Q168=0),"",($J168+$R168)/($Q168*(1-Assumptions!$B$4)))</f>
        <v/>
      </c>
      <c r="T168" s="43" t="str">
        <f aca="false">IF(OR($K168="",$S168="",$S168=0),"",$K168/$S168)</f>
        <v/>
      </c>
      <c r="U168" s="44" t="str">
        <f aca="false">IF(OR($K168="",$Q168=""),"",MAX(0,($K168-MAX($K168*Assumptions!$B$4,Assumptions!$B$5))*$Q168-$R168))</f>
        <v/>
      </c>
      <c r="V168" s="40" t="str">
        <f aca="false">IF($A168="","",IF($O168="FAIL","REJECT",IF($J168="","NEEDS PRICE",IF(OR($K168="",$L168=""),"NEEDS VALUATION",IF($T168&gt;=Assumptions!$B$13,"BUY",IF($T168&gt;=1,"MARGINAL","PASS"))))))</f>
        <v>NEEDS PRICE</v>
      </c>
      <c r="W168" s="25" t="s">
        <v>395</v>
      </c>
      <c r="X168" s="35" t="s">
        <v>506</v>
      </c>
    </row>
    <row r="169" customFormat="false" ht="15" hidden="false" customHeight="false" outlineLevel="0" collapsed="false">
      <c r="A169" s="22" t="s">
        <v>507</v>
      </c>
      <c r="B169" s="36" t="str">
        <f aca="false">IF($A169="","",IF(ISERROR(FIND(".",$A169)),"",LOWER(MID($A169,FIND(CHAR(1),SUBSTITUTE($A169,".",CHAR(1),LEN($A169)-LEN(SUBSTITUTE($A169,".",""))))+1,LEN($A169)))))</f>
        <v>com</v>
      </c>
      <c r="C169" s="37" t="n">
        <f aca="false">IF($B169="","",IFERROR(INDEX(Rubric!$B$14:$B$23,MATCH($B169,Rubric!$A$14:$A$23,0)),INDEX(Rubric!$B$14:$B$23,MATCH("other",Rubric!$A$14:$A$23,0))))</f>
        <v>5</v>
      </c>
      <c r="D169" s="25" t="n">
        <v>5</v>
      </c>
      <c r="E169" s="25" t="n">
        <v>4</v>
      </c>
      <c r="F169" s="25" t="n">
        <v>4</v>
      </c>
      <c r="G169" s="25" t="n">
        <v>5</v>
      </c>
      <c r="H169" s="25" t="s">
        <v>176</v>
      </c>
      <c r="I169" s="25" t="s">
        <v>176</v>
      </c>
      <c r="J169" s="26"/>
      <c r="K169" s="27"/>
      <c r="L169" s="25"/>
      <c r="M169" s="38" t="n">
        <f aca="false">IF($B169="","",IFERROR(INDEX(Rubric!$C$14:$C$23,MATCH($B169,Rubric!$A$14:$A$23,0)),INDEX(Rubric!$C$14:$C$23,MATCH("other",Rubric!$A$14:$A$23,0))))</f>
        <v>11</v>
      </c>
      <c r="N169" s="39" t="n">
        <f aca="false">IF(OR($A169="",$C169=""),"",$C169*Rubric!$B$5+$D169*Rubric!$B$6+$E169*Rubric!$B$7+$F169*Rubric!$B$8+$G169*Rubric!$B$9)</f>
        <v>4.62</v>
      </c>
      <c r="O169" s="40" t="str">
        <f aca="false">IF($A169="","",IF(OR(UPPER($H169)="Y",UPPER($I169)="Y"),"FAIL","PASS"))</f>
        <v>PASS</v>
      </c>
      <c r="P169" s="41" t="n">
        <f aca="false">IF($N169="","",Assumptions!$B$6*MAX(0.05,($N169/Assumptions!$B$11)^Assumptions!$B$12))</f>
        <v>0.0154</v>
      </c>
      <c r="Q169" s="41" t="n">
        <f aca="false">IF($P169="","",1-(1-$P169)^Assumptions!$B$7)</f>
        <v>0.0746646422818428</v>
      </c>
      <c r="R169" s="42" t="n">
        <f aca="false">IF($M169="","",$M169*Assumptions!$B$7)</f>
        <v>55</v>
      </c>
      <c r="S169" s="42" t="str">
        <f aca="false">IF(OR($J169="",$Q169="",$Q169=0),"",($J169+$R169)/($Q169*(1-Assumptions!$B$4)))</f>
        <v/>
      </c>
      <c r="T169" s="43" t="str">
        <f aca="false">IF(OR($K169="",$S169="",$S169=0),"",$K169/$S169)</f>
        <v/>
      </c>
      <c r="U169" s="44" t="str">
        <f aca="false">IF(OR($K169="",$Q169=""),"",MAX(0,($K169-MAX($K169*Assumptions!$B$4,Assumptions!$B$5))*$Q169-$R169))</f>
        <v/>
      </c>
      <c r="V169" s="40" t="str">
        <f aca="false">IF($A169="","",IF($O169="FAIL","REJECT",IF($J169="","NEEDS PRICE",IF(OR($K169="",$L169=""),"NEEDS VALUATION",IF($T169&gt;=Assumptions!$B$13,"BUY",IF($T169&gt;=1,"MARGINAL","PASS"))))))</f>
        <v>NEEDS PRICE</v>
      </c>
      <c r="W169" s="25" t="s">
        <v>395</v>
      </c>
      <c r="X169" s="35" t="s">
        <v>508</v>
      </c>
    </row>
    <row r="170" customFormat="false" ht="23.85" hidden="false" customHeight="false" outlineLevel="0" collapsed="false">
      <c r="A170" s="22" t="s">
        <v>509</v>
      </c>
      <c r="B170" s="36" t="str">
        <f aca="false">IF($A170="","",IF(ISERROR(FIND(".",$A170)),"",LOWER(MID($A170,FIND(CHAR(1),SUBSTITUTE($A170,".",CHAR(1),LEN($A170)-LEN(SUBSTITUTE($A170,".",""))))+1,LEN($A170)))))</f>
        <v>com</v>
      </c>
      <c r="C170" s="37" t="n">
        <f aca="false">IF($B170="","",IFERROR(INDEX(Rubric!$B$14:$B$23,MATCH($B170,Rubric!$A$14:$A$23,0)),INDEX(Rubric!$B$14:$B$23,MATCH("other",Rubric!$A$14:$A$23,0))))</f>
        <v>5</v>
      </c>
      <c r="D170" s="25" t="n">
        <v>5</v>
      </c>
      <c r="E170" s="25" t="n">
        <v>4</v>
      </c>
      <c r="F170" s="25" t="n">
        <v>3</v>
      </c>
      <c r="G170" s="25" t="n">
        <v>5</v>
      </c>
      <c r="H170" s="25" t="s">
        <v>176</v>
      </c>
      <c r="I170" s="25" t="s">
        <v>176</v>
      </c>
      <c r="J170" s="26"/>
      <c r="K170" s="27"/>
      <c r="L170" s="25"/>
      <c r="M170" s="38" t="n">
        <f aca="false">IF($B170="","",IFERROR(INDEX(Rubric!$C$14:$C$23,MATCH($B170,Rubric!$A$14:$A$23,0)),INDEX(Rubric!$C$14:$C$23,MATCH("other",Rubric!$A$14:$A$23,0))))</f>
        <v>11</v>
      </c>
      <c r="N170" s="39" t="n">
        <f aca="false">IF(OR($A170="",$C170=""),"",$C170*Rubric!$B$5+$D170*Rubric!$B$6+$E170*Rubric!$B$7+$F170*Rubric!$B$8+$G170*Rubric!$B$9)</f>
        <v>4.46</v>
      </c>
      <c r="O170" s="40" t="str">
        <f aca="false">IF($A170="","",IF(OR(UPPER($H170)="Y",UPPER($I170)="Y"),"FAIL","PASS"))</f>
        <v>PASS</v>
      </c>
      <c r="P170" s="41" t="n">
        <f aca="false">IF($N170="","",Assumptions!$B$6*MAX(0.05,($N170/Assumptions!$B$11)^Assumptions!$B$12))</f>
        <v>0.0148666666666667</v>
      </c>
      <c r="Q170" s="41" t="n">
        <f aca="false">IF($P170="","",1-(1-$P170)^Assumptions!$B$7)</f>
        <v>0.0721557700137812</v>
      </c>
      <c r="R170" s="42" t="n">
        <f aca="false">IF($M170="","",$M170*Assumptions!$B$7)</f>
        <v>55</v>
      </c>
      <c r="S170" s="42" t="str">
        <f aca="false">IF(OR($J170="",$Q170="",$Q170=0),"",($J170+$R170)/($Q170*(1-Assumptions!$B$4)))</f>
        <v/>
      </c>
      <c r="T170" s="43" t="str">
        <f aca="false">IF(OR($K170="",$S170="",$S170=0),"",$K170/$S170)</f>
        <v/>
      </c>
      <c r="U170" s="44" t="str">
        <f aca="false">IF(OR($K170="",$Q170=""),"",MAX(0,($K170-MAX($K170*Assumptions!$B$4,Assumptions!$B$5))*$Q170-$R170))</f>
        <v/>
      </c>
      <c r="V170" s="40" t="str">
        <f aca="false">IF($A170="","",IF($O170="FAIL","REJECT",IF($J170="","NEEDS PRICE",IF(OR($K170="",$L170=""),"NEEDS VALUATION",IF($T170&gt;=Assumptions!$B$13,"BUY",IF($T170&gt;=1,"MARGINAL","PASS"))))))</f>
        <v>NEEDS PRICE</v>
      </c>
      <c r="W170" s="25" t="s">
        <v>395</v>
      </c>
      <c r="X170" s="35" t="s">
        <v>510</v>
      </c>
    </row>
    <row r="171" customFormat="false" ht="23.85" hidden="false" customHeight="false" outlineLevel="0" collapsed="false">
      <c r="A171" s="22" t="s">
        <v>511</v>
      </c>
      <c r="B171" s="36" t="str">
        <f aca="false">IF($A171="","",IF(ISERROR(FIND(".",$A171)),"",LOWER(MID($A171,FIND(CHAR(1),SUBSTITUTE($A171,".",CHAR(1),LEN($A171)-LEN(SUBSTITUTE($A171,".",""))))+1,LEN($A171)))))</f>
        <v>com</v>
      </c>
      <c r="C171" s="37" t="n">
        <f aca="false">IF($B171="","",IFERROR(INDEX(Rubric!$B$14:$B$23,MATCH($B171,Rubric!$A$14:$A$23,0)),INDEX(Rubric!$B$14:$B$23,MATCH("other",Rubric!$A$14:$A$23,0))))</f>
        <v>5</v>
      </c>
      <c r="D171" s="25" t="n">
        <v>4</v>
      </c>
      <c r="E171" s="25" t="n">
        <v>4</v>
      </c>
      <c r="F171" s="25" t="n">
        <v>4</v>
      </c>
      <c r="G171" s="25" t="n">
        <v>5</v>
      </c>
      <c r="H171" s="25" t="s">
        <v>176</v>
      </c>
      <c r="I171" s="25" t="s">
        <v>176</v>
      </c>
      <c r="J171" s="26"/>
      <c r="K171" s="27"/>
      <c r="L171" s="25"/>
      <c r="M171" s="38" t="n">
        <f aca="false">IF($B171="","",IFERROR(INDEX(Rubric!$C$14:$C$23,MATCH($B171,Rubric!$A$14:$A$23,0)),INDEX(Rubric!$C$14:$C$23,MATCH("other",Rubric!$A$14:$A$23,0))))</f>
        <v>11</v>
      </c>
      <c r="N171" s="39" t="n">
        <f aca="false">IF(OR($A171="",$C171=""),"",$C171*Rubric!$B$5+$D171*Rubric!$B$6+$E171*Rubric!$B$7+$F171*Rubric!$B$8+$G171*Rubric!$B$9)</f>
        <v>4.32</v>
      </c>
      <c r="O171" s="40" t="str">
        <f aca="false">IF($A171="","",IF(OR(UPPER($H171)="Y",UPPER($I171)="Y"),"FAIL","PASS"))</f>
        <v>PASS</v>
      </c>
      <c r="P171" s="41" t="n">
        <f aca="false">IF($N171="","",Assumptions!$B$6*MAX(0.05,($N171/Assumptions!$B$11)^Assumptions!$B$12))</f>
        <v>0.0144</v>
      </c>
      <c r="Q171" s="41" t="n">
        <f aca="false">IF($P171="","",1-(1-$P171)^Assumptions!$B$7)</f>
        <v>0.0699560454683255</v>
      </c>
      <c r="R171" s="42" t="n">
        <f aca="false">IF($M171="","",$M171*Assumptions!$B$7)</f>
        <v>55</v>
      </c>
      <c r="S171" s="42" t="str">
        <f aca="false">IF(OR($J171="",$Q171="",$Q171=0),"",($J171+$R171)/($Q171*(1-Assumptions!$B$4)))</f>
        <v/>
      </c>
      <c r="T171" s="43" t="str">
        <f aca="false">IF(OR($K171="",$S171="",$S171=0),"",$K171/$S171)</f>
        <v/>
      </c>
      <c r="U171" s="44" t="str">
        <f aca="false">IF(OR($K171="",$Q171=""),"",MAX(0,($K171-MAX($K171*Assumptions!$B$4,Assumptions!$B$5))*$Q171-$R171))</f>
        <v/>
      </c>
      <c r="V171" s="40" t="str">
        <f aca="false">IF($A171="","",IF($O171="FAIL","REJECT",IF($J171="","NEEDS PRICE",IF(OR($K171="",$L171=""),"NEEDS VALUATION",IF($T171&gt;=Assumptions!$B$13,"BUY",IF($T171&gt;=1,"MARGINAL","PASS"))))))</f>
        <v>NEEDS PRICE</v>
      </c>
      <c r="W171" s="25" t="s">
        <v>395</v>
      </c>
      <c r="X171" s="35" t="s">
        <v>512</v>
      </c>
    </row>
    <row r="172" customFormat="false" ht="15" hidden="false" customHeight="false" outlineLevel="0" collapsed="false">
      <c r="A172" s="22" t="s">
        <v>513</v>
      </c>
      <c r="B172" s="36" t="str">
        <f aca="false">IF($A172="","",IF(ISERROR(FIND(".",$A172)),"",LOWER(MID($A172,FIND(CHAR(1),SUBSTITUTE($A172,".",CHAR(1),LEN($A172)-LEN(SUBSTITUTE($A172,".",""))))+1,LEN($A172)))))</f>
        <v>com</v>
      </c>
      <c r="C172" s="37" t="n">
        <f aca="false">IF($B172="","",IFERROR(INDEX(Rubric!$B$14:$B$23,MATCH($B172,Rubric!$A$14:$A$23,0)),INDEX(Rubric!$B$14:$B$23,MATCH("other",Rubric!$A$14:$A$23,0))))</f>
        <v>5</v>
      </c>
      <c r="D172" s="25" t="n">
        <v>4</v>
      </c>
      <c r="E172" s="25" t="n">
        <v>4</v>
      </c>
      <c r="F172" s="25" t="n">
        <v>4</v>
      </c>
      <c r="G172" s="25" t="n">
        <v>5</v>
      </c>
      <c r="H172" s="25" t="s">
        <v>176</v>
      </c>
      <c r="I172" s="25" t="s">
        <v>176</v>
      </c>
      <c r="J172" s="26"/>
      <c r="K172" s="27"/>
      <c r="L172" s="25"/>
      <c r="M172" s="38" t="n">
        <f aca="false">IF($B172="","",IFERROR(INDEX(Rubric!$C$14:$C$23,MATCH($B172,Rubric!$A$14:$A$23,0)),INDEX(Rubric!$C$14:$C$23,MATCH("other",Rubric!$A$14:$A$23,0))))</f>
        <v>11</v>
      </c>
      <c r="N172" s="39" t="n">
        <f aca="false">IF(OR($A172="",$C172=""),"",$C172*Rubric!$B$5+$D172*Rubric!$B$6+$E172*Rubric!$B$7+$F172*Rubric!$B$8+$G172*Rubric!$B$9)</f>
        <v>4.32</v>
      </c>
      <c r="O172" s="40" t="str">
        <f aca="false">IF($A172="","",IF(OR(UPPER($H172)="Y",UPPER($I172)="Y"),"FAIL","PASS"))</f>
        <v>PASS</v>
      </c>
      <c r="P172" s="41" t="n">
        <f aca="false">IF($N172="","",Assumptions!$B$6*MAX(0.05,($N172/Assumptions!$B$11)^Assumptions!$B$12))</f>
        <v>0.0144</v>
      </c>
      <c r="Q172" s="41" t="n">
        <f aca="false">IF($P172="","",1-(1-$P172)^Assumptions!$B$7)</f>
        <v>0.0699560454683255</v>
      </c>
      <c r="R172" s="42" t="n">
        <f aca="false">IF($M172="","",$M172*Assumptions!$B$7)</f>
        <v>55</v>
      </c>
      <c r="S172" s="42" t="str">
        <f aca="false">IF(OR($J172="",$Q172="",$Q172=0),"",($J172+$R172)/($Q172*(1-Assumptions!$B$4)))</f>
        <v/>
      </c>
      <c r="T172" s="43" t="str">
        <f aca="false">IF(OR($K172="",$S172="",$S172=0),"",$K172/$S172)</f>
        <v/>
      </c>
      <c r="U172" s="44" t="str">
        <f aca="false">IF(OR($K172="",$Q172=""),"",MAX(0,($K172-MAX($K172*Assumptions!$B$4,Assumptions!$B$5))*$Q172-$R172))</f>
        <v/>
      </c>
      <c r="V172" s="40" t="str">
        <f aca="false">IF($A172="","",IF($O172="FAIL","REJECT",IF($J172="","NEEDS PRICE",IF(OR($K172="",$L172=""),"NEEDS VALUATION",IF($T172&gt;=Assumptions!$B$13,"BUY",IF($T172&gt;=1,"MARGINAL","PASS"))))))</f>
        <v>NEEDS PRICE</v>
      </c>
      <c r="W172" s="25" t="s">
        <v>395</v>
      </c>
      <c r="X172" s="35" t="s">
        <v>514</v>
      </c>
    </row>
    <row r="173" customFormat="false" ht="15" hidden="false" customHeight="false" outlineLevel="0" collapsed="false">
      <c r="A173" s="22" t="s">
        <v>515</v>
      </c>
      <c r="B173" s="36" t="str">
        <f aca="false">IF($A173="","",IF(ISERROR(FIND(".",$A173)),"",LOWER(MID($A173,FIND(CHAR(1),SUBSTITUTE($A173,".",CHAR(1),LEN($A173)-LEN(SUBSTITUTE($A173,".",""))))+1,LEN($A173)))))</f>
        <v>com</v>
      </c>
      <c r="C173" s="37" t="n">
        <f aca="false">IF($B173="","",IFERROR(INDEX(Rubric!$B$14:$B$23,MATCH($B173,Rubric!$A$14:$A$23,0)),INDEX(Rubric!$B$14:$B$23,MATCH("other",Rubric!$A$14:$A$23,0))))</f>
        <v>5</v>
      </c>
      <c r="D173" s="25" t="n">
        <v>4</v>
      </c>
      <c r="E173" s="25" t="n">
        <v>4</v>
      </c>
      <c r="F173" s="25" t="n">
        <v>5</v>
      </c>
      <c r="G173" s="25" t="n">
        <v>5</v>
      </c>
      <c r="H173" s="25" t="s">
        <v>176</v>
      </c>
      <c r="I173" s="25" t="s">
        <v>176</v>
      </c>
      <c r="J173" s="26"/>
      <c r="K173" s="27"/>
      <c r="L173" s="25"/>
      <c r="M173" s="38" t="n">
        <f aca="false">IF($B173="","",IFERROR(INDEX(Rubric!$C$14:$C$23,MATCH($B173,Rubric!$A$14:$A$23,0)),INDEX(Rubric!$C$14:$C$23,MATCH("other",Rubric!$A$14:$A$23,0))))</f>
        <v>11</v>
      </c>
      <c r="N173" s="39" t="n">
        <f aca="false">IF(OR($A173="",$C173=""),"",$C173*Rubric!$B$5+$D173*Rubric!$B$6+$E173*Rubric!$B$7+$F173*Rubric!$B$8+$G173*Rubric!$B$9)</f>
        <v>4.48</v>
      </c>
      <c r="O173" s="40" t="str">
        <f aca="false">IF($A173="","",IF(OR(UPPER($H173)="Y",UPPER($I173)="Y"),"FAIL","PASS"))</f>
        <v>PASS</v>
      </c>
      <c r="P173" s="41" t="n">
        <f aca="false">IF($N173="","",Assumptions!$B$6*MAX(0.05,($N173/Assumptions!$B$11)^Assumptions!$B$12))</f>
        <v>0.0149333333333333</v>
      </c>
      <c r="Q173" s="41" t="n">
        <f aca="false">IF($P173="","",1-(1-$P173)^Assumptions!$B$7)</f>
        <v>0.0724696763069975</v>
      </c>
      <c r="R173" s="42" t="n">
        <f aca="false">IF($M173="","",$M173*Assumptions!$B$7)</f>
        <v>55</v>
      </c>
      <c r="S173" s="42" t="str">
        <f aca="false">IF(OR($J173="",$Q173="",$Q173=0),"",($J173+$R173)/($Q173*(1-Assumptions!$B$4)))</f>
        <v/>
      </c>
      <c r="T173" s="43" t="str">
        <f aca="false">IF(OR($K173="",$S173="",$S173=0),"",$K173/$S173)</f>
        <v/>
      </c>
      <c r="U173" s="44" t="str">
        <f aca="false">IF(OR($K173="",$Q173=""),"",MAX(0,($K173-MAX($K173*Assumptions!$B$4,Assumptions!$B$5))*$Q173-$R173))</f>
        <v/>
      </c>
      <c r="V173" s="40" t="str">
        <f aca="false">IF($A173="","",IF($O173="FAIL","REJECT",IF($J173="","NEEDS PRICE",IF(OR($K173="",$L173=""),"NEEDS VALUATION",IF($T173&gt;=Assumptions!$B$13,"BUY",IF($T173&gt;=1,"MARGINAL","PASS"))))))</f>
        <v>NEEDS PRICE</v>
      </c>
      <c r="W173" s="25" t="s">
        <v>395</v>
      </c>
      <c r="X173" s="35" t="s">
        <v>516</v>
      </c>
    </row>
    <row r="174" customFormat="false" ht="15" hidden="false" customHeight="false" outlineLevel="0" collapsed="false">
      <c r="A174" s="22" t="s">
        <v>517</v>
      </c>
      <c r="B174" s="36" t="str">
        <f aca="false">IF($A174="","",IF(ISERROR(FIND(".",$A174)),"",LOWER(MID($A174,FIND(CHAR(1),SUBSTITUTE($A174,".",CHAR(1),LEN($A174)-LEN(SUBSTITUTE($A174,".",""))))+1,LEN($A174)))))</f>
        <v>com</v>
      </c>
      <c r="C174" s="37" t="n">
        <f aca="false">IF($B174="","",IFERROR(INDEX(Rubric!$B$14:$B$23,MATCH($B174,Rubric!$A$14:$A$23,0)),INDEX(Rubric!$B$14:$B$23,MATCH("other",Rubric!$A$14:$A$23,0))))</f>
        <v>5</v>
      </c>
      <c r="D174" s="25" t="n">
        <v>4</v>
      </c>
      <c r="E174" s="25" t="n">
        <v>4</v>
      </c>
      <c r="F174" s="25" t="n">
        <v>5</v>
      </c>
      <c r="G174" s="25" t="n">
        <v>5</v>
      </c>
      <c r="H174" s="25" t="s">
        <v>176</v>
      </c>
      <c r="I174" s="25" t="s">
        <v>176</v>
      </c>
      <c r="J174" s="26"/>
      <c r="K174" s="27"/>
      <c r="L174" s="25"/>
      <c r="M174" s="38" t="n">
        <f aca="false">IF($B174="","",IFERROR(INDEX(Rubric!$C$14:$C$23,MATCH($B174,Rubric!$A$14:$A$23,0)),INDEX(Rubric!$C$14:$C$23,MATCH("other",Rubric!$A$14:$A$23,0))))</f>
        <v>11</v>
      </c>
      <c r="N174" s="39" t="n">
        <f aca="false">IF(OR($A174="",$C174=""),"",$C174*Rubric!$B$5+$D174*Rubric!$B$6+$E174*Rubric!$B$7+$F174*Rubric!$B$8+$G174*Rubric!$B$9)</f>
        <v>4.48</v>
      </c>
      <c r="O174" s="40" t="str">
        <f aca="false">IF($A174="","",IF(OR(UPPER($H174)="Y",UPPER($I174)="Y"),"FAIL","PASS"))</f>
        <v>PASS</v>
      </c>
      <c r="P174" s="41" t="n">
        <f aca="false">IF($N174="","",Assumptions!$B$6*MAX(0.05,($N174/Assumptions!$B$11)^Assumptions!$B$12))</f>
        <v>0.0149333333333333</v>
      </c>
      <c r="Q174" s="41" t="n">
        <f aca="false">IF($P174="","",1-(1-$P174)^Assumptions!$B$7)</f>
        <v>0.0724696763069975</v>
      </c>
      <c r="R174" s="42" t="n">
        <f aca="false">IF($M174="","",$M174*Assumptions!$B$7)</f>
        <v>55</v>
      </c>
      <c r="S174" s="42" t="str">
        <f aca="false">IF(OR($J174="",$Q174="",$Q174=0),"",($J174+$R174)/($Q174*(1-Assumptions!$B$4)))</f>
        <v/>
      </c>
      <c r="T174" s="43" t="str">
        <f aca="false">IF(OR($K174="",$S174="",$S174=0),"",$K174/$S174)</f>
        <v/>
      </c>
      <c r="U174" s="44" t="str">
        <f aca="false">IF(OR($K174="",$Q174=""),"",MAX(0,($K174-MAX($K174*Assumptions!$B$4,Assumptions!$B$5))*$Q174-$R174))</f>
        <v/>
      </c>
      <c r="V174" s="40" t="str">
        <f aca="false">IF($A174="","",IF($O174="FAIL","REJECT",IF($J174="","NEEDS PRICE",IF(OR($K174="",$L174=""),"NEEDS VALUATION",IF($T174&gt;=Assumptions!$B$13,"BUY",IF($T174&gt;=1,"MARGINAL","PASS"))))))</f>
        <v>NEEDS PRICE</v>
      </c>
      <c r="W174" s="25" t="s">
        <v>395</v>
      </c>
      <c r="X174" s="35" t="s">
        <v>518</v>
      </c>
    </row>
    <row r="175" customFormat="false" ht="23.85" hidden="false" customHeight="false" outlineLevel="0" collapsed="false">
      <c r="A175" s="22" t="s">
        <v>519</v>
      </c>
      <c r="B175" s="36" t="str">
        <f aca="false">IF($A175="","",IF(ISERROR(FIND(".",$A175)),"",LOWER(MID($A175,FIND(CHAR(1),SUBSTITUTE($A175,".",CHAR(1),LEN($A175)-LEN(SUBSTITUTE($A175,".",""))))+1,LEN($A175)))))</f>
        <v>com</v>
      </c>
      <c r="C175" s="37" t="n">
        <f aca="false">IF($B175="","",IFERROR(INDEX(Rubric!$B$14:$B$23,MATCH($B175,Rubric!$A$14:$A$23,0)),INDEX(Rubric!$B$14:$B$23,MATCH("other",Rubric!$A$14:$A$23,0))))</f>
        <v>5</v>
      </c>
      <c r="D175" s="25" t="n">
        <v>4</v>
      </c>
      <c r="E175" s="25" t="n">
        <v>4</v>
      </c>
      <c r="F175" s="25" t="n">
        <v>5</v>
      </c>
      <c r="G175" s="25" t="n">
        <v>5</v>
      </c>
      <c r="H175" s="25" t="s">
        <v>176</v>
      </c>
      <c r="I175" s="25" t="s">
        <v>176</v>
      </c>
      <c r="J175" s="26"/>
      <c r="K175" s="27"/>
      <c r="L175" s="25"/>
      <c r="M175" s="38" t="n">
        <f aca="false">IF($B175="","",IFERROR(INDEX(Rubric!$C$14:$C$23,MATCH($B175,Rubric!$A$14:$A$23,0)),INDEX(Rubric!$C$14:$C$23,MATCH("other",Rubric!$A$14:$A$23,0))))</f>
        <v>11</v>
      </c>
      <c r="N175" s="39" t="n">
        <f aca="false">IF(OR($A175="",$C175=""),"",$C175*Rubric!$B$5+$D175*Rubric!$B$6+$E175*Rubric!$B$7+$F175*Rubric!$B$8+$G175*Rubric!$B$9)</f>
        <v>4.48</v>
      </c>
      <c r="O175" s="40" t="str">
        <f aca="false">IF($A175="","",IF(OR(UPPER($H175)="Y",UPPER($I175)="Y"),"FAIL","PASS"))</f>
        <v>PASS</v>
      </c>
      <c r="P175" s="41" t="n">
        <f aca="false">IF($N175="","",Assumptions!$B$6*MAX(0.05,($N175/Assumptions!$B$11)^Assumptions!$B$12))</f>
        <v>0.0149333333333333</v>
      </c>
      <c r="Q175" s="41" t="n">
        <f aca="false">IF($P175="","",1-(1-$P175)^Assumptions!$B$7)</f>
        <v>0.0724696763069975</v>
      </c>
      <c r="R175" s="42" t="n">
        <f aca="false">IF($M175="","",$M175*Assumptions!$B$7)</f>
        <v>55</v>
      </c>
      <c r="S175" s="42" t="str">
        <f aca="false">IF(OR($J175="",$Q175="",$Q175=0),"",($J175+$R175)/($Q175*(1-Assumptions!$B$4)))</f>
        <v/>
      </c>
      <c r="T175" s="43" t="str">
        <f aca="false">IF(OR($K175="",$S175="",$S175=0),"",$K175/$S175)</f>
        <v/>
      </c>
      <c r="U175" s="44" t="str">
        <f aca="false">IF(OR($K175="",$Q175=""),"",MAX(0,($K175-MAX($K175*Assumptions!$B$4,Assumptions!$B$5))*$Q175-$R175))</f>
        <v/>
      </c>
      <c r="V175" s="40" t="str">
        <f aca="false">IF($A175="","",IF($O175="FAIL","REJECT",IF($J175="","NEEDS PRICE",IF(OR($K175="",$L175=""),"NEEDS VALUATION",IF($T175&gt;=Assumptions!$B$13,"BUY",IF($T175&gt;=1,"MARGINAL","PASS"))))))</f>
        <v>NEEDS PRICE</v>
      </c>
      <c r="W175" s="25" t="s">
        <v>395</v>
      </c>
      <c r="X175" s="35" t="s">
        <v>520</v>
      </c>
    </row>
    <row r="176" customFormat="false" ht="15" hidden="false" customHeight="false" outlineLevel="0" collapsed="false">
      <c r="A176" s="22" t="s">
        <v>521</v>
      </c>
      <c r="B176" s="36" t="str">
        <f aca="false">IF($A176="","",IF(ISERROR(FIND(".",$A176)),"",LOWER(MID($A176,FIND(CHAR(1),SUBSTITUTE($A176,".",CHAR(1),LEN($A176)-LEN(SUBSTITUTE($A176,".",""))))+1,LEN($A176)))))</f>
        <v>com</v>
      </c>
      <c r="C176" s="37" t="n">
        <f aca="false">IF($B176="","",IFERROR(INDEX(Rubric!$B$14:$B$23,MATCH($B176,Rubric!$A$14:$A$23,0)),INDEX(Rubric!$B$14:$B$23,MATCH("other",Rubric!$A$14:$A$23,0))))</f>
        <v>5</v>
      </c>
      <c r="D176" s="25" t="n">
        <v>4</v>
      </c>
      <c r="E176" s="25" t="n">
        <v>4</v>
      </c>
      <c r="F176" s="25" t="n">
        <v>4</v>
      </c>
      <c r="G176" s="25" t="n">
        <v>5</v>
      </c>
      <c r="H176" s="25" t="s">
        <v>176</v>
      </c>
      <c r="I176" s="25" t="s">
        <v>176</v>
      </c>
      <c r="J176" s="26"/>
      <c r="K176" s="27"/>
      <c r="L176" s="25"/>
      <c r="M176" s="38" t="n">
        <f aca="false">IF($B176="","",IFERROR(INDEX(Rubric!$C$14:$C$23,MATCH($B176,Rubric!$A$14:$A$23,0)),INDEX(Rubric!$C$14:$C$23,MATCH("other",Rubric!$A$14:$A$23,0))))</f>
        <v>11</v>
      </c>
      <c r="N176" s="39" t="n">
        <f aca="false">IF(OR($A176="",$C176=""),"",$C176*Rubric!$B$5+$D176*Rubric!$B$6+$E176*Rubric!$B$7+$F176*Rubric!$B$8+$G176*Rubric!$B$9)</f>
        <v>4.32</v>
      </c>
      <c r="O176" s="40" t="str">
        <f aca="false">IF($A176="","",IF(OR(UPPER($H176)="Y",UPPER($I176)="Y"),"FAIL","PASS"))</f>
        <v>PASS</v>
      </c>
      <c r="P176" s="41" t="n">
        <f aca="false">IF($N176="","",Assumptions!$B$6*MAX(0.05,($N176/Assumptions!$B$11)^Assumptions!$B$12))</f>
        <v>0.0144</v>
      </c>
      <c r="Q176" s="41" t="n">
        <f aca="false">IF($P176="","",1-(1-$P176)^Assumptions!$B$7)</f>
        <v>0.0699560454683255</v>
      </c>
      <c r="R176" s="42" t="n">
        <f aca="false">IF($M176="","",$M176*Assumptions!$B$7)</f>
        <v>55</v>
      </c>
      <c r="S176" s="42" t="str">
        <f aca="false">IF(OR($J176="",$Q176="",$Q176=0),"",($J176+$R176)/($Q176*(1-Assumptions!$B$4)))</f>
        <v/>
      </c>
      <c r="T176" s="43" t="str">
        <f aca="false">IF(OR($K176="",$S176="",$S176=0),"",$K176/$S176)</f>
        <v/>
      </c>
      <c r="U176" s="44" t="str">
        <f aca="false">IF(OR($K176="",$Q176=""),"",MAX(0,($K176-MAX($K176*Assumptions!$B$4,Assumptions!$B$5))*$Q176-$R176))</f>
        <v/>
      </c>
      <c r="V176" s="40" t="str">
        <f aca="false">IF($A176="","",IF($O176="FAIL","REJECT",IF($J176="","NEEDS PRICE",IF(OR($K176="",$L176=""),"NEEDS VALUATION",IF($T176&gt;=Assumptions!$B$13,"BUY",IF($T176&gt;=1,"MARGINAL","PASS"))))))</f>
        <v>NEEDS PRICE</v>
      </c>
      <c r="W176" s="25" t="s">
        <v>395</v>
      </c>
      <c r="X176" s="35" t="s">
        <v>522</v>
      </c>
    </row>
    <row r="177" customFormat="false" ht="15" hidden="false" customHeight="false" outlineLevel="0" collapsed="false">
      <c r="A177" s="22" t="s">
        <v>523</v>
      </c>
      <c r="B177" s="36" t="str">
        <f aca="false">IF($A177="","",IF(ISERROR(FIND(".",$A177)),"",LOWER(MID($A177,FIND(CHAR(1),SUBSTITUTE($A177,".",CHAR(1),LEN($A177)-LEN(SUBSTITUTE($A177,".",""))))+1,LEN($A177)))))</f>
        <v>com</v>
      </c>
      <c r="C177" s="37" t="n">
        <f aca="false">IF($B177="","",IFERROR(INDEX(Rubric!$B$14:$B$23,MATCH($B177,Rubric!$A$14:$A$23,0)),INDEX(Rubric!$B$14:$B$23,MATCH("other",Rubric!$A$14:$A$23,0))))</f>
        <v>5</v>
      </c>
      <c r="D177" s="25" t="n">
        <v>4</v>
      </c>
      <c r="E177" s="25" t="n">
        <v>4</v>
      </c>
      <c r="F177" s="25" t="n">
        <v>4</v>
      </c>
      <c r="G177" s="25" t="n">
        <v>5</v>
      </c>
      <c r="H177" s="25" t="s">
        <v>176</v>
      </c>
      <c r="I177" s="25" t="s">
        <v>176</v>
      </c>
      <c r="J177" s="26"/>
      <c r="K177" s="27"/>
      <c r="L177" s="25"/>
      <c r="M177" s="38" t="n">
        <f aca="false">IF($B177="","",IFERROR(INDEX(Rubric!$C$14:$C$23,MATCH($B177,Rubric!$A$14:$A$23,0)),INDEX(Rubric!$C$14:$C$23,MATCH("other",Rubric!$A$14:$A$23,0))))</f>
        <v>11</v>
      </c>
      <c r="N177" s="39" t="n">
        <f aca="false">IF(OR($A177="",$C177=""),"",$C177*Rubric!$B$5+$D177*Rubric!$B$6+$E177*Rubric!$B$7+$F177*Rubric!$B$8+$G177*Rubric!$B$9)</f>
        <v>4.32</v>
      </c>
      <c r="O177" s="40" t="str">
        <f aca="false">IF($A177="","",IF(OR(UPPER($H177)="Y",UPPER($I177)="Y"),"FAIL","PASS"))</f>
        <v>PASS</v>
      </c>
      <c r="P177" s="41" t="n">
        <f aca="false">IF($N177="","",Assumptions!$B$6*MAX(0.05,($N177/Assumptions!$B$11)^Assumptions!$B$12))</f>
        <v>0.0144</v>
      </c>
      <c r="Q177" s="41" t="n">
        <f aca="false">IF($P177="","",1-(1-$P177)^Assumptions!$B$7)</f>
        <v>0.0699560454683255</v>
      </c>
      <c r="R177" s="42" t="n">
        <f aca="false">IF($M177="","",$M177*Assumptions!$B$7)</f>
        <v>55</v>
      </c>
      <c r="S177" s="42" t="str">
        <f aca="false">IF(OR($J177="",$Q177="",$Q177=0),"",($J177+$R177)/($Q177*(1-Assumptions!$B$4)))</f>
        <v/>
      </c>
      <c r="T177" s="43" t="str">
        <f aca="false">IF(OR($K177="",$S177="",$S177=0),"",$K177/$S177)</f>
        <v/>
      </c>
      <c r="U177" s="44" t="str">
        <f aca="false">IF(OR($K177="",$Q177=""),"",MAX(0,($K177-MAX($K177*Assumptions!$B$4,Assumptions!$B$5))*$Q177-$R177))</f>
        <v/>
      </c>
      <c r="V177" s="40" t="str">
        <f aca="false">IF($A177="","",IF($O177="FAIL","REJECT",IF($J177="","NEEDS PRICE",IF(OR($K177="",$L177=""),"NEEDS VALUATION",IF($T177&gt;=Assumptions!$B$13,"BUY",IF($T177&gt;=1,"MARGINAL","PASS"))))))</f>
        <v>NEEDS PRICE</v>
      </c>
      <c r="W177" s="25" t="s">
        <v>395</v>
      </c>
      <c r="X177" s="35" t="s">
        <v>524</v>
      </c>
    </row>
    <row r="178" customFormat="false" ht="23.85" hidden="false" customHeight="false" outlineLevel="0" collapsed="false">
      <c r="A178" s="22" t="s">
        <v>525</v>
      </c>
      <c r="B178" s="36" t="str">
        <f aca="false">IF($A178="","",IF(ISERROR(FIND(".",$A178)),"",LOWER(MID($A178,FIND(CHAR(1),SUBSTITUTE($A178,".",CHAR(1),LEN($A178)-LEN(SUBSTITUTE($A178,".",""))))+1,LEN($A178)))))</f>
        <v>com</v>
      </c>
      <c r="C178" s="37" t="n">
        <f aca="false">IF($B178="","",IFERROR(INDEX(Rubric!$B$14:$B$23,MATCH($B178,Rubric!$A$14:$A$23,0)),INDEX(Rubric!$B$14:$B$23,MATCH("other",Rubric!$A$14:$A$23,0))))</f>
        <v>5</v>
      </c>
      <c r="D178" s="25" t="n">
        <v>4</v>
      </c>
      <c r="E178" s="25" t="n">
        <v>4</v>
      </c>
      <c r="F178" s="25" t="n">
        <v>4</v>
      </c>
      <c r="G178" s="25" t="n">
        <v>5</v>
      </c>
      <c r="H178" s="25" t="s">
        <v>176</v>
      </c>
      <c r="I178" s="25" t="s">
        <v>176</v>
      </c>
      <c r="J178" s="26"/>
      <c r="K178" s="27"/>
      <c r="L178" s="25"/>
      <c r="M178" s="38" t="n">
        <f aca="false">IF($B178="","",IFERROR(INDEX(Rubric!$C$14:$C$23,MATCH($B178,Rubric!$A$14:$A$23,0)),INDEX(Rubric!$C$14:$C$23,MATCH("other",Rubric!$A$14:$A$23,0))))</f>
        <v>11</v>
      </c>
      <c r="N178" s="39" t="n">
        <f aca="false">IF(OR($A178="",$C178=""),"",$C178*Rubric!$B$5+$D178*Rubric!$B$6+$E178*Rubric!$B$7+$F178*Rubric!$B$8+$G178*Rubric!$B$9)</f>
        <v>4.32</v>
      </c>
      <c r="O178" s="40" t="str">
        <f aca="false">IF($A178="","",IF(OR(UPPER($H178)="Y",UPPER($I178)="Y"),"FAIL","PASS"))</f>
        <v>PASS</v>
      </c>
      <c r="P178" s="41" t="n">
        <f aca="false">IF($N178="","",Assumptions!$B$6*MAX(0.05,($N178/Assumptions!$B$11)^Assumptions!$B$12))</f>
        <v>0.0144</v>
      </c>
      <c r="Q178" s="41" t="n">
        <f aca="false">IF($P178="","",1-(1-$P178)^Assumptions!$B$7)</f>
        <v>0.0699560454683255</v>
      </c>
      <c r="R178" s="42" t="n">
        <f aca="false">IF($M178="","",$M178*Assumptions!$B$7)</f>
        <v>55</v>
      </c>
      <c r="S178" s="42" t="str">
        <f aca="false">IF(OR($J178="",$Q178="",$Q178=0),"",($J178+$R178)/($Q178*(1-Assumptions!$B$4)))</f>
        <v/>
      </c>
      <c r="T178" s="43" t="str">
        <f aca="false">IF(OR($K178="",$S178="",$S178=0),"",$K178/$S178)</f>
        <v/>
      </c>
      <c r="U178" s="44" t="str">
        <f aca="false">IF(OR($K178="",$Q178=""),"",MAX(0,($K178-MAX($K178*Assumptions!$B$4,Assumptions!$B$5))*$Q178-$R178))</f>
        <v/>
      </c>
      <c r="V178" s="40" t="str">
        <f aca="false">IF($A178="","",IF($O178="FAIL","REJECT",IF($J178="","NEEDS PRICE",IF(OR($K178="",$L178=""),"NEEDS VALUATION",IF($T178&gt;=Assumptions!$B$13,"BUY",IF($T178&gt;=1,"MARGINAL","PASS"))))))</f>
        <v>NEEDS PRICE</v>
      </c>
      <c r="W178" s="25" t="s">
        <v>395</v>
      </c>
      <c r="X178" s="35" t="s">
        <v>526</v>
      </c>
    </row>
    <row r="179" customFormat="false" ht="15" hidden="false" customHeight="false" outlineLevel="0" collapsed="false">
      <c r="A179" s="22" t="s">
        <v>527</v>
      </c>
      <c r="B179" s="36" t="str">
        <f aca="false">IF($A179="","",IF(ISERROR(FIND(".",$A179)),"",LOWER(MID($A179,FIND(CHAR(1),SUBSTITUTE($A179,".",CHAR(1),LEN($A179)-LEN(SUBSTITUTE($A179,".",""))))+1,LEN($A179)))))</f>
        <v>com</v>
      </c>
      <c r="C179" s="37" t="n">
        <f aca="false">IF($B179="","",IFERROR(INDEX(Rubric!$B$14:$B$23,MATCH($B179,Rubric!$A$14:$A$23,0)),INDEX(Rubric!$B$14:$B$23,MATCH("other",Rubric!$A$14:$A$23,0))))</f>
        <v>5</v>
      </c>
      <c r="D179" s="25" t="n">
        <v>4</v>
      </c>
      <c r="E179" s="25" t="n">
        <v>4</v>
      </c>
      <c r="F179" s="25" t="n">
        <v>4</v>
      </c>
      <c r="G179" s="25" t="n">
        <v>5</v>
      </c>
      <c r="H179" s="25" t="s">
        <v>176</v>
      </c>
      <c r="I179" s="25" t="s">
        <v>176</v>
      </c>
      <c r="J179" s="26"/>
      <c r="K179" s="27"/>
      <c r="L179" s="25"/>
      <c r="M179" s="38" t="n">
        <f aca="false">IF($B179="","",IFERROR(INDEX(Rubric!$C$14:$C$23,MATCH($B179,Rubric!$A$14:$A$23,0)),INDEX(Rubric!$C$14:$C$23,MATCH("other",Rubric!$A$14:$A$23,0))))</f>
        <v>11</v>
      </c>
      <c r="N179" s="39" t="n">
        <f aca="false">IF(OR($A179="",$C179=""),"",$C179*Rubric!$B$5+$D179*Rubric!$B$6+$E179*Rubric!$B$7+$F179*Rubric!$B$8+$G179*Rubric!$B$9)</f>
        <v>4.32</v>
      </c>
      <c r="O179" s="40" t="str">
        <f aca="false">IF($A179="","",IF(OR(UPPER($H179)="Y",UPPER($I179)="Y"),"FAIL","PASS"))</f>
        <v>PASS</v>
      </c>
      <c r="P179" s="41" t="n">
        <f aca="false">IF($N179="","",Assumptions!$B$6*MAX(0.05,($N179/Assumptions!$B$11)^Assumptions!$B$12))</f>
        <v>0.0144</v>
      </c>
      <c r="Q179" s="41" t="n">
        <f aca="false">IF($P179="","",1-(1-$P179)^Assumptions!$B$7)</f>
        <v>0.0699560454683255</v>
      </c>
      <c r="R179" s="42" t="n">
        <f aca="false">IF($M179="","",$M179*Assumptions!$B$7)</f>
        <v>55</v>
      </c>
      <c r="S179" s="42" t="str">
        <f aca="false">IF(OR($J179="",$Q179="",$Q179=0),"",($J179+$R179)/($Q179*(1-Assumptions!$B$4)))</f>
        <v/>
      </c>
      <c r="T179" s="43" t="str">
        <f aca="false">IF(OR($K179="",$S179="",$S179=0),"",$K179/$S179)</f>
        <v/>
      </c>
      <c r="U179" s="44" t="str">
        <f aca="false">IF(OR($K179="",$Q179=""),"",MAX(0,($K179-MAX($K179*Assumptions!$B$4,Assumptions!$B$5))*$Q179-$R179))</f>
        <v/>
      </c>
      <c r="V179" s="40" t="str">
        <f aca="false">IF($A179="","",IF($O179="FAIL","REJECT",IF($J179="","NEEDS PRICE",IF(OR($K179="",$L179=""),"NEEDS VALUATION",IF($T179&gt;=Assumptions!$B$13,"BUY",IF($T179&gt;=1,"MARGINAL","PASS"))))))</f>
        <v>NEEDS PRICE</v>
      </c>
      <c r="W179" s="25" t="s">
        <v>395</v>
      </c>
      <c r="X179" s="35" t="s">
        <v>528</v>
      </c>
    </row>
    <row r="180" customFormat="false" ht="15" hidden="false" customHeight="false" outlineLevel="0" collapsed="false">
      <c r="A180" s="22" t="s">
        <v>529</v>
      </c>
      <c r="B180" s="36" t="str">
        <f aca="false">IF($A180="","",IF(ISERROR(FIND(".",$A180)),"",LOWER(MID($A180,FIND(CHAR(1),SUBSTITUTE($A180,".",CHAR(1),LEN($A180)-LEN(SUBSTITUTE($A180,".",""))))+1,LEN($A180)))))</f>
        <v>com</v>
      </c>
      <c r="C180" s="37" t="n">
        <f aca="false">IF($B180="","",IFERROR(INDEX(Rubric!$B$14:$B$23,MATCH($B180,Rubric!$A$14:$A$23,0)),INDEX(Rubric!$B$14:$B$23,MATCH("other",Rubric!$A$14:$A$23,0))))</f>
        <v>5</v>
      </c>
      <c r="D180" s="25" t="n">
        <v>4</v>
      </c>
      <c r="E180" s="25" t="n">
        <v>4</v>
      </c>
      <c r="F180" s="25" t="n">
        <v>3</v>
      </c>
      <c r="G180" s="25" t="n">
        <v>4</v>
      </c>
      <c r="H180" s="25" t="s">
        <v>176</v>
      </c>
      <c r="I180" s="25" t="s">
        <v>176</v>
      </c>
      <c r="J180" s="26"/>
      <c r="K180" s="27"/>
      <c r="L180" s="25"/>
      <c r="M180" s="38" t="n">
        <f aca="false">IF($B180="","",IFERROR(INDEX(Rubric!$C$14:$C$23,MATCH($B180,Rubric!$A$14:$A$23,0)),INDEX(Rubric!$C$14:$C$23,MATCH("other",Rubric!$A$14:$A$23,0))))</f>
        <v>11</v>
      </c>
      <c r="N180" s="39" t="n">
        <f aca="false">IF(OR($A180="",$C180=""),"",$C180*Rubric!$B$5+$D180*Rubric!$B$6+$E180*Rubric!$B$7+$F180*Rubric!$B$8+$G180*Rubric!$B$9)</f>
        <v>4.06</v>
      </c>
      <c r="O180" s="40" t="str">
        <f aca="false">IF($A180="","",IF(OR(UPPER($H180)="Y",UPPER($I180)="Y"),"FAIL","PASS"))</f>
        <v>PASS</v>
      </c>
      <c r="P180" s="41" t="n">
        <f aca="false">IF($N180="","",Assumptions!$B$6*MAX(0.05,($N180/Assumptions!$B$11)^Assumptions!$B$12))</f>
        <v>0.0135333333333333</v>
      </c>
      <c r="Q180" s="41" t="n">
        <f aca="false">IF($P180="","",1-(1-$P180)^Assumptions!$B$7)</f>
        <v>0.0658597747382448</v>
      </c>
      <c r="R180" s="42" t="n">
        <f aca="false">IF($M180="","",$M180*Assumptions!$B$7)</f>
        <v>55</v>
      </c>
      <c r="S180" s="42" t="str">
        <f aca="false">IF(OR($J180="",$Q180="",$Q180=0),"",($J180+$R180)/($Q180*(1-Assumptions!$B$4)))</f>
        <v/>
      </c>
      <c r="T180" s="43" t="str">
        <f aca="false">IF(OR($K180="",$S180="",$S180=0),"",$K180/$S180)</f>
        <v/>
      </c>
      <c r="U180" s="44" t="str">
        <f aca="false">IF(OR($K180="",$Q180=""),"",MAX(0,($K180-MAX($K180*Assumptions!$B$4,Assumptions!$B$5))*$Q180-$R180))</f>
        <v/>
      </c>
      <c r="V180" s="40" t="str">
        <f aca="false">IF($A180="","",IF($O180="FAIL","REJECT",IF($J180="","NEEDS PRICE",IF(OR($K180="",$L180=""),"NEEDS VALUATION",IF($T180&gt;=Assumptions!$B$13,"BUY",IF($T180&gt;=1,"MARGINAL","PASS"))))))</f>
        <v>NEEDS PRICE</v>
      </c>
      <c r="W180" s="25" t="s">
        <v>395</v>
      </c>
      <c r="X180" s="35" t="s">
        <v>530</v>
      </c>
    </row>
    <row r="181" customFormat="false" ht="15" hidden="false" customHeight="false" outlineLevel="0" collapsed="false">
      <c r="A181" s="22" t="s">
        <v>531</v>
      </c>
      <c r="B181" s="36" t="str">
        <f aca="false">IF($A181="","",IF(ISERROR(FIND(".",$A181)),"",LOWER(MID($A181,FIND(CHAR(1),SUBSTITUTE($A181,".",CHAR(1),LEN($A181)-LEN(SUBSTITUTE($A181,".",""))))+1,LEN($A181)))))</f>
        <v>com</v>
      </c>
      <c r="C181" s="37" t="n">
        <f aca="false">IF($B181="","",IFERROR(INDEX(Rubric!$B$14:$B$23,MATCH($B181,Rubric!$A$14:$A$23,0)),INDEX(Rubric!$B$14:$B$23,MATCH("other",Rubric!$A$14:$A$23,0))))</f>
        <v>5</v>
      </c>
      <c r="D181" s="25" t="n">
        <v>4</v>
      </c>
      <c r="E181" s="25" t="n">
        <v>4</v>
      </c>
      <c r="F181" s="25" t="n">
        <v>2</v>
      </c>
      <c r="G181" s="25" t="n">
        <v>4</v>
      </c>
      <c r="H181" s="25" t="s">
        <v>176</v>
      </c>
      <c r="I181" s="25" t="s">
        <v>176</v>
      </c>
      <c r="J181" s="26"/>
      <c r="K181" s="27"/>
      <c r="L181" s="25"/>
      <c r="M181" s="38" t="n">
        <f aca="false">IF($B181="","",IFERROR(INDEX(Rubric!$C$14:$C$23,MATCH($B181,Rubric!$A$14:$A$23,0)),INDEX(Rubric!$C$14:$C$23,MATCH("other",Rubric!$A$14:$A$23,0))))</f>
        <v>11</v>
      </c>
      <c r="N181" s="39" t="n">
        <f aca="false">IF(OR($A181="",$C181=""),"",$C181*Rubric!$B$5+$D181*Rubric!$B$6+$E181*Rubric!$B$7+$F181*Rubric!$B$8+$G181*Rubric!$B$9)</f>
        <v>3.9</v>
      </c>
      <c r="O181" s="40" t="str">
        <f aca="false">IF($A181="","",IF(OR(UPPER($H181)="Y",UPPER($I181)="Y"),"FAIL","PASS"))</f>
        <v>PASS</v>
      </c>
      <c r="P181" s="41" t="n">
        <f aca="false">IF($N181="","",Assumptions!$B$6*MAX(0.05,($N181/Assumptions!$B$11)^Assumptions!$B$12))</f>
        <v>0.013</v>
      </c>
      <c r="Q181" s="41" t="n">
        <f aca="false">IF($P181="","",1-(1-$P181)^Assumptions!$B$7)</f>
        <v>0.0633318275662931</v>
      </c>
      <c r="R181" s="42" t="n">
        <f aca="false">IF($M181="","",$M181*Assumptions!$B$7)</f>
        <v>55</v>
      </c>
      <c r="S181" s="42" t="str">
        <f aca="false">IF(OR($J181="",$Q181="",$Q181=0),"",($J181+$R181)/($Q181*(1-Assumptions!$B$4)))</f>
        <v/>
      </c>
      <c r="T181" s="43" t="str">
        <f aca="false">IF(OR($K181="",$S181="",$S181=0),"",$K181/$S181)</f>
        <v/>
      </c>
      <c r="U181" s="44" t="str">
        <f aca="false">IF(OR($K181="",$Q181=""),"",MAX(0,($K181-MAX($K181*Assumptions!$B$4,Assumptions!$B$5))*$Q181-$R181))</f>
        <v/>
      </c>
      <c r="V181" s="40" t="str">
        <f aca="false">IF($A181="","",IF($O181="FAIL","REJECT",IF($J181="","NEEDS PRICE",IF(OR($K181="",$L181=""),"NEEDS VALUATION",IF($T181&gt;=Assumptions!$B$13,"BUY",IF($T181&gt;=1,"MARGINAL","PASS"))))))</f>
        <v>NEEDS PRICE</v>
      </c>
      <c r="W181" s="25" t="s">
        <v>395</v>
      </c>
      <c r="X181" s="35" t="s">
        <v>532</v>
      </c>
    </row>
    <row r="182" customFormat="false" ht="23.85" hidden="false" customHeight="false" outlineLevel="0" collapsed="false">
      <c r="A182" s="22" t="s">
        <v>533</v>
      </c>
      <c r="B182" s="36" t="str">
        <f aca="false">IF($A182="","",IF(ISERROR(FIND(".",$A182)),"",LOWER(MID($A182,FIND(CHAR(1),SUBSTITUTE($A182,".",CHAR(1),LEN($A182)-LEN(SUBSTITUTE($A182,".",""))))+1,LEN($A182)))))</f>
        <v>com</v>
      </c>
      <c r="C182" s="37" t="n">
        <f aca="false">IF($B182="","",IFERROR(INDEX(Rubric!$B$14:$B$23,MATCH($B182,Rubric!$A$14:$A$23,0)),INDEX(Rubric!$B$14:$B$23,MATCH("other",Rubric!$A$14:$A$23,0))))</f>
        <v>5</v>
      </c>
      <c r="D182" s="25" t="n">
        <v>5</v>
      </c>
      <c r="E182" s="25" t="n">
        <v>3</v>
      </c>
      <c r="F182" s="25" t="n">
        <v>4</v>
      </c>
      <c r="G182" s="25" t="n">
        <v>5</v>
      </c>
      <c r="H182" s="25" t="s">
        <v>176</v>
      </c>
      <c r="I182" s="25" t="s">
        <v>176</v>
      </c>
      <c r="J182" s="26"/>
      <c r="K182" s="27"/>
      <c r="L182" s="25"/>
      <c r="M182" s="38" t="n">
        <f aca="false">IF($B182="","",IFERROR(INDEX(Rubric!$C$14:$C$23,MATCH($B182,Rubric!$A$14:$A$23,0)),INDEX(Rubric!$C$14:$C$23,MATCH("other",Rubric!$A$14:$A$23,0))))</f>
        <v>11</v>
      </c>
      <c r="N182" s="39" t="n">
        <f aca="false">IF(OR($A182="",$C182=""),"",$C182*Rubric!$B$5+$D182*Rubric!$B$6+$E182*Rubric!$B$7+$F182*Rubric!$B$8+$G182*Rubric!$B$9)</f>
        <v>4.4</v>
      </c>
      <c r="O182" s="40" t="str">
        <f aca="false">IF($A182="","",IF(OR(UPPER($H182)="Y",UPPER($I182)="Y"),"FAIL","PASS"))</f>
        <v>PASS</v>
      </c>
      <c r="P182" s="41" t="n">
        <f aca="false">IF($N182="","",Assumptions!$B$6*MAX(0.05,($N182/Assumptions!$B$11)^Assumptions!$B$12))</f>
        <v>0.0146666666666667</v>
      </c>
      <c r="Q182" s="41" t="n">
        <f aca="false">IF($P182="","",1-(1-$P182)^Assumptions!$B$7)</f>
        <v>0.0712135411665691</v>
      </c>
      <c r="R182" s="42" t="n">
        <f aca="false">IF($M182="","",$M182*Assumptions!$B$7)</f>
        <v>55</v>
      </c>
      <c r="S182" s="42" t="str">
        <f aca="false">IF(OR($J182="",$Q182="",$Q182=0),"",($J182+$R182)/($Q182*(1-Assumptions!$B$4)))</f>
        <v/>
      </c>
      <c r="T182" s="43" t="str">
        <f aca="false">IF(OR($K182="",$S182="",$S182=0),"",$K182/$S182)</f>
        <v/>
      </c>
      <c r="U182" s="44" t="str">
        <f aca="false">IF(OR($K182="",$Q182=""),"",MAX(0,($K182-MAX($K182*Assumptions!$B$4,Assumptions!$B$5))*$Q182-$R182))</f>
        <v/>
      </c>
      <c r="V182" s="40" t="str">
        <f aca="false">IF($A182="","",IF($O182="FAIL","REJECT",IF($J182="","NEEDS PRICE",IF(OR($K182="",$L182=""),"NEEDS VALUATION",IF($T182&gt;=Assumptions!$B$13,"BUY",IF($T182&gt;=1,"MARGINAL","PASS"))))))</f>
        <v>NEEDS PRICE</v>
      </c>
      <c r="W182" s="25" t="s">
        <v>395</v>
      </c>
      <c r="X182" s="35" t="s">
        <v>534</v>
      </c>
    </row>
    <row r="183" customFormat="false" ht="23.85" hidden="false" customHeight="false" outlineLevel="0" collapsed="false">
      <c r="A183" s="22" t="s">
        <v>535</v>
      </c>
      <c r="B183" s="36" t="str">
        <f aca="false">IF($A183="","",IF(ISERROR(FIND(".",$A183)),"",LOWER(MID($A183,FIND(CHAR(1),SUBSTITUTE($A183,".",CHAR(1),LEN($A183)-LEN(SUBSTITUTE($A183,".",""))))+1,LEN($A183)))))</f>
        <v>com</v>
      </c>
      <c r="C183" s="37" t="n">
        <f aca="false">IF($B183="","",IFERROR(INDEX(Rubric!$B$14:$B$23,MATCH($B183,Rubric!$A$14:$A$23,0)),INDEX(Rubric!$B$14:$B$23,MATCH("other",Rubric!$A$14:$A$23,0))))</f>
        <v>5</v>
      </c>
      <c r="D183" s="25" t="n">
        <v>5</v>
      </c>
      <c r="E183" s="25" t="n">
        <v>3</v>
      </c>
      <c r="F183" s="25" t="n">
        <v>4</v>
      </c>
      <c r="G183" s="25" t="n">
        <v>5</v>
      </c>
      <c r="H183" s="25" t="s">
        <v>176</v>
      </c>
      <c r="I183" s="25" t="s">
        <v>176</v>
      </c>
      <c r="J183" s="26"/>
      <c r="K183" s="27"/>
      <c r="L183" s="25"/>
      <c r="M183" s="38" t="n">
        <f aca="false">IF($B183="","",IFERROR(INDEX(Rubric!$C$14:$C$23,MATCH($B183,Rubric!$A$14:$A$23,0)),INDEX(Rubric!$C$14:$C$23,MATCH("other",Rubric!$A$14:$A$23,0))))</f>
        <v>11</v>
      </c>
      <c r="N183" s="39" t="n">
        <f aca="false">IF(OR($A183="",$C183=""),"",$C183*Rubric!$B$5+$D183*Rubric!$B$6+$E183*Rubric!$B$7+$F183*Rubric!$B$8+$G183*Rubric!$B$9)</f>
        <v>4.4</v>
      </c>
      <c r="O183" s="40" t="str">
        <f aca="false">IF($A183="","",IF(OR(UPPER($H183)="Y",UPPER($I183)="Y"),"FAIL","PASS"))</f>
        <v>PASS</v>
      </c>
      <c r="P183" s="41" t="n">
        <f aca="false">IF($N183="","",Assumptions!$B$6*MAX(0.05,($N183/Assumptions!$B$11)^Assumptions!$B$12))</f>
        <v>0.0146666666666667</v>
      </c>
      <c r="Q183" s="41" t="n">
        <f aca="false">IF($P183="","",1-(1-$P183)^Assumptions!$B$7)</f>
        <v>0.0712135411665691</v>
      </c>
      <c r="R183" s="42" t="n">
        <f aca="false">IF($M183="","",$M183*Assumptions!$B$7)</f>
        <v>55</v>
      </c>
      <c r="S183" s="42" t="str">
        <f aca="false">IF(OR($J183="",$Q183="",$Q183=0),"",($J183+$R183)/($Q183*(1-Assumptions!$B$4)))</f>
        <v/>
      </c>
      <c r="T183" s="43" t="str">
        <f aca="false">IF(OR($K183="",$S183="",$S183=0),"",$K183/$S183)</f>
        <v/>
      </c>
      <c r="U183" s="44" t="str">
        <f aca="false">IF(OR($K183="",$Q183=""),"",MAX(0,($K183-MAX($K183*Assumptions!$B$4,Assumptions!$B$5))*$Q183-$R183))</f>
        <v/>
      </c>
      <c r="V183" s="40" t="str">
        <f aca="false">IF($A183="","",IF($O183="FAIL","REJECT",IF($J183="","NEEDS PRICE",IF(OR($K183="",$L183=""),"NEEDS VALUATION",IF($T183&gt;=Assumptions!$B$13,"BUY",IF($T183&gt;=1,"MARGINAL","PASS"))))))</f>
        <v>NEEDS PRICE</v>
      </c>
      <c r="W183" s="25" t="s">
        <v>395</v>
      </c>
      <c r="X183" s="35" t="s">
        <v>536</v>
      </c>
    </row>
    <row r="184" customFormat="false" ht="15" hidden="false" customHeight="false" outlineLevel="0" collapsed="false">
      <c r="A184" s="22" t="s">
        <v>537</v>
      </c>
      <c r="B184" s="36" t="str">
        <f aca="false">IF($A184="","",IF(ISERROR(FIND(".",$A184)),"",LOWER(MID($A184,FIND(CHAR(1),SUBSTITUTE($A184,".",CHAR(1),LEN($A184)-LEN(SUBSTITUTE($A184,".",""))))+1,LEN($A184)))))</f>
        <v>com</v>
      </c>
      <c r="C184" s="37" t="n">
        <f aca="false">IF($B184="","",IFERROR(INDEX(Rubric!$B$14:$B$23,MATCH($B184,Rubric!$A$14:$A$23,0)),INDEX(Rubric!$B$14:$B$23,MATCH("other",Rubric!$A$14:$A$23,0))))</f>
        <v>5</v>
      </c>
      <c r="D184" s="25" t="n">
        <v>4</v>
      </c>
      <c r="E184" s="25" t="n">
        <v>3</v>
      </c>
      <c r="F184" s="25" t="n">
        <v>5</v>
      </c>
      <c r="G184" s="25" t="n">
        <v>5</v>
      </c>
      <c r="H184" s="25" t="s">
        <v>176</v>
      </c>
      <c r="I184" s="25" t="s">
        <v>176</v>
      </c>
      <c r="J184" s="26"/>
      <c r="K184" s="27"/>
      <c r="L184" s="25"/>
      <c r="M184" s="38" t="n">
        <f aca="false">IF($B184="","",IFERROR(INDEX(Rubric!$C$14:$C$23,MATCH($B184,Rubric!$A$14:$A$23,0)),INDEX(Rubric!$C$14:$C$23,MATCH("other",Rubric!$A$14:$A$23,0))))</f>
        <v>11</v>
      </c>
      <c r="N184" s="39" t="n">
        <f aca="false">IF(OR($A184="",$C184=""),"",$C184*Rubric!$B$5+$D184*Rubric!$B$6+$E184*Rubric!$B$7+$F184*Rubric!$B$8+$G184*Rubric!$B$9)</f>
        <v>4.26</v>
      </c>
      <c r="O184" s="40" t="str">
        <f aca="false">IF($A184="","",IF(OR(UPPER($H184)="Y",UPPER($I184)="Y"),"FAIL","PASS"))</f>
        <v>PASS</v>
      </c>
      <c r="P184" s="41" t="n">
        <f aca="false">IF($N184="","",Assumptions!$B$6*MAX(0.05,($N184/Assumptions!$B$11)^Assumptions!$B$12))</f>
        <v>0.0142</v>
      </c>
      <c r="Q184" s="41" t="n">
        <f aca="false">IF($P184="","",1-(1-$P184)^Assumptions!$B$7)</f>
        <v>0.0690120301639053</v>
      </c>
      <c r="R184" s="42" t="n">
        <f aca="false">IF($M184="","",$M184*Assumptions!$B$7)</f>
        <v>55</v>
      </c>
      <c r="S184" s="42" t="str">
        <f aca="false">IF(OR($J184="",$Q184="",$Q184=0),"",($J184+$R184)/($Q184*(1-Assumptions!$B$4)))</f>
        <v/>
      </c>
      <c r="T184" s="43" t="str">
        <f aca="false">IF(OR($K184="",$S184="",$S184=0),"",$K184/$S184)</f>
        <v/>
      </c>
      <c r="U184" s="44" t="str">
        <f aca="false">IF(OR($K184="",$Q184=""),"",MAX(0,($K184-MAX($K184*Assumptions!$B$4,Assumptions!$B$5))*$Q184-$R184))</f>
        <v/>
      </c>
      <c r="V184" s="40" t="str">
        <f aca="false">IF($A184="","",IF($O184="FAIL","REJECT",IF($J184="","NEEDS PRICE",IF(OR($K184="",$L184=""),"NEEDS VALUATION",IF($T184&gt;=Assumptions!$B$13,"BUY",IF($T184&gt;=1,"MARGINAL","PASS"))))))</f>
        <v>NEEDS PRICE</v>
      </c>
      <c r="W184" s="25" t="s">
        <v>395</v>
      </c>
      <c r="X184" s="35" t="s">
        <v>538</v>
      </c>
    </row>
    <row r="185" customFormat="false" ht="15" hidden="false" customHeight="false" outlineLevel="0" collapsed="false">
      <c r="A185" s="22" t="s">
        <v>539</v>
      </c>
      <c r="B185" s="36" t="str">
        <f aca="false">IF($A185="","",IF(ISERROR(FIND(".",$A185)),"",LOWER(MID($A185,FIND(CHAR(1),SUBSTITUTE($A185,".",CHAR(1),LEN($A185)-LEN(SUBSTITUTE($A185,".",""))))+1,LEN($A185)))))</f>
        <v>com</v>
      </c>
      <c r="C185" s="37" t="n">
        <f aca="false">IF($B185="","",IFERROR(INDEX(Rubric!$B$14:$B$23,MATCH($B185,Rubric!$A$14:$A$23,0)),INDEX(Rubric!$B$14:$B$23,MATCH("other",Rubric!$A$14:$A$23,0))))</f>
        <v>5</v>
      </c>
      <c r="D185" s="25" t="n">
        <v>4</v>
      </c>
      <c r="E185" s="25" t="n">
        <v>3</v>
      </c>
      <c r="F185" s="25" t="n">
        <v>5</v>
      </c>
      <c r="G185" s="25" t="n">
        <v>5</v>
      </c>
      <c r="H185" s="25" t="s">
        <v>176</v>
      </c>
      <c r="I185" s="25" t="s">
        <v>176</v>
      </c>
      <c r="J185" s="26"/>
      <c r="K185" s="27"/>
      <c r="L185" s="25"/>
      <c r="M185" s="38" t="n">
        <f aca="false">IF($B185="","",IFERROR(INDEX(Rubric!$C$14:$C$23,MATCH($B185,Rubric!$A$14:$A$23,0)),INDEX(Rubric!$C$14:$C$23,MATCH("other",Rubric!$A$14:$A$23,0))))</f>
        <v>11</v>
      </c>
      <c r="N185" s="39" t="n">
        <f aca="false">IF(OR($A185="",$C185=""),"",$C185*Rubric!$B$5+$D185*Rubric!$B$6+$E185*Rubric!$B$7+$F185*Rubric!$B$8+$G185*Rubric!$B$9)</f>
        <v>4.26</v>
      </c>
      <c r="O185" s="40" t="str">
        <f aca="false">IF($A185="","",IF(OR(UPPER($H185)="Y",UPPER($I185)="Y"),"FAIL","PASS"))</f>
        <v>PASS</v>
      </c>
      <c r="P185" s="41" t="n">
        <f aca="false">IF($N185="","",Assumptions!$B$6*MAX(0.05,($N185/Assumptions!$B$11)^Assumptions!$B$12))</f>
        <v>0.0142</v>
      </c>
      <c r="Q185" s="41" t="n">
        <f aca="false">IF($P185="","",1-(1-$P185)^Assumptions!$B$7)</f>
        <v>0.0690120301639053</v>
      </c>
      <c r="R185" s="42" t="n">
        <f aca="false">IF($M185="","",$M185*Assumptions!$B$7)</f>
        <v>55</v>
      </c>
      <c r="S185" s="42" t="str">
        <f aca="false">IF(OR($J185="",$Q185="",$Q185=0),"",($J185+$R185)/($Q185*(1-Assumptions!$B$4)))</f>
        <v/>
      </c>
      <c r="T185" s="43" t="str">
        <f aca="false">IF(OR($K185="",$S185="",$S185=0),"",$K185/$S185)</f>
        <v/>
      </c>
      <c r="U185" s="44" t="str">
        <f aca="false">IF(OR($K185="",$Q185=""),"",MAX(0,($K185-MAX($K185*Assumptions!$B$4,Assumptions!$B$5))*$Q185-$R185))</f>
        <v/>
      </c>
      <c r="V185" s="40" t="str">
        <f aca="false">IF($A185="","",IF($O185="FAIL","REJECT",IF($J185="","NEEDS PRICE",IF(OR($K185="",$L185=""),"NEEDS VALUATION",IF($T185&gt;=Assumptions!$B$13,"BUY",IF($T185&gt;=1,"MARGINAL","PASS"))))))</f>
        <v>NEEDS PRICE</v>
      </c>
      <c r="W185" s="25" t="s">
        <v>395</v>
      </c>
      <c r="X185" s="35" t="s">
        <v>540</v>
      </c>
    </row>
    <row r="186" customFormat="false" ht="15" hidden="false" customHeight="false" outlineLevel="0" collapsed="false">
      <c r="A186" s="22" t="s">
        <v>541</v>
      </c>
      <c r="B186" s="36" t="str">
        <f aca="false">IF($A186="","",IF(ISERROR(FIND(".",$A186)),"",LOWER(MID($A186,FIND(CHAR(1),SUBSTITUTE($A186,".",CHAR(1),LEN($A186)-LEN(SUBSTITUTE($A186,".",""))))+1,LEN($A186)))))</f>
        <v>com</v>
      </c>
      <c r="C186" s="37" t="n">
        <f aca="false">IF($B186="","",IFERROR(INDEX(Rubric!$B$14:$B$23,MATCH($B186,Rubric!$A$14:$A$23,0)),INDEX(Rubric!$B$14:$B$23,MATCH("other",Rubric!$A$14:$A$23,0))))</f>
        <v>5</v>
      </c>
      <c r="D186" s="25" t="n">
        <v>4</v>
      </c>
      <c r="E186" s="25" t="n">
        <v>3</v>
      </c>
      <c r="F186" s="25" t="n">
        <v>4</v>
      </c>
      <c r="G186" s="25" t="n">
        <v>5</v>
      </c>
      <c r="H186" s="25" t="s">
        <v>176</v>
      </c>
      <c r="I186" s="25" t="s">
        <v>176</v>
      </c>
      <c r="J186" s="26"/>
      <c r="K186" s="27"/>
      <c r="L186" s="25"/>
      <c r="M186" s="38" t="n">
        <f aca="false">IF($B186="","",IFERROR(INDEX(Rubric!$C$14:$C$23,MATCH($B186,Rubric!$A$14:$A$23,0)),INDEX(Rubric!$C$14:$C$23,MATCH("other",Rubric!$A$14:$A$23,0))))</f>
        <v>11</v>
      </c>
      <c r="N186" s="39" t="n">
        <f aca="false">IF(OR($A186="",$C186=""),"",$C186*Rubric!$B$5+$D186*Rubric!$B$6+$E186*Rubric!$B$7+$F186*Rubric!$B$8+$G186*Rubric!$B$9)</f>
        <v>4.1</v>
      </c>
      <c r="O186" s="40" t="str">
        <f aca="false">IF($A186="","",IF(OR(UPPER($H186)="Y",UPPER($I186)="Y"),"FAIL","PASS"))</f>
        <v>PASS</v>
      </c>
      <c r="P186" s="41" t="n">
        <f aca="false">IF($N186="","",Assumptions!$B$6*MAX(0.05,($N186/Assumptions!$B$11)^Assumptions!$B$12))</f>
        <v>0.0136666666666667</v>
      </c>
      <c r="Q186" s="41" t="n">
        <f aca="false">IF($P186="","",1-(1-$P186)^Assumptions!$B$7)</f>
        <v>0.0664909078989352</v>
      </c>
      <c r="R186" s="42" t="n">
        <f aca="false">IF($M186="","",$M186*Assumptions!$B$7)</f>
        <v>55</v>
      </c>
      <c r="S186" s="42" t="str">
        <f aca="false">IF(OR($J186="",$Q186="",$Q186=0),"",($J186+$R186)/($Q186*(1-Assumptions!$B$4)))</f>
        <v/>
      </c>
      <c r="T186" s="43" t="str">
        <f aca="false">IF(OR($K186="",$S186="",$S186=0),"",$K186/$S186)</f>
        <v/>
      </c>
      <c r="U186" s="44" t="str">
        <f aca="false">IF(OR($K186="",$Q186=""),"",MAX(0,($K186-MAX($K186*Assumptions!$B$4,Assumptions!$B$5))*$Q186-$R186))</f>
        <v/>
      </c>
      <c r="V186" s="40" t="str">
        <f aca="false">IF($A186="","",IF($O186="FAIL","REJECT",IF($J186="","NEEDS PRICE",IF(OR($K186="",$L186=""),"NEEDS VALUATION",IF($T186&gt;=Assumptions!$B$13,"BUY",IF($T186&gt;=1,"MARGINAL","PASS"))))))</f>
        <v>NEEDS PRICE</v>
      </c>
      <c r="W186" s="25" t="s">
        <v>395</v>
      </c>
      <c r="X186" s="35" t="s">
        <v>542</v>
      </c>
    </row>
    <row r="187" customFormat="false" ht="23.85" hidden="false" customHeight="false" outlineLevel="0" collapsed="false">
      <c r="A187" s="22" t="s">
        <v>543</v>
      </c>
      <c r="B187" s="36" t="str">
        <f aca="false">IF($A187="","",IF(ISERROR(FIND(".",$A187)),"",LOWER(MID($A187,FIND(CHAR(1),SUBSTITUTE($A187,".",CHAR(1),LEN($A187)-LEN(SUBSTITUTE($A187,".",""))))+1,LEN($A187)))))</f>
        <v>com</v>
      </c>
      <c r="C187" s="37" t="n">
        <f aca="false">IF($B187="","",IFERROR(INDEX(Rubric!$B$14:$B$23,MATCH($B187,Rubric!$A$14:$A$23,0)),INDEX(Rubric!$B$14:$B$23,MATCH("other",Rubric!$A$14:$A$23,0))))</f>
        <v>5</v>
      </c>
      <c r="D187" s="25" t="n">
        <v>4</v>
      </c>
      <c r="E187" s="25" t="n">
        <v>3</v>
      </c>
      <c r="F187" s="25" t="n">
        <v>4</v>
      </c>
      <c r="G187" s="25" t="n">
        <v>4</v>
      </c>
      <c r="H187" s="25" t="s">
        <v>176</v>
      </c>
      <c r="I187" s="25" t="s">
        <v>176</v>
      </c>
      <c r="J187" s="26"/>
      <c r="K187" s="27"/>
      <c r="L187" s="25"/>
      <c r="M187" s="38" t="n">
        <f aca="false">IF($B187="","",IFERROR(INDEX(Rubric!$C$14:$C$23,MATCH($B187,Rubric!$A$14:$A$23,0)),INDEX(Rubric!$C$14:$C$23,MATCH("other",Rubric!$A$14:$A$23,0))))</f>
        <v>11</v>
      </c>
      <c r="N187" s="39" t="n">
        <f aca="false">IF(OR($A187="",$C187=""),"",$C187*Rubric!$B$5+$D187*Rubric!$B$6+$E187*Rubric!$B$7+$F187*Rubric!$B$8+$G187*Rubric!$B$9)</f>
        <v>4</v>
      </c>
      <c r="O187" s="40" t="str">
        <f aca="false">IF($A187="","",IF(OR(UPPER($H187)="Y",UPPER($I187)="Y"),"FAIL","PASS"))</f>
        <v>PASS</v>
      </c>
      <c r="P187" s="41" t="n">
        <f aca="false">IF($N187="","",Assumptions!$B$6*MAX(0.05,($N187/Assumptions!$B$11)^Assumptions!$B$12))</f>
        <v>0.0133333333333333</v>
      </c>
      <c r="Q187" s="41" t="n">
        <f aca="false">IF($P187="","",1-(1-$P187)^Assumptions!$B$7)</f>
        <v>0.0649124349893003</v>
      </c>
      <c r="R187" s="42" t="n">
        <f aca="false">IF($M187="","",$M187*Assumptions!$B$7)</f>
        <v>55</v>
      </c>
      <c r="S187" s="42" t="str">
        <f aca="false">IF(OR($J187="",$Q187="",$Q187=0),"",($J187+$R187)/($Q187*(1-Assumptions!$B$4)))</f>
        <v/>
      </c>
      <c r="T187" s="43" t="str">
        <f aca="false">IF(OR($K187="",$S187="",$S187=0),"",$K187/$S187)</f>
        <v/>
      </c>
      <c r="U187" s="44" t="str">
        <f aca="false">IF(OR($K187="",$Q187=""),"",MAX(0,($K187-MAX($K187*Assumptions!$B$4,Assumptions!$B$5))*$Q187-$R187))</f>
        <v/>
      </c>
      <c r="V187" s="40" t="str">
        <f aca="false">IF($A187="","",IF($O187="FAIL","REJECT",IF($J187="","NEEDS PRICE",IF(OR($K187="",$L187=""),"NEEDS VALUATION",IF($T187&gt;=Assumptions!$B$13,"BUY",IF($T187&gt;=1,"MARGINAL","PASS"))))))</f>
        <v>NEEDS PRICE</v>
      </c>
      <c r="W187" s="25" t="s">
        <v>395</v>
      </c>
      <c r="X187" s="35" t="s">
        <v>544</v>
      </c>
    </row>
    <row r="188" customFormat="false" ht="23.85" hidden="false" customHeight="false" outlineLevel="0" collapsed="false">
      <c r="A188" s="22" t="s">
        <v>545</v>
      </c>
      <c r="B188" s="36" t="str">
        <f aca="false">IF($A188="","",IF(ISERROR(FIND(".",$A188)),"",LOWER(MID($A188,FIND(CHAR(1),SUBSTITUTE($A188,".",CHAR(1),LEN($A188)-LEN(SUBSTITUTE($A188,".",""))))+1,LEN($A188)))))</f>
        <v>com</v>
      </c>
      <c r="C188" s="37" t="n">
        <f aca="false">IF($B188="","",IFERROR(INDEX(Rubric!$B$14:$B$23,MATCH($B188,Rubric!$A$14:$A$23,0)),INDEX(Rubric!$B$14:$B$23,MATCH("other",Rubric!$A$14:$A$23,0))))</f>
        <v>5</v>
      </c>
      <c r="D188" s="25" t="n">
        <v>4</v>
      </c>
      <c r="E188" s="25" t="n">
        <v>3</v>
      </c>
      <c r="F188" s="25" t="n">
        <v>3</v>
      </c>
      <c r="G188" s="25" t="n">
        <v>4</v>
      </c>
      <c r="H188" s="25" t="s">
        <v>176</v>
      </c>
      <c r="I188" s="25" t="s">
        <v>176</v>
      </c>
      <c r="J188" s="26"/>
      <c r="K188" s="27"/>
      <c r="L188" s="25"/>
      <c r="M188" s="38" t="n">
        <f aca="false">IF($B188="","",IFERROR(INDEX(Rubric!$C$14:$C$23,MATCH($B188,Rubric!$A$14:$A$23,0)),INDEX(Rubric!$C$14:$C$23,MATCH("other",Rubric!$A$14:$A$23,0))))</f>
        <v>11</v>
      </c>
      <c r="N188" s="39" t="n">
        <f aca="false">IF(OR($A188="",$C188=""),"",$C188*Rubric!$B$5+$D188*Rubric!$B$6+$E188*Rubric!$B$7+$F188*Rubric!$B$8+$G188*Rubric!$B$9)</f>
        <v>3.84</v>
      </c>
      <c r="O188" s="40" t="str">
        <f aca="false">IF($A188="","",IF(OR(UPPER($H188)="Y",UPPER($I188)="Y"),"FAIL","PASS"))</f>
        <v>PASS</v>
      </c>
      <c r="P188" s="41" t="n">
        <f aca="false">IF($N188="","",Assumptions!$B$6*MAX(0.05,($N188/Assumptions!$B$11)^Assumptions!$B$12))</f>
        <v>0.0128</v>
      </c>
      <c r="Q188" s="41" t="n">
        <f aca="false">IF($P188="","",1-(1-$P188)^Assumptions!$B$7)</f>
        <v>0.0623824376458696</v>
      </c>
      <c r="R188" s="42" t="n">
        <f aca="false">IF($M188="","",$M188*Assumptions!$B$7)</f>
        <v>55</v>
      </c>
      <c r="S188" s="42" t="str">
        <f aca="false">IF(OR($J188="",$Q188="",$Q188=0),"",($J188+$R188)/($Q188*(1-Assumptions!$B$4)))</f>
        <v/>
      </c>
      <c r="T188" s="43" t="str">
        <f aca="false">IF(OR($K188="",$S188="",$S188=0),"",$K188/$S188)</f>
        <v/>
      </c>
      <c r="U188" s="44" t="str">
        <f aca="false">IF(OR($K188="",$Q188=""),"",MAX(0,($K188-MAX($K188*Assumptions!$B$4,Assumptions!$B$5))*$Q188-$R188))</f>
        <v/>
      </c>
      <c r="V188" s="40" t="str">
        <f aca="false">IF($A188="","",IF($O188="FAIL","REJECT",IF($J188="","NEEDS PRICE",IF(OR($K188="",$L188=""),"NEEDS VALUATION",IF($T188&gt;=Assumptions!$B$13,"BUY",IF($T188&gt;=1,"MARGINAL","PASS"))))))</f>
        <v>NEEDS PRICE</v>
      </c>
      <c r="W188" s="25" t="s">
        <v>395</v>
      </c>
      <c r="X188" s="35" t="s">
        <v>546</v>
      </c>
    </row>
    <row r="189" customFormat="false" ht="23.85" hidden="false" customHeight="false" outlineLevel="0" collapsed="false">
      <c r="A189" s="22" t="s">
        <v>547</v>
      </c>
      <c r="B189" s="36" t="str">
        <f aca="false">IF($A189="","",IF(ISERROR(FIND(".",$A189)),"",LOWER(MID($A189,FIND(CHAR(1),SUBSTITUTE($A189,".",CHAR(1),LEN($A189)-LEN(SUBSTITUTE($A189,".",""))))+1,LEN($A189)))))</f>
        <v>com</v>
      </c>
      <c r="C189" s="37" t="n">
        <f aca="false">IF($B189="","",IFERROR(INDEX(Rubric!$B$14:$B$23,MATCH($B189,Rubric!$A$14:$A$23,0)),INDEX(Rubric!$B$14:$B$23,MATCH("other",Rubric!$A$14:$A$23,0))))</f>
        <v>5</v>
      </c>
      <c r="D189" s="25" t="n">
        <v>5</v>
      </c>
      <c r="E189" s="25" t="n">
        <v>4</v>
      </c>
      <c r="F189" s="25" t="n">
        <v>4</v>
      </c>
      <c r="G189" s="25" t="n">
        <v>5</v>
      </c>
      <c r="H189" s="25" t="s">
        <v>176</v>
      </c>
      <c r="I189" s="25" t="s">
        <v>176</v>
      </c>
      <c r="J189" s="26"/>
      <c r="K189" s="27"/>
      <c r="L189" s="25"/>
      <c r="M189" s="38" t="n">
        <f aca="false">IF($B189="","",IFERROR(INDEX(Rubric!$C$14:$C$23,MATCH($B189,Rubric!$A$14:$A$23,0)),INDEX(Rubric!$C$14:$C$23,MATCH("other",Rubric!$A$14:$A$23,0))))</f>
        <v>11</v>
      </c>
      <c r="N189" s="39" t="n">
        <f aca="false">IF(OR($A189="",$C189=""),"",$C189*Rubric!$B$5+$D189*Rubric!$B$6+$E189*Rubric!$B$7+$F189*Rubric!$B$8+$G189*Rubric!$B$9)</f>
        <v>4.62</v>
      </c>
      <c r="O189" s="40" t="str">
        <f aca="false">IF($A189="","",IF(OR(UPPER($H189)="Y",UPPER($I189)="Y"),"FAIL","PASS"))</f>
        <v>PASS</v>
      </c>
      <c r="P189" s="41" t="n">
        <f aca="false">IF($N189="","",Assumptions!$B$6*MAX(0.05,($N189/Assumptions!$B$11)^Assumptions!$B$12))</f>
        <v>0.0154</v>
      </c>
      <c r="Q189" s="41" t="n">
        <f aca="false">IF($P189="","",1-(1-$P189)^Assumptions!$B$7)</f>
        <v>0.0746646422818428</v>
      </c>
      <c r="R189" s="42" t="n">
        <f aca="false">IF($M189="","",$M189*Assumptions!$B$7)</f>
        <v>55</v>
      </c>
      <c r="S189" s="42" t="str">
        <f aca="false">IF(OR($J189="",$Q189="",$Q189=0),"",($J189+$R189)/($Q189*(1-Assumptions!$B$4)))</f>
        <v/>
      </c>
      <c r="T189" s="43" t="str">
        <f aca="false">IF(OR($K189="",$S189="",$S189=0),"",$K189/$S189)</f>
        <v/>
      </c>
      <c r="U189" s="44" t="str">
        <f aca="false">IF(OR($K189="",$Q189=""),"",MAX(0,($K189-MAX($K189*Assumptions!$B$4,Assumptions!$B$5))*$Q189-$R189))</f>
        <v/>
      </c>
      <c r="V189" s="40" t="str">
        <f aca="false">IF($A189="","",IF($O189="FAIL","REJECT",IF($J189="","NEEDS PRICE",IF(OR($K189="",$L189=""),"NEEDS VALUATION",IF($T189&gt;=Assumptions!$B$13,"BUY",IF($T189&gt;=1,"MARGINAL","PASS"))))))</f>
        <v>NEEDS PRICE</v>
      </c>
      <c r="W189" s="25" t="s">
        <v>395</v>
      </c>
      <c r="X189" s="35" t="s">
        <v>548</v>
      </c>
    </row>
    <row r="190" customFormat="false" ht="23.85" hidden="false" customHeight="false" outlineLevel="0" collapsed="false">
      <c r="A190" s="22" t="s">
        <v>549</v>
      </c>
      <c r="B190" s="36" t="str">
        <f aca="false">IF($A190="","",IF(ISERROR(FIND(".",$A190)),"",LOWER(MID($A190,FIND(CHAR(1),SUBSTITUTE($A190,".",CHAR(1),LEN($A190)-LEN(SUBSTITUTE($A190,".",""))))+1,LEN($A190)))))</f>
        <v>com</v>
      </c>
      <c r="C190" s="37" t="n">
        <f aca="false">IF($B190="","",IFERROR(INDEX(Rubric!$B$14:$B$23,MATCH($B190,Rubric!$A$14:$A$23,0)),INDEX(Rubric!$B$14:$B$23,MATCH("other",Rubric!$A$14:$A$23,0))))</f>
        <v>5</v>
      </c>
      <c r="D190" s="25" t="n">
        <v>5</v>
      </c>
      <c r="E190" s="25" t="n">
        <v>3</v>
      </c>
      <c r="F190" s="25" t="n">
        <v>5</v>
      </c>
      <c r="G190" s="25" t="n">
        <v>5</v>
      </c>
      <c r="H190" s="25" t="s">
        <v>176</v>
      </c>
      <c r="I190" s="25" t="s">
        <v>176</v>
      </c>
      <c r="J190" s="26"/>
      <c r="K190" s="27"/>
      <c r="L190" s="25"/>
      <c r="M190" s="38" t="n">
        <f aca="false">IF($B190="","",IFERROR(INDEX(Rubric!$C$14:$C$23,MATCH($B190,Rubric!$A$14:$A$23,0)),INDEX(Rubric!$C$14:$C$23,MATCH("other",Rubric!$A$14:$A$23,0))))</f>
        <v>11</v>
      </c>
      <c r="N190" s="39" t="n">
        <f aca="false">IF(OR($A190="",$C190=""),"",$C190*Rubric!$B$5+$D190*Rubric!$B$6+$E190*Rubric!$B$7+$F190*Rubric!$B$8+$G190*Rubric!$B$9)</f>
        <v>4.56</v>
      </c>
      <c r="O190" s="40" t="str">
        <f aca="false">IF($A190="","",IF(OR(UPPER($H190)="Y",UPPER($I190)="Y"),"FAIL","PASS"))</f>
        <v>PASS</v>
      </c>
      <c r="P190" s="41" t="n">
        <f aca="false">IF($N190="","",Assumptions!$B$6*MAX(0.05,($N190/Assumptions!$B$11)^Assumptions!$B$12))</f>
        <v>0.0152</v>
      </c>
      <c r="Q190" s="41" t="n">
        <f aca="false">IF($P190="","",1-(1-$P190)^Assumptions!$B$7)</f>
        <v>0.0737244519939601</v>
      </c>
      <c r="R190" s="42" t="n">
        <f aca="false">IF($M190="","",$M190*Assumptions!$B$7)</f>
        <v>55</v>
      </c>
      <c r="S190" s="42" t="str">
        <f aca="false">IF(OR($J190="",$Q190="",$Q190=0),"",($J190+$R190)/($Q190*(1-Assumptions!$B$4)))</f>
        <v/>
      </c>
      <c r="T190" s="43" t="str">
        <f aca="false">IF(OR($K190="",$S190="",$S190=0),"",$K190/$S190)</f>
        <v/>
      </c>
      <c r="U190" s="44" t="str">
        <f aca="false">IF(OR($K190="",$Q190=""),"",MAX(0,($K190-MAX($K190*Assumptions!$B$4,Assumptions!$B$5))*$Q190-$R190))</f>
        <v/>
      </c>
      <c r="V190" s="40" t="str">
        <f aca="false">IF($A190="","",IF($O190="FAIL","REJECT",IF($J190="","NEEDS PRICE",IF(OR($K190="",$L190=""),"NEEDS VALUATION",IF($T190&gt;=Assumptions!$B$13,"BUY",IF($T190&gt;=1,"MARGINAL","PASS"))))))</f>
        <v>NEEDS PRICE</v>
      </c>
      <c r="W190" s="25" t="s">
        <v>395</v>
      </c>
      <c r="X190" s="35" t="s">
        <v>550</v>
      </c>
    </row>
    <row r="191" customFormat="false" ht="15" hidden="false" customHeight="false" outlineLevel="0" collapsed="false">
      <c r="A191" s="22" t="s">
        <v>551</v>
      </c>
      <c r="B191" s="36" t="str">
        <f aca="false">IF($A191="","",IF(ISERROR(FIND(".",$A191)),"",LOWER(MID($A191,FIND(CHAR(1),SUBSTITUTE($A191,".",CHAR(1),LEN($A191)-LEN(SUBSTITUTE($A191,".",""))))+1,LEN($A191)))))</f>
        <v>com</v>
      </c>
      <c r="C191" s="37" t="n">
        <f aca="false">IF($B191="","",IFERROR(INDEX(Rubric!$B$14:$B$23,MATCH($B191,Rubric!$A$14:$A$23,0)),INDEX(Rubric!$B$14:$B$23,MATCH("other",Rubric!$A$14:$A$23,0))))</f>
        <v>5</v>
      </c>
      <c r="D191" s="25" t="n">
        <v>4</v>
      </c>
      <c r="E191" s="25" t="n">
        <v>3</v>
      </c>
      <c r="F191" s="25" t="n">
        <v>4</v>
      </c>
      <c r="G191" s="25" t="n">
        <v>5</v>
      </c>
      <c r="H191" s="25" t="s">
        <v>176</v>
      </c>
      <c r="I191" s="25" t="s">
        <v>176</v>
      </c>
      <c r="J191" s="26"/>
      <c r="K191" s="27"/>
      <c r="L191" s="25"/>
      <c r="M191" s="38" t="n">
        <f aca="false">IF($B191="","",IFERROR(INDEX(Rubric!$C$14:$C$23,MATCH($B191,Rubric!$A$14:$A$23,0)),INDEX(Rubric!$C$14:$C$23,MATCH("other",Rubric!$A$14:$A$23,0))))</f>
        <v>11</v>
      </c>
      <c r="N191" s="39" t="n">
        <f aca="false">IF(OR($A191="",$C191=""),"",$C191*Rubric!$B$5+$D191*Rubric!$B$6+$E191*Rubric!$B$7+$F191*Rubric!$B$8+$G191*Rubric!$B$9)</f>
        <v>4.1</v>
      </c>
      <c r="O191" s="40" t="str">
        <f aca="false">IF($A191="","",IF(OR(UPPER($H191)="Y",UPPER($I191)="Y"),"FAIL","PASS"))</f>
        <v>PASS</v>
      </c>
      <c r="P191" s="41" t="n">
        <f aca="false">IF($N191="","",Assumptions!$B$6*MAX(0.05,($N191/Assumptions!$B$11)^Assumptions!$B$12))</f>
        <v>0.0136666666666667</v>
      </c>
      <c r="Q191" s="41" t="n">
        <f aca="false">IF($P191="","",1-(1-$P191)^Assumptions!$B$7)</f>
        <v>0.0664909078989352</v>
      </c>
      <c r="R191" s="42" t="n">
        <f aca="false">IF($M191="","",$M191*Assumptions!$B$7)</f>
        <v>55</v>
      </c>
      <c r="S191" s="42" t="str">
        <f aca="false">IF(OR($J191="",$Q191="",$Q191=0),"",($J191+$R191)/($Q191*(1-Assumptions!$B$4)))</f>
        <v/>
      </c>
      <c r="T191" s="43" t="str">
        <f aca="false">IF(OR($K191="",$S191="",$S191=0),"",$K191/$S191)</f>
        <v/>
      </c>
      <c r="U191" s="44" t="str">
        <f aca="false">IF(OR($K191="",$Q191=""),"",MAX(0,($K191-MAX($K191*Assumptions!$B$4,Assumptions!$B$5))*$Q191-$R191))</f>
        <v/>
      </c>
      <c r="V191" s="40" t="str">
        <f aca="false">IF($A191="","",IF($O191="FAIL","REJECT",IF($J191="","NEEDS PRICE",IF(OR($K191="",$L191=""),"NEEDS VALUATION",IF($T191&gt;=Assumptions!$B$13,"BUY",IF($T191&gt;=1,"MARGINAL","PASS"))))))</f>
        <v>NEEDS PRICE</v>
      </c>
      <c r="W191" s="25" t="s">
        <v>395</v>
      </c>
      <c r="X191" s="35" t="s">
        <v>552</v>
      </c>
    </row>
    <row r="192" customFormat="false" ht="23.85" hidden="false" customHeight="false" outlineLevel="0" collapsed="false">
      <c r="A192" s="22" t="s">
        <v>553</v>
      </c>
      <c r="B192" s="36" t="str">
        <f aca="false">IF($A192="","",IF(ISERROR(FIND(".",$A192)),"",LOWER(MID($A192,FIND(CHAR(1),SUBSTITUTE($A192,".",CHAR(1),LEN($A192)-LEN(SUBSTITUTE($A192,".",""))))+1,LEN($A192)))))</f>
        <v>com</v>
      </c>
      <c r="C192" s="37" t="n">
        <f aca="false">IF($B192="","",IFERROR(INDEX(Rubric!$B$14:$B$23,MATCH($B192,Rubric!$A$14:$A$23,0)),INDEX(Rubric!$B$14:$B$23,MATCH("other",Rubric!$A$14:$A$23,0))))</f>
        <v>5</v>
      </c>
      <c r="D192" s="25" t="n">
        <v>4</v>
      </c>
      <c r="E192" s="25" t="n">
        <v>3</v>
      </c>
      <c r="F192" s="25" t="n">
        <v>4</v>
      </c>
      <c r="G192" s="25" t="n">
        <v>5</v>
      </c>
      <c r="H192" s="25" t="s">
        <v>176</v>
      </c>
      <c r="I192" s="25" t="s">
        <v>176</v>
      </c>
      <c r="J192" s="26"/>
      <c r="K192" s="27"/>
      <c r="L192" s="25"/>
      <c r="M192" s="38" t="n">
        <f aca="false">IF($B192="","",IFERROR(INDEX(Rubric!$C$14:$C$23,MATCH($B192,Rubric!$A$14:$A$23,0)),INDEX(Rubric!$C$14:$C$23,MATCH("other",Rubric!$A$14:$A$23,0))))</f>
        <v>11</v>
      </c>
      <c r="N192" s="39" t="n">
        <f aca="false">IF(OR($A192="",$C192=""),"",$C192*Rubric!$B$5+$D192*Rubric!$B$6+$E192*Rubric!$B$7+$F192*Rubric!$B$8+$G192*Rubric!$B$9)</f>
        <v>4.1</v>
      </c>
      <c r="O192" s="40" t="str">
        <f aca="false">IF($A192="","",IF(OR(UPPER($H192)="Y",UPPER($I192)="Y"),"FAIL","PASS"))</f>
        <v>PASS</v>
      </c>
      <c r="P192" s="41" t="n">
        <f aca="false">IF($N192="","",Assumptions!$B$6*MAX(0.05,($N192/Assumptions!$B$11)^Assumptions!$B$12))</f>
        <v>0.0136666666666667</v>
      </c>
      <c r="Q192" s="41" t="n">
        <f aca="false">IF($P192="","",1-(1-$P192)^Assumptions!$B$7)</f>
        <v>0.0664909078989352</v>
      </c>
      <c r="R192" s="42" t="n">
        <f aca="false">IF($M192="","",$M192*Assumptions!$B$7)</f>
        <v>55</v>
      </c>
      <c r="S192" s="42" t="str">
        <f aca="false">IF(OR($J192="",$Q192="",$Q192=0),"",($J192+$R192)/($Q192*(1-Assumptions!$B$4)))</f>
        <v/>
      </c>
      <c r="T192" s="43" t="str">
        <f aca="false">IF(OR($K192="",$S192="",$S192=0),"",$K192/$S192)</f>
        <v/>
      </c>
      <c r="U192" s="44" t="str">
        <f aca="false">IF(OR($K192="",$Q192=""),"",MAX(0,($K192-MAX($K192*Assumptions!$B$4,Assumptions!$B$5))*$Q192-$R192))</f>
        <v/>
      </c>
      <c r="V192" s="40" t="str">
        <f aca="false">IF($A192="","",IF($O192="FAIL","REJECT",IF($J192="","NEEDS PRICE",IF(OR($K192="",$L192=""),"NEEDS VALUATION",IF($T192&gt;=Assumptions!$B$13,"BUY",IF($T192&gt;=1,"MARGINAL","PASS"))))))</f>
        <v>NEEDS PRICE</v>
      </c>
      <c r="W192" s="25" t="s">
        <v>395</v>
      </c>
      <c r="X192" s="35" t="s">
        <v>554</v>
      </c>
    </row>
    <row r="193" customFormat="false" ht="15" hidden="false" customHeight="false" outlineLevel="0" collapsed="false">
      <c r="A193" s="22" t="s">
        <v>555</v>
      </c>
      <c r="B193" s="36" t="str">
        <f aca="false">IF($A193="","",IF(ISERROR(FIND(".",$A193)),"",LOWER(MID($A193,FIND(CHAR(1),SUBSTITUTE($A193,".",CHAR(1),LEN($A193)-LEN(SUBSTITUTE($A193,".",""))))+1,LEN($A193)))))</f>
        <v>com</v>
      </c>
      <c r="C193" s="37" t="n">
        <f aca="false">IF($B193="","",IFERROR(INDEX(Rubric!$B$14:$B$23,MATCH($B193,Rubric!$A$14:$A$23,0)),INDEX(Rubric!$B$14:$B$23,MATCH("other",Rubric!$A$14:$A$23,0))))</f>
        <v>5</v>
      </c>
      <c r="D193" s="25" t="n">
        <v>4</v>
      </c>
      <c r="E193" s="25" t="n">
        <v>3</v>
      </c>
      <c r="F193" s="25" t="n">
        <v>2</v>
      </c>
      <c r="G193" s="25" t="n">
        <v>4</v>
      </c>
      <c r="H193" s="25" t="s">
        <v>176</v>
      </c>
      <c r="I193" s="25" t="s">
        <v>176</v>
      </c>
      <c r="J193" s="26"/>
      <c r="K193" s="27"/>
      <c r="L193" s="25"/>
      <c r="M193" s="38" t="n">
        <f aca="false">IF($B193="","",IFERROR(INDEX(Rubric!$C$14:$C$23,MATCH($B193,Rubric!$A$14:$A$23,0)),INDEX(Rubric!$C$14:$C$23,MATCH("other",Rubric!$A$14:$A$23,0))))</f>
        <v>11</v>
      </c>
      <c r="N193" s="39" t="n">
        <f aca="false">IF(OR($A193="",$C193=""),"",$C193*Rubric!$B$5+$D193*Rubric!$B$6+$E193*Rubric!$B$7+$F193*Rubric!$B$8+$G193*Rubric!$B$9)</f>
        <v>3.68</v>
      </c>
      <c r="O193" s="40" t="str">
        <f aca="false">IF($A193="","",IF(OR(UPPER($H193)="Y",UPPER($I193)="Y"),"FAIL","PASS"))</f>
        <v>PASS</v>
      </c>
      <c r="P193" s="41" t="n">
        <f aca="false">IF($N193="","",Assumptions!$B$6*MAX(0.05,($N193/Assumptions!$B$11)^Assumptions!$B$12))</f>
        <v>0.0122666666666667</v>
      </c>
      <c r="Q193" s="41" t="n">
        <f aca="false">IF($P193="","",1-(1-$P193)^Assumptions!$B$7)</f>
        <v>0.0598469670818118</v>
      </c>
      <c r="R193" s="42" t="n">
        <f aca="false">IF($M193="","",$M193*Assumptions!$B$7)</f>
        <v>55</v>
      </c>
      <c r="S193" s="42" t="str">
        <f aca="false">IF(OR($J193="",$Q193="",$Q193=0),"",($J193+$R193)/($Q193*(1-Assumptions!$B$4)))</f>
        <v/>
      </c>
      <c r="T193" s="43" t="str">
        <f aca="false">IF(OR($K193="",$S193="",$S193=0),"",$K193/$S193)</f>
        <v/>
      </c>
      <c r="U193" s="44" t="str">
        <f aca="false">IF(OR($K193="",$Q193=""),"",MAX(0,($K193-MAX($K193*Assumptions!$B$4,Assumptions!$B$5))*$Q193-$R193))</f>
        <v/>
      </c>
      <c r="V193" s="40" t="str">
        <f aca="false">IF($A193="","",IF($O193="FAIL","REJECT",IF($J193="","NEEDS PRICE",IF(OR($K193="",$L193=""),"NEEDS VALUATION",IF($T193&gt;=Assumptions!$B$13,"BUY",IF($T193&gt;=1,"MARGINAL","PASS"))))))</f>
        <v>NEEDS PRICE</v>
      </c>
      <c r="W193" s="25" t="s">
        <v>395</v>
      </c>
      <c r="X193" s="35" t="s">
        <v>556</v>
      </c>
    </row>
    <row r="194" customFormat="false" ht="23.85" hidden="false" customHeight="false" outlineLevel="0" collapsed="false">
      <c r="A194" s="22" t="s">
        <v>557</v>
      </c>
      <c r="B194" s="36" t="str">
        <f aca="false">IF($A194="","",IF(ISERROR(FIND(".",$A194)),"",LOWER(MID($A194,FIND(CHAR(1),SUBSTITUTE($A194,".",CHAR(1),LEN($A194)-LEN(SUBSTITUTE($A194,".",""))))+1,LEN($A194)))))</f>
        <v>com</v>
      </c>
      <c r="C194" s="37" t="n">
        <f aca="false">IF($B194="","",IFERROR(INDEX(Rubric!$B$14:$B$23,MATCH($B194,Rubric!$A$14:$A$23,0)),INDEX(Rubric!$B$14:$B$23,MATCH("other",Rubric!$A$14:$A$23,0))))</f>
        <v>5</v>
      </c>
      <c r="D194" s="25" t="n">
        <v>4</v>
      </c>
      <c r="E194" s="25" t="n">
        <v>3</v>
      </c>
      <c r="F194" s="25" t="n">
        <v>5</v>
      </c>
      <c r="G194" s="25" t="n">
        <v>5</v>
      </c>
      <c r="H194" s="25" t="s">
        <v>176</v>
      </c>
      <c r="I194" s="25" t="s">
        <v>176</v>
      </c>
      <c r="J194" s="26"/>
      <c r="K194" s="27"/>
      <c r="L194" s="25"/>
      <c r="M194" s="38" t="n">
        <f aca="false">IF($B194="","",IFERROR(INDEX(Rubric!$C$14:$C$23,MATCH($B194,Rubric!$A$14:$A$23,0)),INDEX(Rubric!$C$14:$C$23,MATCH("other",Rubric!$A$14:$A$23,0))))</f>
        <v>11</v>
      </c>
      <c r="N194" s="39" t="n">
        <f aca="false">IF(OR($A194="",$C194=""),"",$C194*Rubric!$B$5+$D194*Rubric!$B$6+$E194*Rubric!$B$7+$F194*Rubric!$B$8+$G194*Rubric!$B$9)</f>
        <v>4.26</v>
      </c>
      <c r="O194" s="40" t="str">
        <f aca="false">IF($A194="","",IF(OR(UPPER($H194)="Y",UPPER($I194)="Y"),"FAIL","PASS"))</f>
        <v>PASS</v>
      </c>
      <c r="P194" s="41" t="n">
        <f aca="false">IF($N194="","",Assumptions!$B$6*MAX(0.05,($N194/Assumptions!$B$11)^Assumptions!$B$12))</f>
        <v>0.0142</v>
      </c>
      <c r="Q194" s="41" t="n">
        <f aca="false">IF($P194="","",1-(1-$P194)^Assumptions!$B$7)</f>
        <v>0.0690120301639053</v>
      </c>
      <c r="R194" s="42" t="n">
        <f aca="false">IF($M194="","",$M194*Assumptions!$B$7)</f>
        <v>55</v>
      </c>
      <c r="S194" s="42" t="str">
        <f aca="false">IF(OR($J194="",$Q194="",$Q194=0),"",($J194+$R194)/($Q194*(1-Assumptions!$B$4)))</f>
        <v/>
      </c>
      <c r="T194" s="43" t="str">
        <f aca="false">IF(OR($K194="",$S194="",$S194=0),"",$K194/$S194)</f>
        <v/>
      </c>
      <c r="U194" s="44" t="str">
        <f aca="false">IF(OR($K194="",$Q194=""),"",MAX(0,($K194-MAX($K194*Assumptions!$B$4,Assumptions!$B$5))*$Q194-$R194))</f>
        <v/>
      </c>
      <c r="V194" s="40" t="str">
        <f aca="false">IF($A194="","",IF($O194="FAIL","REJECT",IF($J194="","NEEDS PRICE",IF(OR($K194="",$L194=""),"NEEDS VALUATION",IF($T194&gt;=Assumptions!$B$13,"BUY",IF($T194&gt;=1,"MARGINAL","PASS"))))))</f>
        <v>NEEDS PRICE</v>
      </c>
      <c r="W194" s="25" t="s">
        <v>395</v>
      </c>
      <c r="X194" s="35" t="s">
        <v>558</v>
      </c>
    </row>
    <row r="195" customFormat="false" ht="15" hidden="false" customHeight="false" outlineLevel="0" collapsed="false">
      <c r="A195" s="22" t="s">
        <v>559</v>
      </c>
      <c r="B195" s="36" t="str">
        <f aca="false">IF($A195="","",IF(ISERROR(FIND(".",$A195)),"",LOWER(MID($A195,FIND(CHAR(1),SUBSTITUTE($A195,".",CHAR(1),LEN($A195)-LEN(SUBSTITUTE($A195,".",""))))+1,LEN($A195)))))</f>
        <v>com</v>
      </c>
      <c r="C195" s="37" t="n">
        <f aca="false">IF($B195="","",IFERROR(INDEX(Rubric!$B$14:$B$23,MATCH($B195,Rubric!$A$14:$A$23,0)),INDEX(Rubric!$B$14:$B$23,MATCH("other",Rubric!$A$14:$A$23,0))))</f>
        <v>5</v>
      </c>
      <c r="D195" s="25" t="n">
        <v>5</v>
      </c>
      <c r="E195" s="25" t="n">
        <v>4</v>
      </c>
      <c r="F195" s="25" t="n">
        <v>4</v>
      </c>
      <c r="G195" s="25" t="n">
        <v>5</v>
      </c>
      <c r="H195" s="25" t="s">
        <v>176</v>
      </c>
      <c r="I195" s="25" t="s">
        <v>176</v>
      </c>
      <c r="J195" s="26"/>
      <c r="K195" s="27"/>
      <c r="L195" s="25"/>
      <c r="M195" s="38" t="n">
        <f aca="false">IF($B195="","",IFERROR(INDEX(Rubric!$C$14:$C$23,MATCH($B195,Rubric!$A$14:$A$23,0)),INDEX(Rubric!$C$14:$C$23,MATCH("other",Rubric!$A$14:$A$23,0))))</f>
        <v>11</v>
      </c>
      <c r="N195" s="39" t="n">
        <f aca="false">IF(OR($A195="",$C195=""),"",$C195*Rubric!$B$5+$D195*Rubric!$B$6+$E195*Rubric!$B$7+$F195*Rubric!$B$8+$G195*Rubric!$B$9)</f>
        <v>4.62</v>
      </c>
      <c r="O195" s="40" t="str">
        <f aca="false">IF($A195="","",IF(OR(UPPER($H195)="Y",UPPER($I195)="Y"),"FAIL","PASS"))</f>
        <v>PASS</v>
      </c>
      <c r="P195" s="41" t="n">
        <f aca="false">IF($N195="","",Assumptions!$B$6*MAX(0.05,($N195/Assumptions!$B$11)^Assumptions!$B$12))</f>
        <v>0.0154</v>
      </c>
      <c r="Q195" s="41" t="n">
        <f aca="false">IF($P195="","",1-(1-$P195)^Assumptions!$B$7)</f>
        <v>0.0746646422818428</v>
      </c>
      <c r="R195" s="42" t="n">
        <f aca="false">IF($M195="","",$M195*Assumptions!$B$7)</f>
        <v>55</v>
      </c>
      <c r="S195" s="42" t="str">
        <f aca="false">IF(OR($J195="",$Q195="",$Q195=0),"",($J195+$R195)/($Q195*(1-Assumptions!$B$4)))</f>
        <v/>
      </c>
      <c r="T195" s="43" t="str">
        <f aca="false">IF(OR($K195="",$S195="",$S195=0),"",$K195/$S195)</f>
        <v/>
      </c>
      <c r="U195" s="44" t="str">
        <f aca="false">IF(OR($K195="",$Q195=""),"",MAX(0,($K195-MAX($K195*Assumptions!$B$4,Assumptions!$B$5))*$Q195-$R195))</f>
        <v/>
      </c>
      <c r="V195" s="40" t="str">
        <f aca="false">IF($A195="","",IF($O195="FAIL","REJECT",IF($J195="","NEEDS PRICE",IF(OR($K195="",$L195=""),"NEEDS VALUATION",IF($T195&gt;=Assumptions!$B$13,"BUY",IF($T195&gt;=1,"MARGINAL","PASS"))))))</f>
        <v>NEEDS PRICE</v>
      </c>
      <c r="W195" s="25" t="s">
        <v>395</v>
      </c>
      <c r="X195" s="35" t="s">
        <v>560</v>
      </c>
    </row>
    <row r="196" customFormat="false" ht="15" hidden="false" customHeight="false" outlineLevel="0" collapsed="false">
      <c r="A196" s="22" t="s">
        <v>561</v>
      </c>
      <c r="B196" s="36" t="str">
        <f aca="false">IF($A196="","",IF(ISERROR(FIND(".",$A196)),"",LOWER(MID($A196,FIND(CHAR(1),SUBSTITUTE($A196,".",CHAR(1),LEN($A196)-LEN(SUBSTITUTE($A196,".",""))))+1,LEN($A196)))))</f>
        <v>com</v>
      </c>
      <c r="C196" s="37" t="n">
        <f aca="false">IF($B196="","",IFERROR(INDEX(Rubric!$B$14:$B$23,MATCH($B196,Rubric!$A$14:$A$23,0)),INDEX(Rubric!$B$14:$B$23,MATCH("other",Rubric!$A$14:$A$23,0))))</f>
        <v>5</v>
      </c>
      <c r="D196" s="25" t="n">
        <v>4</v>
      </c>
      <c r="E196" s="25" t="n">
        <v>3</v>
      </c>
      <c r="F196" s="25" t="n">
        <v>5</v>
      </c>
      <c r="G196" s="25" t="n">
        <v>5</v>
      </c>
      <c r="H196" s="25" t="s">
        <v>176</v>
      </c>
      <c r="I196" s="25" t="s">
        <v>176</v>
      </c>
      <c r="J196" s="26"/>
      <c r="K196" s="27"/>
      <c r="L196" s="25"/>
      <c r="M196" s="38" t="n">
        <f aca="false">IF($B196="","",IFERROR(INDEX(Rubric!$C$14:$C$23,MATCH($B196,Rubric!$A$14:$A$23,0)),INDEX(Rubric!$C$14:$C$23,MATCH("other",Rubric!$A$14:$A$23,0))))</f>
        <v>11</v>
      </c>
      <c r="N196" s="39" t="n">
        <f aca="false">IF(OR($A196="",$C196=""),"",$C196*Rubric!$B$5+$D196*Rubric!$B$6+$E196*Rubric!$B$7+$F196*Rubric!$B$8+$G196*Rubric!$B$9)</f>
        <v>4.26</v>
      </c>
      <c r="O196" s="40" t="str">
        <f aca="false">IF($A196="","",IF(OR(UPPER($H196)="Y",UPPER($I196)="Y"),"FAIL","PASS"))</f>
        <v>PASS</v>
      </c>
      <c r="P196" s="41" t="n">
        <f aca="false">IF($N196="","",Assumptions!$B$6*MAX(0.05,($N196/Assumptions!$B$11)^Assumptions!$B$12))</f>
        <v>0.0142</v>
      </c>
      <c r="Q196" s="41" t="n">
        <f aca="false">IF($P196="","",1-(1-$P196)^Assumptions!$B$7)</f>
        <v>0.0690120301639053</v>
      </c>
      <c r="R196" s="42" t="n">
        <f aca="false">IF($M196="","",$M196*Assumptions!$B$7)</f>
        <v>55</v>
      </c>
      <c r="S196" s="42" t="str">
        <f aca="false">IF(OR($J196="",$Q196="",$Q196=0),"",($J196+$R196)/($Q196*(1-Assumptions!$B$4)))</f>
        <v/>
      </c>
      <c r="T196" s="43" t="str">
        <f aca="false">IF(OR($K196="",$S196="",$S196=0),"",$K196/$S196)</f>
        <v/>
      </c>
      <c r="U196" s="44" t="str">
        <f aca="false">IF(OR($K196="",$Q196=""),"",MAX(0,($K196-MAX($K196*Assumptions!$B$4,Assumptions!$B$5))*$Q196-$R196))</f>
        <v/>
      </c>
      <c r="V196" s="40" t="str">
        <f aca="false">IF($A196="","",IF($O196="FAIL","REJECT",IF($J196="","NEEDS PRICE",IF(OR($K196="",$L196=""),"NEEDS VALUATION",IF($T196&gt;=Assumptions!$B$13,"BUY",IF($T196&gt;=1,"MARGINAL","PASS"))))))</f>
        <v>NEEDS PRICE</v>
      </c>
      <c r="W196" s="25" t="s">
        <v>395</v>
      </c>
      <c r="X196" s="35" t="s">
        <v>562</v>
      </c>
    </row>
    <row r="197" customFormat="false" ht="23.85" hidden="false" customHeight="false" outlineLevel="0" collapsed="false">
      <c r="A197" s="22" t="s">
        <v>563</v>
      </c>
      <c r="B197" s="36" t="str">
        <f aca="false">IF($A197="","",IF(ISERROR(FIND(".",$A197)),"",LOWER(MID($A197,FIND(CHAR(1),SUBSTITUTE($A197,".",CHAR(1),LEN($A197)-LEN(SUBSTITUTE($A197,".",""))))+1,LEN($A197)))))</f>
        <v>com</v>
      </c>
      <c r="C197" s="37" t="n">
        <f aca="false">IF($B197="","",IFERROR(INDEX(Rubric!$B$14:$B$23,MATCH($B197,Rubric!$A$14:$A$23,0)),INDEX(Rubric!$B$14:$B$23,MATCH("other",Rubric!$A$14:$A$23,0))))</f>
        <v>5</v>
      </c>
      <c r="D197" s="25" t="n">
        <v>4</v>
      </c>
      <c r="E197" s="25" t="n">
        <v>3</v>
      </c>
      <c r="F197" s="25" t="n">
        <v>4</v>
      </c>
      <c r="G197" s="25" t="n">
        <v>5</v>
      </c>
      <c r="H197" s="25" t="s">
        <v>176</v>
      </c>
      <c r="I197" s="25" t="s">
        <v>176</v>
      </c>
      <c r="J197" s="26"/>
      <c r="K197" s="27"/>
      <c r="L197" s="25"/>
      <c r="M197" s="38" t="n">
        <f aca="false">IF($B197="","",IFERROR(INDEX(Rubric!$C$14:$C$23,MATCH($B197,Rubric!$A$14:$A$23,0)),INDEX(Rubric!$C$14:$C$23,MATCH("other",Rubric!$A$14:$A$23,0))))</f>
        <v>11</v>
      </c>
      <c r="N197" s="39" t="n">
        <f aca="false">IF(OR($A197="",$C197=""),"",$C197*Rubric!$B$5+$D197*Rubric!$B$6+$E197*Rubric!$B$7+$F197*Rubric!$B$8+$G197*Rubric!$B$9)</f>
        <v>4.1</v>
      </c>
      <c r="O197" s="40" t="str">
        <f aca="false">IF($A197="","",IF(OR(UPPER($H197)="Y",UPPER($I197)="Y"),"FAIL","PASS"))</f>
        <v>PASS</v>
      </c>
      <c r="P197" s="41" t="n">
        <f aca="false">IF($N197="","",Assumptions!$B$6*MAX(0.05,($N197/Assumptions!$B$11)^Assumptions!$B$12))</f>
        <v>0.0136666666666667</v>
      </c>
      <c r="Q197" s="41" t="n">
        <f aca="false">IF($P197="","",1-(1-$P197)^Assumptions!$B$7)</f>
        <v>0.0664909078989352</v>
      </c>
      <c r="R197" s="42" t="n">
        <f aca="false">IF($M197="","",$M197*Assumptions!$B$7)</f>
        <v>55</v>
      </c>
      <c r="S197" s="42" t="str">
        <f aca="false">IF(OR($J197="",$Q197="",$Q197=0),"",($J197+$R197)/($Q197*(1-Assumptions!$B$4)))</f>
        <v/>
      </c>
      <c r="T197" s="43" t="str">
        <f aca="false">IF(OR($K197="",$S197="",$S197=0),"",$K197/$S197)</f>
        <v/>
      </c>
      <c r="U197" s="44" t="str">
        <f aca="false">IF(OR($K197="",$Q197=""),"",MAX(0,($K197-MAX($K197*Assumptions!$B$4,Assumptions!$B$5))*$Q197-$R197))</f>
        <v/>
      </c>
      <c r="V197" s="40" t="str">
        <f aca="false">IF($A197="","",IF($O197="FAIL","REJECT",IF($J197="","NEEDS PRICE",IF(OR($K197="",$L197=""),"NEEDS VALUATION",IF($T197&gt;=Assumptions!$B$13,"BUY",IF($T197&gt;=1,"MARGINAL","PASS"))))))</f>
        <v>NEEDS PRICE</v>
      </c>
      <c r="W197" s="25" t="s">
        <v>395</v>
      </c>
      <c r="X197" s="35" t="s">
        <v>564</v>
      </c>
    </row>
    <row r="198" customFormat="false" ht="15" hidden="false" customHeight="false" outlineLevel="0" collapsed="false">
      <c r="A198" s="22" t="s">
        <v>565</v>
      </c>
      <c r="B198" s="36" t="str">
        <f aca="false">IF($A198="","",IF(ISERROR(FIND(".",$A198)),"",LOWER(MID($A198,FIND(CHAR(1),SUBSTITUTE($A198,".",CHAR(1),LEN($A198)-LEN(SUBSTITUTE($A198,".",""))))+1,LEN($A198)))))</f>
        <v>com</v>
      </c>
      <c r="C198" s="37" t="n">
        <f aca="false">IF($B198="","",IFERROR(INDEX(Rubric!$B$14:$B$23,MATCH($B198,Rubric!$A$14:$A$23,0)),INDEX(Rubric!$B$14:$B$23,MATCH("other",Rubric!$A$14:$A$23,0))))</f>
        <v>5</v>
      </c>
      <c r="D198" s="25" t="n">
        <v>4</v>
      </c>
      <c r="E198" s="25" t="n">
        <v>3</v>
      </c>
      <c r="F198" s="25" t="n">
        <v>4</v>
      </c>
      <c r="G198" s="25" t="n">
        <v>5</v>
      </c>
      <c r="H198" s="25" t="s">
        <v>176</v>
      </c>
      <c r="I198" s="25" t="s">
        <v>176</v>
      </c>
      <c r="J198" s="26"/>
      <c r="K198" s="27"/>
      <c r="L198" s="25"/>
      <c r="M198" s="38" t="n">
        <f aca="false">IF($B198="","",IFERROR(INDEX(Rubric!$C$14:$C$23,MATCH($B198,Rubric!$A$14:$A$23,0)),INDEX(Rubric!$C$14:$C$23,MATCH("other",Rubric!$A$14:$A$23,0))))</f>
        <v>11</v>
      </c>
      <c r="N198" s="39" t="n">
        <f aca="false">IF(OR($A198="",$C198=""),"",$C198*Rubric!$B$5+$D198*Rubric!$B$6+$E198*Rubric!$B$7+$F198*Rubric!$B$8+$G198*Rubric!$B$9)</f>
        <v>4.1</v>
      </c>
      <c r="O198" s="40" t="str">
        <f aca="false">IF($A198="","",IF(OR(UPPER($H198)="Y",UPPER($I198)="Y"),"FAIL","PASS"))</f>
        <v>PASS</v>
      </c>
      <c r="P198" s="41" t="n">
        <f aca="false">IF($N198="","",Assumptions!$B$6*MAX(0.05,($N198/Assumptions!$B$11)^Assumptions!$B$12))</f>
        <v>0.0136666666666667</v>
      </c>
      <c r="Q198" s="41" t="n">
        <f aca="false">IF($P198="","",1-(1-$P198)^Assumptions!$B$7)</f>
        <v>0.0664909078989352</v>
      </c>
      <c r="R198" s="42" t="n">
        <f aca="false">IF($M198="","",$M198*Assumptions!$B$7)</f>
        <v>55</v>
      </c>
      <c r="S198" s="42" t="str">
        <f aca="false">IF(OR($J198="",$Q198="",$Q198=0),"",($J198+$R198)/($Q198*(1-Assumptions!$B$4)))</f>
        <v/>
      </c>
      <c r="T198" s="43" t="str">
        <f aca="false">IF(OR($K198="",$S198="",$S198=0),"",$K198/$S198)</f>
        <v/>
      </c>
      <c r="U198" s="44" t="str">
        <f aca="false">IF(OR($K198="",$Q198=""),"",MAX(0,($K198-MAX($K198*Assumptions!$B$4,Assumptions!$B$5))*$Q198-$R198))</f>
        <v/>
      </c>
      <c r="V198" s="40" t="str">
        <f aca="false">IF($A198="","",IF($O198="FAIL","REJECT",IF($J198="","NEEDS PRICE",IF(OR($K198="",$L198=""),"NEEDS VALUATION",IF($T198&gt;=Assumptions!$B$13,"BUY",IF($T198&gt;=1,"MARGINAL","PASS"))))))</f>
        <v>NEEDS PRICE</v>
      </c>
      <c r="W198" s="25" t="s">
        <v>395</v>
      </c>
      <c r="X198" s="35" t="s">
        <v>566</v>
      </c>
    </row>
    <row r="199" customFormat="false" ht="15" hidden="false" customHeight="false" outlineLevel="0" collapsed="false">
      <c r="A199" s="22" t="s">
        <v>567</v>
      </c>
      <c r="B199" s="36" t="str">
        <f aca="false">IF($A199="","",IF(ISERROR(FIND(".",$A199)),"",LOWER(MID($A199,FIND(CHAR(1),SUBSTITUTE($A199,".",CHAR(1),LEN($A199)-LEN(SUBSTITUTE($A199,".",""))))+1,LEN($A199)))))</f>
        <v>com</v>
      </c>
      <c r="C199" s="37" t="n">
        <f aca="false">IF($B199="","",IFERROR(INDEX(Rubric!$B$14:$B$23,MATCH($B199,Rubric!$A$14:$A$23,0)),INDEX(Rubric!$B$14:$B$23,MATCH("other",Rubric!$A$14:$A$23,0))))</f>
        <v>5</v>
      </c>
      <c r="D199" s="25" t="n">
        <v>4</v>
      </c>
      <c r="E199" s="25" t="n">
        <v>3</v>
      </c>
      <c r="F199" s="25" t="n">
        <v>3</v>
      </c>
      <c r="G199" s="25" t="n">
        <v>5</v>
      </c>
      <c r="H199" s="25" t="s">
        <v>176</v>
      </c>
      <c r="I199" s="25" t="s">
        <v>176</v>
      </c>
      <c r="J199" s="26"/>
      <c r="K199" s="27"/>
      <c r="L199" s="25"/>
      <c r="M199" s="38" t="n">
        <f aca="false">IF($B199="","",IFERROR(INDEX(Rubric!$C$14:$C$23,MATCH($B199,Rubric!$A$14:$A$23,0)),INDEX(Rubric!$C$14:$C$23,MATCH("other",Rubric!$A$14:$A$23,0))))</f>
        <v>11</v>
      </c>
      <c r="N199" s="39" t="n">
        <f aca="false">IF(OR($A199="",$C199=""),"",$C199*Rubric!$B$5+$D199*Rubric!$B$6+$E199*Rubric!$B$7+$F199*Rubric!$B$8+$G199*Rubric!$B$9)</f>
        <v>3.94</v>
      </c>
      <c r="O199" s="40" t="str">
        <f aca="false">IF($A199="","",IF(OR(UPPER($H199)="Y",UPPER($I199)="Y"),"FAIL","PASS"))</f>
        <v>PASS</v>
      </c>
      <c r="P199" s="41" t="n">
        <f aca="false">IF($N199="","",Assumptions!$B$6*MAX(0.05,($N199/Assumptions!$B$11)^Assumptions!$B$12))</f>
        <v>0.0131333333333333</v>
      </c>
      <c r="Q199" s="41" t="n">
        <f aca="false">IF($P199="","",1-(1-$P199)^Assumptions!$B$7)</f>
        <v>0.0639643268155696</v>
      </c>
      <c r="R199" s="42" t="n">
        <f aca="false">IF($M199="","",$M199*Assumptions!$B$7)</f>
        <v>55</v>
      </c>
      <c r="S199" s="42" t="str">
        <f aca="false">IF(OR($J199="",$Q199="",$Q199=0),"",($J199+$R199)/($Q199*(1-Assumptions!$B$4)))</f>
        <v/>
      </c>
      <c r="T199" s="43" t="str">
        <f aca="false">IF(OR($K199="",$S199="",$S199=0),"",$K199/$S199)</f>
        <v/>
      </c>
      <c r="U199" s="44" t="str">
        <f aca="false">IF(OR($K199="",$Q199=""),"",MAX(0,($K199-MAX($K199*Assumptions!$B$4,Assumptions!$B$5))*$Q199-$R199))</f>
        <v/>
      </c>
      <c r="V199" s="40" t="str">
        <f aca="false">IF($A199="","",IF($O199="FAIL","REJECT",IF($J199="","NEEDS PRICE",IF(OR($K199="",$L199=""),"NEEDS VALUATION",IF($T199&gt;=Assumptions!$B$13,"BUY",IF($T199&gt;=1,"MARGINAL","PASS"))))))</f>
        <v>NEEDS PRICE</v>
      </c>
      <c r="W199" s="25" t="s">
        <v>395</v>
      </c>
      <c r="X199" s="35" t="s">
        <v>568</v>
      </c>
    </row>
    <row r="200" customFormat="false" ht="15" hidden="false" customHeight="false" outlineLevel="0" collapsed="false">
      <c r="A200" s="22" t="s">
        <v>569</v>
      </c>
      <c r="B200" s="36" t="str">
        <f aca="false">IF($A200="","",IF(ISERROR(FIND(".",$A200)),"",LOWER(MID($A200,FIND(CHAR(1),SUBSTITUTE($A200,".",CHAR(1),LEN($A200)-LEN(SUBSTITUTE($A200,".",""))))+1,LEN($A200)))))</f>
        <v>com</v>
      </c>
      <c r="C200" s="37" t="n">
        <f aca="false">IF($B200="","",IFERROR(INDEX(Rubric!$B$14:$B$23,MATCH($B200,Rubric!$A$14:$A$23,0)),INDEX(Rubric!$B$14:$B$23,MATCH("other",Rubric!$A$14:$A$23,0))))</f>
        <v>5</v>
      </c>
      <c r="D200" s="25" t="n">
        <v>3</v>
      </c>
      <c r="E200" s="25" t="n">
        <v>2</v>
      </c>
      <c r="F200" s="25" t="n">
        <v>4</v>
      </c>
      <c r="G200" s="25" t="n">
        <v>4</v>
      </c>
      <c r="H200" s="25" t="s">
        <v>176</v>
      </c>
      <c r="I200" s="25" t="s">
        <v>176</v>
      </c>
      <c r="J200" s="26"/>
      <c r="K200" s="27"/>
      <c r="L200" s="25"/>
      <c r="M200" s="38" t="n">
        <f aca="false">IF($B200="","",IFERROR(INDEX(Rubric!$C$14:$C$23,MATCH($B200,Rubric!$A$14:$A$23,0)),INDEX(Rubric!$C$14:$C$23,MATCH("other",Rubric!$A$14:$A$23,0))))</f>
        <v>11</v>
      </c>
      <c r="N200" s="39" t="n">
        <f aca="false">IF(OR($A200="",$C200=""),"",$C200*Rubric!$B$5+$D200*Rubric!$B$6+$E200*Rubric!$B$7+$F200*Rubric!$B$8+$G200*Rubric!$B$9)</f>
        <v>3.48</v>
      </c>
      <c r="O200" s="40" t="str">
        <f aca="false">IF($A200="","",IF(OR(UPPER($H200)="Y",UPPER($I200)="Y"),"FAIL","PASS"))</f>
        <v>PASS</v>
      </c>
      <c r="P200" s="41" t="n">
        <f aca="false">IF($N200="","",Assumptions!$B$6*MAX(0.05,($N200/Assumptions!$B$11)^Assumptions!$B$12))</f>
        <v>0.0116</v>
      </c>
      <c r="Q200" s="41" t="n">
        <f aca="false">IF($P200="","",1-(1-$P200)^Assumptions!$B$7)</f>
        <v>0.0566699186380665</v>
      </c>
      <c r="R200" s="42" t="n">
        <f aca="false">IF($M200="","",$M200*Assumptions!$B$7)</f>
        <v>55</v>
      </c>
      <c r="S200" s="42" t="str">
        <f aca="false">IF(OR($J200="",$Q200="",$Q200=0),"",($J200+$R200)/($Q200*(1-Assumptions!$B$4)))</f>
        <v/>
      </c>
      <c r="T200" s="43" t="str">
        <f aca="false">IF(OR($K200="",$S200="",$S200=0),"",$K200/$S200)</f>
        <v/>
      </c>
      <c r="U200" s="44" t="str">
        <f aca="false">IF(OR($K200="",$Q200=""),"",MAX(0,($K200-MAX($K200*Assumptions!$B$4,Assumptions!$B$5))*$Q200-$R200))</f>
        <v/>
      </c>
      <c r="V200" s="40" t="str">
        <f aca="false">IF($A200="","",IF($O200="FAIL","REJECT",IF($J200="","NEEDS PRICE",IF(OR($K200="",$L200=""),"NEEDS VALUATION",IF($T200&gt;=Assumptions!$B$13,"BUY",IF($T200&gt;=1,"MARGINAL","PASS"))))))</f>
        <v>NEEDS PRICE</v>
      </c>
      <c r="W200" s="25" t="s">
        <v>395</v>
      </c>
      <c r="X200" s="35" t="s">
        <v>570</v>
      </c>
    </row>
    <row r="201" customFormat="false" ht="23.85" hidden="false" customHeight="false" outlineLevel="0" collapsed="false">
      <c r="A201" s="22" t="s">
        <v>571</v>
      </c>
      <c r="B201" s="36" t="str">
        <f aca="false">IF($A201="","",IF(ISERROR(FIND(".",$A201)),"",LOWER(MID($A201,FIND(CHAR(1),SUBSTITUTE($A201,".",CHAR(1),LEN($A201)-LEN(SUBSTITUTE($A201,".",""))))+1,LEN($A201)))))</f>
        <v>com</v>
      </c>
      <c r="C201" s="37" t="n">
        <f aca="false">IF($B201="","",IFERROR(INDEX(Rubric!$B$14:$B$23,MATCH($B201,Rubric!$A$14:$A$23,0)),INDEX(Rubric!$B$14:$B$23,MATCH("other",Rubric!$A$14:$A$23,0))))</f>
        <v>5</v>
      </c>
      <c r="D201" s="25" t="n">
        <v>5</v>
      </c>
      <c r="E201" s="25" t="n">
        <v>3</v>
      </c>
      <c r="F201" s="25" t="n">
        <v>4</v>
      </c>
      <c r="G201" s="25" t="n">
        <v>5</v>
      </c>
      <c r="H201" s="25" t="s">
        <v>176</v>
      </c>
      <c r="I201" s="25" t="s">
        <v>176</v>
      </c>
      <c r="J201" s="26"/>
      <c r="K201" s="27"/>
      <c r="L201" s="25"/>
      <c r="M201" s="38" t="n">
        <f aca="false">IF($B201="","",IFERROR(INDEX(Rubric!$C$14:$C$23,MATCH($B201,Rubric!$A$14:$A$23,0)),INDEX(Rubric!$C$14:$C$23,MATCH("other",Rubric!$A$14:$A$23,0))))</f>
        <v>11</v>
      </c>
      <c r="N201" s="39" t="n">
        <f aca="false">IF(OR($A201="",$C201=""),"",$C201*Rubric!$B$5+$D201*Rubric!$B$6+$E201*Rubric!$B$7+$F201*Rubric!$B$8+$G201*Rubric!$B$9)</f>
        <v>4.4</v>
      </c>
      <c r="O201" s="40" t="str">
        <f aca="false">IF($A201="","",IF(OR(UPPER($H201)="Y",UPPER($I201)="Y"),"FAIL","PASS"))</f>
        <v>PASS</v>
      </c>
      <c r="P201" s="41" t="n">
        <f aca="false">IF($N201="","",Assumptions!$B$6*MAX(0.05,($N201/Assumptions!$B$11)^Assumptions!$B$12))</f>
        <v>0.0146666666666667</v>
      </c>
      <c r="Q201" s="41" t="n">
        <f aca="false">IF($P201="","",1-(1-$P201)^Assumptions!$B$7)</f>
        <v>0.0712135411665691</v>
      </c>
      <c r="R201" s="42" t="n">
        <f aca="false">IF($M201="","",$M201*Assumptions!$B$7)</f>
        <v>55</v>
      </c>
      <c r="S201" s="42" t="str">
        <f aca="false">IF(OR($J201="",$Q201="",$Q201=0),"",($J201+$R201)/($Q201*(1-Assumptions!$B$4)))</f>
        <v/>
      </c>
      <c r="T201" s="43" t="str">
        <f aca="false">IF(OR($K201="",$S201="",$S201=0),"",$K201/$S201)</f>
        <v/>
      </c>
      <c r="U201" s="44" t="str">
        <f aca="false">IF(OR($K201="",$Q201=""),"",MAX(0,($K201-MAX($K201*Assumptions!$B$4,Assumptions!$B$5))*$Q201-$R201))</f>
        <v/>
      </c>
      <c r="V201" s="40" t="str">
        <f aca="false">IF($A201="","",IF($O201="FAIL","REJECT",IF($J201="","NEEDS PRICE",IF(OR($K201="",$L201=""),"NEEDS VALUATION",IF($T201&gt;=Assumptions!$B$13,"BUY",IF($T201&gt;=1,"MARGINAL","PASS"))))))</f>
        <v>NEEDS PRICE</v>
      </c>
      <c r="W201" s="25" t="s">
        <v>395</v>
      </c>
      <c r="X201" s="35" t="s">
        <v>572</v>
      </c>
    </row>
    <row r="202" customFormat="false" ht="23.85" hidden="false" customHeight="false" outlineLevel="0" collapsed="false">
      <c r="A202" s="22" t="s">
        <v>573</v>
      </c>
      <c r="B202" s="36" t="str">
        <f aca="false">IF($A202="","",IF(ISERROR(FIND(".",$A202)),"",LOWER(MID($A202,FIND(CHAR(1),SUBSTITUTE($A202,".",CHAR(1),LEN($A202)-LEN(SUBSTITUTE($A202,".",""))))+1,LEN($A202)))))</f>
        <v>com</v>
      </c>
      <c r="C202" s="37" t="n">
        <f aca="false">IF($B202="","",IFERROR(INDEX(Rubric!$B$14:$B$23,MATCH($B202,Rubric!$A$14:$A$23,0)),INDEX(Rubric!$B$14:$B$23,MATCH("other",Rubric!$A$14:$A$23,0))))</f>
        <v>5</v>
      </c>
      <c r="D202" s="25" t="n">
        <v>4</v>
      </c>
      <c r="E202" s="25" t="n">
        <v>3</v>
      </c>
      <c r="F202" s="25" t="n">
        <v>5</v>
      </c>
      <c r="G202" s="25" t="n">
        <v>4</v>
      </c>
      <c r="H202" s="25" t="s">
        <v>176</v>
      </c>
      <c r="I202" s="25" t="s">
        <v>176</v>
      </c>
      <c r="J202" s="26"/>
      <c r="K202" s="27"/>
      <c r="L202" s="25"/>
      <c r="M202" s="38" t="n">
        <f aca="false">IF($B202="","",IFERROR(INDEX(Rubric!$C$14:$C$23,MATCH($B202,Rubric!$A$14:$A$23,0)),INDEX(Rubric!$C$14:$C$23,MATCH("other",Rubric!$A$14:$A$23,0))))</f>
        <v>11</v>
      </c>
      <c r="N202" s="39" t="n">
        <f aca="false">IF(OR($A202="",$C202=""),"",$C202*Rubric!$B$5+$D202*Rubric!$B$6+$E202*Rubric!$B$7+$F202*Rubric!$B$8+$G202*Rubric!$B$9)</f>
        <v>4.16</v>
      </c>
      <c r="O202" s="40" t="str">
        <f aca="false">IF($A202="","",IF(OR(UPPER($H202)="Y",UPPER($I202)="Y"),"FAIL","PASS"))</f>
        <v>PASS</v>
      </c>
      <c r="P202" s="41" t="n">
        <f aca="false">IF($N202="","",Assumptions!$B$6*MAX(0.05,($N202/Assumptions!$B$11)^Assumptions!$B$12))</f>
        <v>0.0138666666666667</v>
      </c>
      <c r="Q202" s="41" t="n">
        <f aca="false">IF($P202="","",1-(1-$P202)^Assumptions!$B$7)</f>
        <v>0.0674369679780107</v>
      </c>
      <c r="R202" s="42" t="n">
        <f aca="false">IF($M202="","",$M202*Assumptions!$B$7)</f>
        <v>55</v>
      </c>
      <c r="S202" s="42" t="str">
        <f aca="false">IF(OR($J202="",$Q202="",$Q202=0),"",($J202+$R202)/($Q202*(1-Assumptions!$B$4)))</f>
        <v/>
      </c>
      <c r="T202" s="43" t="str">
        <f aca="false">IF(OR($K202="",$S202="",$S202=0),"",$K202/$S202)</f>
        <v/>
      </c>
      <c r="U202" s="44" t="str">
        <f aca="false">IF(OR($K202="",$Q202=""),"",MAX(0,($K202-MAX($K202*Assumptions!$B$4,Assumptions!$B$5))*$Q202-$R202))</f>
        <v/>
      </c>
      <c r="V202" s="40" t="str">
        <f aca="false">IF($A202="","",IF($O202="FAIL","REJECT",IF($J202="","NEEDS PRICE",IF(OR($K202="",$L202=""),"NEEDS VALUATION",IF($T202&gt;=Assumptions!$B$13,"BUY",IF($T202&gt;=1,"MARGINAL","PASS"))))))</f>
        <v>NEEDS PRICE</v>
      </c>
      <c r="W202" s="25" t="s">
        <v>395</v>
      </c>
      <c r="X202" s="35" t="s">
        <v>574</v>
      </c>
    </row>
    <row r="203" customFormat="false" ht="15" hidden="false" customHeight="false" outlineLevel="0" collapsed="false">
      <c r="A203" s="22" t="s">
        <v>575</v>
      </c>
      <c r="B203" s="36" t="str">
        <f aca="false">IF($A203="","",IF(ISERROR(FIND(".",$A203)),"",LOWER(MID($A203,FIND(CHAR(1),SUBSTITUTE($A203,".",CHAR(1),LEN($A203)-LEN(SUBSTITUTE($A203,".",""))))+1,LEN($A203)))))</f>
        <v>com</v>
      </c>
      <c r="C203" s="37" t="n">
        <f aca="false">IF($B203="","",IFERROR(INDEX(Rubric!$B$14:$B$23,MATCH($B203,Rubric!$A$14:$A$23,0)),INDEX(Rubric!$B$14:$B$23,MATCH("other",Rubric!$A$14:$A$23,0))))</f>
        <v>5</v>
      </c>
      <c r="D203" s="25" t="n">
        <v>4</v>
      </c>
      <c r="E203" s="25" t="n">
        <v>3</v>
      </c>
      <c r="F203" s="25" t="n">
        <v>2</v>
      </c>
      <c r="G203" s="25" t="n">
        <v>4</v>
      </c>
      <c r="H203" s="25" t="s">
        <v>176</v>
      </c>
      <c r="I203" s="25" t="s">
        <v>176</v>
      </c>
      <c r="J203" s="26"/>
      <c r="K203" s="27"/>
      <c r="L203" s="25"/>
      <c r="M203" s="38" t="n">
        <f aca="false">IF($B203="","",IFERROR(INDEX(Rubric!$C$14:$C$23,MATCH($B203,Rubric!$A$14:$A$23,0)),INDEX(Rubric!$C$14:$C$23,MATCH("other",Rubric!$A$14:$A$23,0))))</f>
        <v>11</v>
      </c>
      <c r="N203" s="39" t="n">
        <f aca="false">IF(OR($A203="",$C203=""),"",$C203*Rubric!$B$5+$D203*Rubric!$B$6+$E203*Rubric!$B$7+$F203*Rubric!$B$8+$G203*Rubric!$B$9)</f>
        <v>3.68</v>
      </c>
      <c r="O203" s="40" t="str">
        <f aca="false">IF($A203="","",IF(OR(UPPER($H203)="Y",UPPER($I203)="Y"),"FAIL","PASS"))</f>
        <v>PASS</v>
      </c>
      <c r="P203" s="41" t="n">
        <f aca="false">IF($N203="","",Assumptions!$B$6*MAX(0.05,($N203/Assumptions!$B$11)^Assumptions!$B$12))</f>
        <v>0.0122666666666667</v>
      </c>
      <c r="Q203" s="41" t="n">
        <f aca="false">IF($P203="","",1-(1-$P203)^Assumptions!$B$7)</f>
        <v>0.0598469670818118</v>
      </c>
      <c r="R203" s="42" t="n">
        <f aca="false">IF($M203="","",$M203*Assumptions!$B$7)</f>
        <v>55</v>
      </c>
      <c r="S203" s="42" t="str">
        <f aca="false">IF(OR($J203="",$Q203="",$Q203=0),"",($J203+$R203)/($Q203*(1-Assumptions!$B$4)))</f>
        <v/>
      </c>
      <c r="T203" s="43" t="str">
        <f aca="false">IF(OR($K203="",$S203="",$S203=0),"",$K203/$S203)</f>
        <v/>
      </c>
      <c r="U203" s="44" t="str">
        <f aca="false">IF(OR($K203="",$Q203=""),"",MAX(0,($K203-MAX($K203*Assumptions!$B$4,Assumptions!$B$5))*$Q203-$R203))</f>
        <v/>
      </c>
      <c r="V203" s="40" t="str">
        <f aca="false">IF($A203="","",IF($O203="FAIL","REJECT",IF($J203="","NEEDS PRICE",IF(OR($K203="",$L203=""),"NEEDS VALUATION",IF($T203&gt;=Assumptions!$B$13,"BUY",IF($T203&gt;=1,"MARGINAL","PASS"))))))</f>
        <v>NEEDS PRICE</v>
      </c>
      <c r="W203" s="25" t="s">
        <v>395</v>
      </c>
      <c r="X203" s="35" t="s">
        <v>576</v>
      </c>
    </row>
    <row r="204" customFormat="false" ht="23.85" hidden="false" customHeight="false" outlineLevel="0" collapsed="false">
      <c r="A204" s="22" t="s">
        <v>577</v>
      </c>
      <c r="B204" s="36" t="str">
        <f aca="false">IF($A204="","",IF(ISERROR(FIND(".",$A204)),"",LOWER(MID($A204,FIND(CHAR(1),SUBSTITUTE($A204,".",CHAR(1),LEN($A204)-LEN(SUBSTITUTE($A204,".",""))))+1,LEN($A204)))))</f>
        <v>com</v>
      </c>
      <c r="C204" s="37" t="n">
        <f aca="false">IF($B204="","",IFERROR(INDEX(Rubric!$B$14:$B$23,MATCH($B204,Rubric!$A$14:$A$23,0)),INDEX(Rubric!$B$14:$B$23,MATCH("other",Rubric!$A$14:$A$23,0))))</f>
        <v>5</v>
      </c>
      <c r="D204" s="25" t="n">
        <v>4</v>
      </c>
      <c r="E204" s="25" t="n">
        <v>3</v>
      </c>
      <c r="F204" s="25" t="n">
        <v>3</v>
      </c>
      <c r="G204" s="25" t="n">
        <v>5</v>
      </c>
      <c r="H204" s="25" t="s">
        <v>176</v>
      </c>
      <c r="I204" s="25" t="s">
        <v>176</v>
      </c>
      <c r="J204" s="26"/>
      <c r="K204" s="27"/>
      <c r="L204" s="25"/>
      <c r="M204" s="38" t="n">
        <f aca="false">IF($B204="","",IFERROR(INDEX(Rubric!$C$14:$C$23,MATCH($B204,Rubric!$A$14:$A$23,0)),INDEX(Rubric!$C$14:$C$23,MATCH("other",Rubric!$A$14:$A$23,0))))</f>
        <v>11</v>
      </c>
      <c r="N204" s="39" t="n">
        <f aca="false">IF(OR($A204="",$C204=""),"",$C204*Rubric!$B$5+$D204*Rubric!$B$6+$E204*Rubric!$B$7+$F204*Rubric!$B$8+$G204*Rubric!$B$9)</f>
        <v>3.94</v>
      </c>
      <c r="O204" s="40" t="str">
        <f aca="false">IF($A204="","",IF(OR(UPPER($H204)="Y",UPPER($I204)="Y"),"FAIL","PASS"))</f>
        <v>PASS</v>
      </c>
      <c r="P204" s="41" t="n">
        <f aca="false">IF($N204="","",Assumptions!$B$6*MAX(0.05,($N204/Assumptions!$B$11)^Assumptions!$B$12))</f>
        <v>0.0131333333333333</v>
      </c>
      <c r="Q204" s="41" t="n">
        <f aca="false">IF($P204="","",1-(1-$P204)^Assumptions!$B$7)</f>
        <v>0.0639643268155696</v>
      </c>
      <c r="R204" s="42" t="n">
        <f aca="false">IF($M204="","",$M204*Assumptions!$B$7)</f>
        <v>55</v>
      </c>
      <c r="S204" s="42" t="str">
        <f aca="false">IF(OR($J204="",$Q204="",$Q204=0),"",($J204+$R204)/($Q204*(1-Assumptions!$B$4)))</f>
        <v/>
      </c>
      <c r="T204" s="43" t="str">
        <f aca="false">IF(OR($K204="",$S204="",$S204=0),"",$K204/$S204)</f>
        <v/>
      </c>
      <c r="U204" s="44" t="str">
        <f aca="false">IF(OR($K204="",$Q204=""),"",MAX(0,($K204-MAX($K204*Assumptions!$B$4,Assumptions!$B$5))*$Q204-$R204))</f>
        <v/>
      </c>
      <c r="V204" s="40" t="str">
        <f aca="false">IF($A204="","",IF($O204="FAIL","REJECT",IF($J204="","NEEDS PRICE",IF(OR($K204="",$L204=""),"NEEDS VALUATION",IF($T204&gt;=Assumptions!$B$13,"BUY",IF($T204&gt;=1,"MARGINAL","PASS"))))))</f>
        <v>NEEDS PRICE</v>
      </c>
      <c r="W204" s="25" t="s">
        <v>395</v>
      </c>
      <c r="X204" s="35" t="s">
        <v>578</v>
      </c>
    </row>
  </sheetData>
  <autoFilter ref="A4:X204"/>
  <mergeCells count="1">
    <mergeCell ref="A1: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3" topLeftCell="B44" activePane="bottomRight" state="frozen"/>
      <selection pane="topLeft" activeCell="A1" activeCellId="0" sqref="A1"/>
      <selection pane="topRight" activeCell="B1" activeCellId="0" sqref="B1"/>
      <selection pane="bottomLeft" activeCell="A44" activeCellId="0" sqref="A4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7"/>
    <col collapsed="false" customWidth="true" hidden="false" outlineLevel="0" max="3" min="3" style="0" width="8"/>
    <col collapsed="false" customWidth="true" hidden="false" outlineLevel="0" max="4" min="4" style="0" width="11"/>
    <col collapsed="false" customWidth="true" hidden="false" outlineLevel="0" max="6" min="5" style="0" width="10"/>
    <col collapsed="false" customWidth="true" hidden="false" outlineLevel="0" max="8" min="7" style="0" width="11"/>
    <col collapsed="false" customWidth="true" hidden="false" outlineLevel="0" max="9" min="9" style="0" width="9"/>
    <col collapsed="false" customWidth="true" hidden="false" outlineLevel="0" max="11" min="10" style="0" width="8"/>
    <col collapsed="false" customWidth="true" hidden="false" outlineLevel="0" max="12" min="12" style="0" width="11"/>
    <col collapsed="false" customWidth="true" hidden="false" outlineLevel="0" max="13" min="13" style="0" width="10"/>
    <col collapsed="false" customWidth="true" hidden="false" outlineLevel="0" max="14" min="14" style="0" width="9"/>
    <col collapsed="false" customWidth="true" hidden="false" outlineLevel="0" max="15" min="15" style="0" width="10"/>
    <col collapsed="false" customWidth="true" hidden="false" outlineLevel="0" max="16" min="16" style="0" width="9"/>
    <col collapsed="false" customWidth="true" hidden="false" outlineLevel="0" max="17" min="17" style="0" width="10"/>
    <col collapsed="false" customWidth="true" hidden="false" outlineLevel="0" max="18" min="18" style="0" width="11"/>
    <col collapsed="false" customWidth="true" hidden="false" outlineLevel="0" max="21" min="19" style="0" width="10"/>
    <col collapsed="false" customWidth="true" hidden="false" outlineLevel="0" max="22" min="22" style="0" width="11"/>
    <col collapsed="false" customWidth="true" hidden="false" outlineLevel="0" max="23" min="23" style="0" width="12"/>
    <col collapsed="false" customWidth="true" hidden="false" outlineLevel="0" max="24" min="24" style="0" width="22"/>
    <col collapsed="false" customWidth="true" hidden="false" outlineLevel="0" max="25" min="25" style="0" width="13"/>
    <col collapsed="false" customWidth="true" hidden="false" outlineLevel="0" max="26" min="26" style="0" width="12"/>
    <col collapsed="false" customWidth="true" hidden="false" outlineLevel="0" max="27" min="27" style="0" width="11"/>
    <col collapsed="false" customWidth="true" hidden="false" outlineLevel="0" max="28" min="28" style="0" width="16"/>
    <col collapsed="false" customWidth="true" hidden="false" outlineLevel="0" max="29" min="29" style="0" width="11"/>
    <col collapsed="false" customWidth="true" hidden="false" outlineLevel="0" max="30" min="30" style="0" width="14"/>
    <col collapsed="false" customWidth="true" hidden="false" outlineLevel="0" max="31" min="31" style="0" width="13"/>
    <col collapsed="false" customWidth="true" hidden="false" outlineLevel="0" max="32" min="32" style="0" width="17"/>
    <col collapsed="false" customWidth="true" hidden="false" outlineLevel="0" max="33" min="33" style="0" width="34"/>
    <col collapsed="false" customWidth="true" hidden="false" outlineLevel="0" max="34" min="34" style="0" width="40"/>
  </cols>
  <sheetData>
    <row r="1" customFormat="false" ht="24" hidden="false" customHeight="true" outlineLevel="0" collapsed="false">
      <c r="A1" s="1" t="s">
        <v>579</v>
      </c>
      <c r="B1" s="1"/>
      <c r="C1" s="1"/>
      <c r="D1" s="1"/>
      <c r="E1" s="1"/>
      <c r="F1" s="1"/>
      <c r="G1" s="1"/>
      <c r="H1" s="1"/>
      <c r="I1" s="1"/>
      <c r="J1" s="1"/>
    </row>
    <row r="2" customFormat="false" ht="27.75" hidden="false" customHeight="true" outlineLevel="0" collapsed="false">
      <c r="A2" s="46" t="s">
        <v>580</v>
      </c>
      <c r="B2" s="46"/>
      <c r="C2" s="46"/>
      <c r="D2" s="46"/>
      <c r="E2" s="46"/>
      <c r="F2" s="46"/>
      <c r="G2" s="46"/>
      <c r="H2" s="46"/>
      <c r="I2" s="46"/>
      <c r="J2" s="46"/>
    </row>
    <row r="4" customFormat="false" ht="15" hidden="false" customHeight="false" outlineLevel="0" collapsed="false">
      <c r="A4" s="47" t="s">
        <v>581</v>
      </c>
      <c r="B4" s="48"/>
      <c r="C4" s="48"/>
      <c r="D4" s="48"/>
      <c r="E4" s="48"/>
      <c r="F4" s="48"/>
    </row>
    <row r="5" customFormat="false" ht="15" hidden="false" customHeight="false" outlineLevel="0" collapsed="false">
      <c r="A5" s="49" t="s">
        <v>582</v>
      </c>
    </row>
    <row r="6" customFormat="false" ht="15" hidden="false" customHeight="false" outlineLevel="0" collapsed="false">
      <c r="A6" s="50" t="s">
        <v>81</v>
      </c>
      <c r="B6" s="9" t="n">
        <v>0.25</v>
      </c>
    </row>
    <row r="7" customFormat="false" ht="15" hidden="false" customHeight="false" outlineLevel="0" collapsed="false">
      <c r="A7" s="50" t="s">
        <v>85</v>
      </c>
      <c r="B7" s="9" t="n">
        <v>0.4</v>
      </c>
    </row>
    <row r="8" customFormat="false" ht="15" hidden="false" customHeight="false" outlineLevel="0" collapsed="false">
      <c r="A8" s="50" t="s">
        <v>93</v>
      </c>
      <c r="B8" s="9" t="n">
        <v>0.2</v>
      </c>
    </row>
    <row r="9" customFormat="false" ht="15" hidden="false" customHeight="false" outlineLevel="0" collapsed="false">
      <c r="A9" s="50" t="s">
        <v>97</v>
      </c>
      <c r="B9" s="9" t="n">
        <v>0.15</v>
      </c>
    </row>
    <row r="10" customFormat="false" ht="15" hidden="false" customHeight="false" outlineLevel="0" collapsed="false">
      <c r="A10" s="51" t="s">
        <v>583</v>
      </c>
      <c r="B10" s="52" t="n">
        <f aca="false">SUM(B6:B9)</f>
        <v>1</v>
      </c>
      <c r="C10" s="51" t="str">
        <f aca="false">IF(ABS(B10-1)&lt;0.0001,"OK","ERROR - must total 100%")</f>
        <v>OK</v>
      </c>
    </row>
    <row r="12" customFormat="false" ht="15" hidden="false" customHeight="false" outlineLevel="0" collapsed="false">
      <c r="A12" s="49" t="s">
        <v>584</v>
      </c>
    </row>
    <row r="13" customFormat="false" ht="15" hidden="false" customHeight="false" outlineLevel="0" collapsed="false">
      <c r="A13" s="50" t="s">
        <v>585</v>
      </c>
      <c r="B13" s="9" t="n">
        <v>0.25</v>
      </c>
    </row>
    <row r="14" customFormat="false" ht="15" hidden="false" customHeight="false" outlineLevel="0" collapsed="false">
      <c r="A14" s="50" t="s">
        <v>586</v>
      </c>
      <c r="B14" s="9" t="n">
        <v>0.35</v>
      </c>
    </row>
    <row r="15" customFormat="false" ht="15" hidden="false" customHeight="false" outlineLevel="0" collapsed="false">
      <c r="A15" s="50" t="s">
        <v>587</v>
      </c>
      <c r="B15" s="9" t="n">
        <v>0.25</v>
      </c>
    </row>
    <row r="16" customFormat="false" ht="15" hidden="false" customHeight="false" outlineLevel="0" collapsed="false">
      <c r="A16" s="50" t="s">
        <v>588</v>
      </c>
      <c r="B16" s="9" t="n">
        <v>0.15</v>
      </c>
    </row>
    <row r="17" customFormat="false" ht="15" hidden="false" customHeight="false" outlineLevel="0" collapsed="false">
      <c r="A17" s="51" t="s">
        <v>583</v>
      </c>
      <c r="B17" s="52" t="n">
        <f aca="false">SUM(B13:B16)</f>
        <v>1</v>
      </c>
      <c r="C17" s="51" t="str">
        <f aca="false">IF(ABS(B17-1)&lt;0.0001,"OK","ERROR - must total 100%")</f>
        <v>OK</v>
      </c>
    </row>
    <row r="19" customFormat="false" ht="22.35" hidden="false" customHeight="true" outlineLevel="0" collapsed="false">
      <c r="A19" s="50" t="s">
        <v>589</v>
      </c>
      <c r="B19" s="9" t="n">
        <v>0.6</v>
      </c>
      <c r="C19" s="53" t="s">
        <v>590</v>
      </c>
      <c r="D19" s="53"/>
      <c r="E19" s="53"/>
      <c r="F19" s="53"/>
      <c r="G19" s="53"/>
      <c r="H19" s="53"/>
    </row>
    <row r="21" customFormat="false" ht="15" hidden="false" customHeight="false" outlineLevel="0" collapsed="false">
      <c r="A21" s="47" t="s">
        <v>591</v>
      </c>
      <c r="B21" s="48"/>
      <c r="C21" s="48"/>
      <c r="D21" s="48"/>
      <c r="E21" s="48"/>
      <c r="F21" s="48"/>
    </row>
    <row r="22" customFormat="false" ht="27.75" hidden="false" customHeight="true" outlineLevel="0" collapsed="false">
      <c r="A22" s="51" t="s">
        <v>585</v>
      </c>
      <c r="B22" s="53" t="s">
        <v>592</v>
      </c>
      <c r="C22" s="53"/>
      <c r="D22" s="53"/>
      <c r="E22" s="53"/>
      <c r="F22" s="53"/>
      <c r="G22" s="53"/>
      <c r="H22" s="53"/>
      <c r="I22" s="53"/>
      <c r="J22" s="53"/>
    </row>
    <row r="23" customFormat="false" ht="27.75" hidden="false" customHeight="true" outlineLevel="0" collapsed="false">
      <c r="A23" s="51" t="s">
        <v>586</v>
      </c>
      <c r="B23" s="53" t="s">
        <v>593</v>
      </c>
      <c r="C23" s="53"/>
      <c r="D23" s="53"/>
      <c r="E23" s="53"/>
      <c r="F23" s="53"/>
      <c r="G23" s="53"/>
      <c r="H23" s="53"/>
      <c r="I23" s="53"/>
      <c r="J23" s="53"/>
    </row>
    <row r="24" customFormat="false" ht="27.75" hidden="false" customHeight="true" outlineLevel="0" collapsed="false">
      <c r="A24" s="51" t="s">
        <v>587</v>
      </c>
      <c r="B24" s="53" t="s">
        <v>594</v>
      </c>
      <c r="C24" s="53"/>
      <c r="D24" s="53"/>
      <c r="E24" s="53"/>
      <c r="F24" s="53"/>
      <c r="G24" s="53"/>
      <c r="H24" s="53"/>
      <c r="I24" s="53"/>
      <c r="J24" s="53"/>
    </row>
    <row r="25" customFormat="false" ht="27.75" hidden="false" customHeight="true" outlineLevel="0" collapsed="false">
      <c r="A25" s="51" t="s">
        <v>588</v>
      </c>
      <c r="B25" s="53" t="s">
        <v>595</v>
      </c>
      <c r="C25" s="53"/>
      <c r="D25" s="53"/>
      <c r="E25" s="53"/>
      <c r="F25" s="53"/>
      <c r="G25" s="53"/>
      <c r="H25" s="53"/>
      <c r="I25" s="53"/>
      <c r="J25" s="53"/>
    </row>
    <row r="27" customFormat="false" ht="15" hidden="false" customHeight="false" outlineLevel="0" collapsed="false">
      <c r="A27" s="47" t="s">
        <v>596</v>
      </c>
      <c r="B27" s="48"/>
      <c r="C27" s="48"/>
      <c r="D27" s="48"/>
      <c r="E27" s="48"/>
      <c r="F27" s="48"/>
    </row>
    <row r="28" customFormat="false" ht="25.5" hidden="false" customHeight="true" outlineLevel="0" collapsed="false">
      <c r="A28" s="51" t="s">
        <v>127</v>
      </c>
      <c r="B28" s="53" t="s">
        <v>597</v>
      </c>
      <c r="C28" s="53"/>
      <c r="D28" s="53"/>
      <c r="E28" s="53"/>
      <c r="F28" s="53"/>
      <c r="G28" s="53"/>
      <c r="H28" s="53"/>
      <c r="I28" s="53"/>
      <c r="J28" s="53"/>
    </row>
    <row r="29" customFormat="false" ht="25.5" hidden="false" customHeight="true" outlineLevel="0" collapsed="false">
      <c r="A29" s="51" t="s">
        <v>127</v>
      </c>
      <c r="B29" s="53" t="s">
        <v>598</v>
      </c>
      <c r="C29" s="53"/>
      <c r="D29" s="53"/>
      <c r="E29" s="53"/>
      <c r="F29" s="53"/>
      <c r="G29" s="53"/>
      <c r="H29" s="53"/>
      <c r="I29" s="53"/>
      <c r="J29" s="53"/>
    </row>
    <row r="30" customFormat="false" ht="25.5" hidden="false" customHeight="true" outlineLevel="0" collapsed="false">
      <c r="A30" s="51" t="s">
        <v>127</v>
      </c>
      <c r="B30" s="53" t="s">
        <v>599</v>
      </c>
      <c r="C30" s="53"/>
      <c r="D30" s="53"/>
      <c r="E30" s="53"/>
      <c r="F30" s="53"/>
      <c r="G30" s="53"/>
      <c r="H30" s="53"/>
      <c r="I30" s="53"/>
      <c r="J30" s="53"/>
    </row>
    <row r="31" customFormat="false" ht="25.5" hidden="false" customHeight="true" outlineLevel="0" collapsed="false">
      <c r="A31" s="51" t="s">
        <v>127</v>
      </c>
      <c r="B31" s="53" t="s">
        <v>600</v>
      </c>
      <c r="C31" s="53"/>
      <c r="D31" s="53"/>
      <c r="E31" s="53"/>
      <c r="F31" s="53"/>
      <c r="G31" s="53"/>
      <c r="H31" s="53"/>
      <c r="I31" s="53"/>
      <c r="J31" s="53"/>
    </row>
    <row r="34" customFormat="false" ht="15" hidden="false" customHeight="false" outlineLevel="0" collapsed="false">
      <c r="A34" s="47" t="s">
        <v>601</v>
      </c>
      <c r="B34" s="48"/>
      <c r="C34" s="48"/>
      <c r="D34" s="48"/>
      <c r="E34" s="48"/>
      <c r="F34" s="48"/>
    </row>
    <row r="35" customFormat="false" ht="15" hidden="false" customHeight="false" outlineLevel="0" collapsed="false">
      <c r="A35" s="50" t="s">
        <v>602</v>
      </c>
      <c r="B35" s="54" t="n">
        <f aca="false">COUNTIF($A$44:$A$163,"&lt;&gt;")</f>
        <v>1</v>
      </c>
    </row>
    <row r="36" customFormat="false" ht="15" hidden="false" customHeight="false" outlineLevel="0" collapsed="false">
      <c r="A36" s="50" t="s">
        <v>603</v>
      </c>
      <c r="B36" s="54" t="n">
        <f aca="false">COUNTIF($AF$44:$AF$163,"BUY")</f>
        <v>0</v>
      </c>
    </row>
    <row r="37" customFormat="false" ht="15" hidden="false" customHeight="false" outlineLevel="0" collapsed="false">
      <c r="A37" s="50" t="s">
        <v>604</v>
      </c>
      <c r="B37" s="54" t="n">
        <f aca="false">COUNTIF($AF$44:$AF$163,"BUY CHEAPER")+COUNTIF($AF$44:$AF$163,"FLOOR ONLY")</f>
        <v>0</v>
      </c>
    </row>
    <row r="38" customFormat="false" ht="15" hidden="false" customHeight="false" outlineLevel="0" collapsed="false">
      <c r="A38" s="50" t="s">
        <v>605</v>
      </c>
      <c r="B38" s="54" t="n">
        <f aca="false">COUNTIF($AF$44:$AF$163,"REJECT")+COUNTIF($AF$44:$AF$163,"OVERPRICED")+COUNTIF($AF$44:$AF$163,"SKIP")</f>
        <v>1</v>
      </c>
    </row>
    <row r="39" customFormat="false" ht="15" hidden="false" customHeight="false" outlineLevel="0" collapsed="false">
      <c r="A39" s="50" t="s">
        <v>606</v>
      </c>
      <c r="B39" s="54" t="n">
        <f aca="false">COUNTIF($AF$44:$AF$163,"NEEDS VALUATION")+COUNTIF($AF$44:$AF$163,"NEEDS PRICE")</f>
        <v>0</v>
      </c>
    </row>
    <row r="40" customFormat="false" ht="15" hidden="false" customHeight="false" outlineLevel="0" collapsed="false">
      <c r="A40" s="50" t="s">
        <v>607</v>
      </c>
      <c r="B40" s="55" t="n">
        <f aca="false">SUMIF($AF$44:$AF$163,"BUY",$F$44:$F$163)</f>
        <v>0</v>
      </c>
    </row>
    <row r="41" customFormat="false" ht="15" hidden="false" customHeight="false" outlineLevel="0" collapsed="false">
      <c r="A41" s="50" t="s">
        <v>608</v>
      </c>
      <c r="B41" s="56" t="n">
        <f aca="false">SUMIF($AF$44:$AF$163,"BUY",$AE$44:$AE$163)</f>
        <v>0</v>
      </c>
    </row>
    <row r="43" customFormat="false" ht="51.75" hidden="false" customHeight="true" outlineLevel="0" collapsed="false">
      <c r="A43" s="57" t="s">
        <v>153</v>
      </c>
      <c r="B43" s="57" t="s">
        <v>154</v>
      </c>
      <c r="C43" s="57" t="s">
        <v>155</v>
      </c>
      <c r="D43" s="57" t="s">
        <v>609</v>
      </c>
      <c r="E43" s="57" t="s">
        <v>610</v>
      </c>
      <c r="F43" s="57" t="s">
        <v>611</v>
      </c>
      <c r="G43" s="57" t="s">
        <v>156</v>
      </c>
      <c r="H43" s="57" t="s">
        <v>158</v>
      </c>
      <c r="I43" s="57" t="s">
        <v>159</v>
      </c>
      <c r="J43" s="57" t="s">
        <v>612</v>
      </c>
      <c r="K43" s="57" t="s">
        <v>613</v>
      </c>
      <c r="L43" s="57" t="s">
        <v>614</v>
      </c>
      <c r="M43" s="57" t="s">
        <v>615</v>
      </c>
      <c r="N43" s="57" t="s">
        <v>616</v>
      </c>
      <c r="O43" s="57" t="s">
        <v>617</v>
      </c>
      <c r="P43" s="57" t="s">
        <v>618</v>
      </c>
      <c r="Q43" s="57" t="s">
        <v>160</v>
      </c>
      <c r="R43" s="57" t="s">
        <v>161</v>
      </c>
      <c r="S43" s="57" t="s">
        <v>167</v>
      </c>
      <c r="T43" s="57" t="s">
        <v>619</v>
      </c>
      <c r="U43" s="57" t="s">
        <v>620</v>
      </c>
      <c r="V43" s="57" t="s">
        <v>621</v>
      </c>
      <c r="W43" s="57" t="s">
        <v>163</v>
      </c>
      <c r="X43" s="57" t="s">
        <v>164</v>
      </c>
      <c r="Y43" s="57" t="s">
        <v>622</v>
      </c>
      <c r="Z43" s="57" t="s">
        <v>168</v>
      </c>
      <c r="AA43" s="57" t="s">
        <v>623</v>
      </c>
      <c r="AB43" s="57" t="s">
        <v>171</v>
      </c>
      <c r="AC43" s="57" t="s">
        <v>172</v>
      </c>
      <c r="AD43" s="57" t="s">
        <v>173</v>
      </c>
      <c r="AE43" s="57" t="s">
        <v>624</v>
      </c>
      <c r="AF43" s="57" t="s">
        <v>133</v>
      </c>
      <c r="AG43" s="57" t="s">
        <v>625</v>
      </c>
      <c r="AH43" s="57" t="s">
        <v>174</v>
      </c>
    </row>
    <row r="44" customFormat="false" ht="15" hidden="false" customHeight="false" outlineLevel="0" collapsed="false">
      <c r="A44" s="58" t="s">
        <v>626</v>
      </c>
      <c r="B44" s="23" t="str">
        <f aca="false">IF($A44="","",IF(ISERROR(FIND(".",$A44)),"",LOWER(MID($A44,FIND(CHAR(1),SUBSTITUTE($A44,".",CHAR(1),LEN($A44)-LEN(SUBSTITUTE($A44,".",""))))+1,LEN($A44)))))</f>
        <v>com</v>
      </c>
      <c r="C44" s="24" t="n">
        <f aca="false">IF($B44="","",IFERROR(INDEX(Rubric!$B$14:$B$23,MATCH($B44,Rubric!$A$14:$A$23,0)),INDEX(Rubric!$B$14:$B$23,MATCH("other",Rubric!$A$14:$A$23,0))))</f>
        <v>5</v>
      </c>
      <c r="D44" s="59" t="n">
        <v>11</v>
      </c>
      <c r="E44" s="28" t="n">
        <f aca="false">IF($B44="","",IFERROR(INDEX(Rubric!$C$14:$C$23,MATCH($B44,Rubric!$A$14:$A$23,0)),INDEX(Rubric!$C$14:$C$23,MATCH("other",Rubric!$A$14:$A$23,0))))</f>
        <v>11</v>
      </c>
      <c r="F44" s="34" t="n">
        <f aca="false">IF(OR($A44="",$D44=""),"",$D44+$E44)</f>
        <v>22</v>
      </c>
      <c r="G44" s="60" t="n">
        <v>4</v>
      </c>
      <c r="H44" s="60" t="n">
        <v>4</v>
      </c>
      <c r="I44" s="60" t="n">
        <v>5</v>
      </c>
      <c r="J44" s="60" t="n">
        <v>12</v>
      </c>
      <c r="K44" s="29" t="n">
        <f aca="false">IF($J44="","",IF($J44&gt;=15,5,IF($J44&gt;=10,4,IF($J44&gt;=5,3,IF($J44&gt;=2,2,1)))))</f>
        <v>4</v>
      </c>
      <c r="L44" s="60" t="n">
        <v>4</v>
      </c>
      <c r="M44" s="60" t="n">
        <v>4</v>
      </c>
      <c r="N44" s="60" t="n">
        <v>2</v>
      </c>
      <c r="O44" s="60" t="s">
        <v>176</v>
      </c>
      <c r="P44" s="60" t="s">
        <v>176</v>
      </c>
      <c r="Q44" s="60" t="s">
        <v>176</v>
      </c>
      <c r="R44" s="60" t="s">
        <v>176</v>
      </c>
      <c r="S44" s="30" t="str">
        <f aca="false">IF($A44="","",IF(OR(UPPER($O44)="Y",UPPER($P44)="Y",UPPER($Q44)="Y",UPPER($R44)="Y"),"FAIL","PASS"))</f>
        <v>PASS</v>
      </c>
      <c r="T44" s="29" t="n">
        <f aca="false">IF(OR($A44="",$C44=""),"",$C44*$B$6+$G44*$B$7+$H44*$B$8+$I44*$B$9)</f>
        <v>4.4</v>
      </c>
      <c r="U44" s="29" t="n">
        <f aca="false">IF(OR($A44="",$K44=""),"",$K44*$B$13+$L44*$B$14+$M44*$B$15+$N44*$B$16)</f>
        <v>3.7</v>
      </c>
      <c r="V44" s="29" t="n">
        <f aca="false">IF(OR($T44="",$U44=""),"",$T44*$B$19+$U44*(1-$B$19))</f>
        <v>4.12</v>
      </c>
      <c r="W44" s="61" t="n">
        <v>1200</v>
      </c>
      <c r="X44" s="58" t="s">
        <v>627</v>
      </c>
      <c r="Y44" s="32" t="n">
        <f aca="false">IF(OR($A44="",$W44=""),"",MAX(0,$W44-MAX($W44*Assumptions!$B$4,Assumptions!$B$5)))</f>
        <v>960</v>
      </c>
      <c r="Z44" s="31" t="n">
        <f aca="false">IF($V44="","",Assumptions!$B$6*MAX(0.05,($V44/Assumptions!$B$11)^Assumptions!$B$12))</f>
        <v>0.0137333333333333</v>
      </c>
      <c r="AA44" s="31" t="n">
        <f aca="false">IF($Z44="","",1-(1-$Z44)^Assumptions!$B$7)</f>
        <v>0.0668063465295943</v>
      </c>
      <c r="AB44" s="32" t="n">
        <f aca="false">IF(OR($F44="",$AA44="",$AA44=0),"",($F44+$E44*Assumptions!$B$7)/($AA44*(1-Assumptions!$B$4)))</f>
        <v>1440.73138256951</v>
      </c>
      <c r="AC44" s="33" t="n">
        <f aca="false">IF(OR($W44="",$AB44="",$AB44=0),"",$W44/$AB44)</f>
        <v>0.832910294394942</v>
      </c>
      <c r="AD44" s="34" t="n">
        <f aca="false">IF(OR($Y44="",$E44="",$AA44=""),"",MAX(0,$Y44*$AA44-$E44*Assumptions!$B$7))</f>
        <v>9.1340926684105</v>
      </c>
      <c r="AE44" s="34" t="n">
        <f aca="false">IF(OR($AD44="",$F44=""),"",$AD44-$F44)</f>
        <v>-12.8659073315895</v>
      </c>
      <c r="AF44" s="30" t="str">
        <f aca="false">IF($A44="","",IF($S44="FAIL","REJECT",IF($D44="","NEEDS PRICE",IF(OR($W44="",$X44=""),"NEEDS VALUATION",IF($AC44&lt;1,"OVERPRICED",IF(AND($AC44&gt;=Assumptions!$B$13,$V44&gt;=4),"BUY",IF($V44&gt;=3.4,"BUY CHEAPER",IF($V44&gt;=2.8,"FLOOR ONLY","SKIP"))))))))</f>
        <v>OVERPRICED</v>
      </c>
      <c r="AG44" s="62" t="str">
        <f aca="false">IF($AF44="","",IF($AF44="REJECT","Do not buy at any price",IF($AF44="NEEDS PRICE","Enter the current closeout price",IF($AF44="NEEDS VALUATION","Enter a valuation AND its source before bidding",IF($AF44="OVERPRICED","Worth less than break-even - walk",IF($AF44="BUY","Take it on day 1 at $11 - will not reach the floor",IF($AF44="BUY CHEAPER","Wait to about $8 (day 3), walk if outbid",IF($AF44="FLOOR ONLY","Only at the $5 floor","Skip"))))))))</f>
        <v>Worth less than break-even - walk</v>
      </c>
      <c r="AH44" s="63"/>
    </row>
    <row r="45" customFormat="false" ht="15" hidden="false" customHeight="false" outlineLevel="0" collapsed="false">
      <c r="A45" s="22"/>
      <c r="B45" s="36" t="str">
        <f aca="false">IF($A45="","",IF(ISERROR(FIND(".",$A45)),"",LOWER(MID($A45,FIND(CHAR(1),SUBSTITUTE($A45,".",CHAR(1),LEN($A45)-LEN(SUBSTITUTE($A45,".",""))))+1,LEN($A45)))))</f>
        <v/>
      </c>
      <c r="C45" s="37" t="str">
        <f aca="false">IF($B45="","",IFERROR(INDEX(Rubric!$B$14:$B$23,MATCH($B45,Rubric!$A$14:$A$23,0)),INDEX(Rubric!$B$14:$B$23,MATCH("other",Rubric!$A$14:$A$23,0))))</f>
        <v/>
      </c>
      <c r="D45" s="26"/>
      <c r="E45" s="38" t="str">
        <f aca="false">IF($B45="","",IFERROR(INDEX(Rubric!$C$14:$C$23,MATCH($B45,Rubric!$A$14:$A$23,0)),INDEX(Rubric!$C$14:$C$23,MATCH("other",Rubric!$A$14:$A$23,0))))</f>
        <v/>
      </c>
      <c r="F45" s="44" t="str">
        <f aca="false">IF(OR($A45="",$D45=""),"",$D45+$E45)</f>
        <v/>
      </c>
      <c r="G45" s="25"/>
      <c r="H45" s="25"/>
      <c r="I45" s="25"/>
      <c r="J45" s="25"/>
      <c r="K45" s="39" t="str">
        <f aca="false">IF($J45="","",IF($J45&gt;=15,5,IF($J45&gt;=10,4,IF($J45&gt;=5,3,IF($J45&gt;=2,2,1)))))</f>
        <v/>
      </c>
      <c r="L45" s="25"/>
      <c r="M45" s="25"/>
      <c r="N45" s="25"/>
      <c r="O45" s="25"/>
      <c r="P45" s="25"/>
      <c r="Q45" s="25"/>
      <c r="R45" s="25"/>
      <c r="S45" s="40" t="str">
        <f aca="false">IF($A45="","",IF(OR(UPPER($O45)="Y",UPPER($P45)="Y",UPPER($Q45)="Y",UPPER($R45)="Y"),"FAIL","PASS"))</f>
        <v/>
      </c>
      <c r="T45" s="39" t="str">
        <f aca="false">IF(OR($A45="",$C45=""),"",$C45*$B$6+$G45*$B$7+$H45*$B$8+$I45*$B$9)</f>
        <v/>
      </c>
      <c r="U45" s="39" t="str">
        <f aca="false">IF(OR($A45="",$K45=""),"",$K45*$B$13+$L45*$B$14+$M45*$B$15+$N45*$B$16)</f>
        <v/>
      </c>
      <c r="V45" s="39" t="str">
        <f aca="false">IF(OR($T45="",$U45=""),"",$T45*$B$19+$U45*(1-$B$19))</f>
        <v/>
      </c>
      <c r="W45" s="27"/>
      <c r="X45" s="22"/>
      <c r="Y45" s="42" t="str">
        <f aca="false">IF(OR($A45="",$W45=""),"",MAX(0,$W45-MAX($W45*Assumptions!$B$4,Assumptions!$B$5)))</f>
        <v/>
      </c>
      <c r="Z45" s="41" t="str">
        <f aca="false">IF($V45="","",Assumptions!$B$6*MAX(0.05,($V45/Assumptions!$B$11)^Assumptions!$B$12))</f>
        <v/>
      </c>
      <c r="AA45" s="41" t="str">
        <f aca="false">IF($Z45="","",1-(1-$Z45)^Assumptions!$B$7)</f>
        <v/>
      </c>
      <c r="AB45" s="42" t="str">
        <f aca="false">IF(OR($F45="",$AA45="",$AA45=0),"",($F45+$E45*Assumptions!$B$7)/($AA45*(1-Assumptions!$B$4)))</f>
        <v/>
      </c>
      <c r="AC45" s="43" t="str">
        <f aca="false">IF(OR($W45="",$AB45="",$AB45=0),"",$W45/$AB45)</f>
        <v/>
      </c>
      <c r="AD45" s="44" t="str">
        <f aca="false">IF(OR($Y45="",$E45="",$AA45=""),"",MAX(0,$Y45*$AA45-$E45*Assumptions!$B$7))</f>
        <v/>
      </c>
      <c r="AE45" s="44" t="str">
        <f aca="false">IF(OR($AD45="",$F45=""),"",$AD45-$F45)</f>
        <v/>
      </c>
      <c r="AF45" s="40" t="str">
        <f aca="false">IF($A45="","",IF($S45="FAIL","REJECT",IF($D45="","NEEDS PRICE",IF(OR($W45="",$X45=""),"NEEDS VALUATION",IF($AC45&lt;1,"OVERPRICED",IF(AND($AC45&gt;=Assumptions!$B$13,$V45&gt;=4),"BUY",IF($V45&gt;=3.4,"BUY CHEAPER",IF($V45&gt;=2.8,"FLOOR ONLY","SKIP"))))))))</f>
        <v/>
      </c>
      <c r="AG45" s="50" t="str">
        <f aca="false">IF($AF45="","",IF($AF45="REJECT","Do not buy at any price",IF($AF45="NEEDS PRICE","Enter the current closeout price",IF($AF45="NEEDS VALUATION","Enter a valuation AND its source before bidding",IF($AF45="OVERPRICED","Worth less than break-even - walk",IF($AF45="BUY","Take it on day 1 at $11 - will not reach the floor",IF($AF45="BUY CHEAPER","Wait to about $8 (day 3), walk if outbid",IF($AF45="FLOOR ONLY","Only at the $5 floor","Skip"))))))))</f>
        <v/>
      </c>
      <c r="AH45" s="35"/>
    </row>
    <row r="46" customFormat="false" ht="15" hidden="false" customHeight="false" outlineLevel="0" collapsed="false">
      <c r="A46" s="22"/>
      <c r="B46" s="36" t="str">
        <f aca="false">IF($A46="","",IF(ISERROR(FIND(".",$A46)),"",LOWER(MID($A46,FIND(CHAR(1),SUBSTITUTE($A46,".",CHAR(1),LEN($A46)-LEN(SUBSTITUTE($A46,".",""))))+1,LEN($A46)))))</f>
        <v/>
      </c>
      <c r="C46" s="37" t="str">
        <f aca="false">IF($B46="","",IFERROR(INDEX(Rubric!$B$14:$B$23,MATCH($B46,Rubric!$A$14:$A$23,0)),INDEX(Rubric!$B$14:$B$23,MATCH("other",Rubric!$A$14:$A$23,0))))</f>
        <v/>
      </c>
      <c r="D46" s="26"/>
      <c r="E46" s="38" t="str">
        <f aca="false">IF($B46="","",IFERROR(INDEX(Rubric!$C$14:$C$23,MATCH($B46,Rubric!$A$14:$A$23,0)),INDEX(Rubric!$C$14:$C$23,MATCH("other",Rubric!$A$14:$A$23,0))))</f>
        <v/>
      </c>
      <c r="F46" s="44" t="str">
        <f aca="false">IF(OR($A46="",$D46=""),"",$D46+$E46)</f>
        <v/>
      </c>
      <c r="G46" s="25"/>
      <c r="H46" s="25"/>
      <c r="I46" s="25"/>
      <c r="J46" s="25"/>
      <c r="K46" s="39" t="str">
        <f aca="false">IF($J46="","",IF($J46&gt;=15,5,IF($J46&gt;=10,4,IF($J46&gt;=5,3,IF($J46&gt;=2,2,1)))))</f>
        <v/>
      </c>
      <c r="L46" s="25"/>
      <c r="M46" s="25"/>
      <c r="N46" s="25"/>
      <c r="O46" s="25"/>
      <c r="P46" s="25"/>
      <c r="Q46" s="25"/>
      <c r="R46" s="25"/>
      <c r="S46" s="40" t="str">
        <f aca="false">IF($A46="","",IF(OR(UPPER($O46)="Y",UPPER($P46)="Y",UPPER($Q46)="Y",UPPER($R46)="Y"),"FAIL","PASS"))</f>
        <v/>
      </c>
      <c r="T46" s="39" t="str">
        <f aca="false">IF(OR($A46="",$C46=""),"",$C46*$B$6+$G46*$B$7+$H46*$B$8+$I46*$B$9)</f>
        <v/>
      </c>
      <c r="U46" s="39" t="str">
        <f aca="false">IF(OR($A46="",$K46=""),"",$K46*$B$13+$L46*$B$14+$M46*$B$15+$N46*$B$16)</f>
        <v/>
      </c>
      <c r="V46" s="39" t="str">
        <f aca="false">IF(OR($T46="",$U46=""),"",$T46*$B$19+$U46*(1-$B$19))</f>
        <v/>
      </c>
      <c r="W46" s="27"/>
      <c r="X46" s="22"/>
      <c r="Y46" s="42" t="str">
        <f aca="false">IF(OR($A46="",$W46=""),"",MAX(0,$W46-MAX($W46*Assumptions!$B$4,Assumptions!$B$5)))</f>
        <v/>
      </c>
      <c r="Z46" s="41" t="str">
        <f aca="false">IF($V46="","",Assumptions!$B$6*MAX(0.05,($V46/Assumptions!$B$11)^Assumptions!$B$12))</f>
        <v/>
      </c>
      <c r="AA46" s="41" t="str">
        <f aca="false">IF($Z46="","",1-(1-$Z46)^Assumptions!$B$7)</f>
        <v/>
      </c>
      <c r="AB46" s="42" t="str">
        <f aca="false">IF(OR($F46="",$AA46="",$AA46=0),"",($F46+$E46*Assumptions!$B$7)/($AA46*(1-Assumptions!$B$4)))</f>
        <v/>
      </c>
      <c r="AC46" s="43" t="str">
        <f aca="false">IF(OR($W46="",$AB46="",$AB46=0),"",$W46/$AB46)</f>
        <v/>
      </c>
      <c r="AD46" s="44" t="str">
        <f aca="false">IF(OR($Y46="",$E46="",$AA46=""),"",MAX(0,$Y46*$AA46-$E46*Assumptions!$B$7))</f>
        <v/>
      </c>
      <c r="AE46" s="44" t="str">
        <f aca="false">IF(OR($AD46="",$F46=""),"",$AD46-$F46)</f>
        <v/>
      </c>
      <c r="AF46" s="40" t="str">
        <f aca="false">IF($A46="","",IF($S46="FAIL","REJECT",IF($D46="","NEEDS PRICE",IF(OR($W46="",$X46=""),"NEEDS VALUATION",IF($AC46&lt;1,"OVERPRICED",IF(AND($AC46&gt;=Assumptions!$B$13,$V46&gt;=4),"BUY",IF($V46&gt;=3.4,"BUY CHEAPER",IF($V46&gt;=2.8,"FLOOR ONLY","SKIP"))))))))</f>
        <v/>
      </c>
      <c r="AG46" s="50" t="str">
        <f aca="false">IF($AF46="","",IF($AF46="REJECT","Do not buy at any price",IF($AF46="NEEDS PRICE","Enter the current closeout price",IF($AF46="NEEDS VALUATION","Enter a valuation AND its source before bidding",IF($AF46="OVERPRICED","Worth less than break-even - walk",IF($AF46="BUY","Take it on day 1 at $11 - will not reach the floor",IF($AF46="BUY CHEAPER","Wait to about $8 (day 3), walk if outbid",IF($AF46="FLOOR ONLY","Only at the $5 floor","Skip"))))))))</f>
        <v/>
      </c>
      <c r="AH46" s="35"/>
    </row>
    <row r="47" customFormat="false" ht="15" hidden="false" customHeight="false" outlineLevel="0" collapsed="false">
      <c r="A47" s="22"/>
      <c r="B47" s="36" t="str">
        <f aca="false">IF($A47="","",IF(ISERROR(FIND(".",$A47)),"",LOWER(MID($A47,FIND(CHAR(1),SUBSTITUTE($A47,".",CHAR(1),LEN($A47)-LEN(SUBSTITUTE($A47,".",""))))+1,LEN($A47)))))</f>
        <v/>
      </c>
      <c r="C47" s="37" t="str">
        <f aca="false">IF($B47="","",IFERROR(INDEX(Rubric!$B$14:$B$23,MATCH($B47,Rubric!$A$14:$A$23,0)),INDEX(Rubric!$B$14:$B$23,MATCH("other",Rubric!$A$14:$A$23,0))))</f>
        <v/>
      </c>
      <c r="D47" s="26"/>
      <c r="E47" s="38" t="str">
        <f aca="false">IF($B47="","",IFERROR(INDEX(Rubric!$C$14:$C$23,MATCH($B47,Rubric!$A$14:$A$23,0)),INDEX(Rubric!$C$14:$C$23,MATCH("other",Rubric!$A$14:$A$23,0))))</f>
        <v/>
      </c>
      <c r="F47" s="44" t="str">
        <f aca="false">IF(OR($A47="",$D47=""),"",$D47+$E47)</f>
        <v/>
      </c>
      <c r="G47" s="25"/>
      <c r="H47" s="25"/>
      <c r="I47" s="25"/>
      <c r="J47" s="25"/>
      <c r="K47" s="39" t="str">
        <f aca="false">IF($J47="","",IF($J47&gt;=15,5,IF($J47&gt;=10,4,IF($J47&gt;=5,3,IF($J47&gt;=2,2,1)))))</f>
        <v/>
      </c>
      <c r="L47" s="25"/>
      <c r="M47" s="25"/>
      <c r="N47" s="25"/>
      <c r="O47" s="25"/>
      <c r="P47" s="25"/>
      <c r="Q47" s="25"/>
      <c r="R47" s="25"/>
      <c r="S47" s="40" t="str">
        <f aca="false">IF($A47="","",IF(OR(UPPER($O47)="Y",UPPER($P47)="Y",UPPER($Q47)="Y",UPPER($R47)="Y"),"FAIL","PASS"))</f>
        <v/>
      </c>
      <c r="T47" s="39" t="str">
        <f aca="false">IF(OR($A47="",$C47=""),"",$C47*$B$6+$G47*$B$7+$H47*$B$8+$I47*$B$9)</f>
        <v/>
      </c>
      <c r="U47" s="39" t="str">
        <f aca="false">IF(OR($A47="",$K47=""),"",$K47*$B$13+$L47*$B$14+$M47*$B$15+$N47*$B$16)</f>
        <v/>
      </c>
      <c r="V47" s="39" t="str">
        <f aca="false">IF(OR($T47="",$U47=""),"",$T47*$B$19+$U47*(1-$B$19))</f>
        <v/>
      </c>
      <c r="W47" s="27"/>
      <c r="X47" s="22"/>
      <c r="Y47" s="42" t="str">
        <f aca="false">IF(OR($A47="",$W47=""),"",MAX(0,$W47-MAX($W47*Assumptions!$B$4,Assumptions!$B$5)))</f>
        <v/>
      </c>
      <c r="Z47" s="41" t="str">
        <f aca="false">IF($V47="","",Assumptions!$B$6*MAX(0.05,($V47/Assumptions!$B$11)^Assumptions!$B$12))</f>
        <v/>
      </c>
      <c r="AA47" s="41" t="str">
        <f aca="false">IF($Z47="","",1-(1-$Z47)^Assumptions!$B$7)</f>
        <v/>
      </c>
      <c r="AB47" s="42" t="str">
        <f aca="false">IF(OR($F47="",$AA47="",$AA47=0),"",($F47+$E47*Assumptions!$B$7)/($AA47*(1-Assumptions!$B$4)))</f>
        <v/>
      </c>
      <c r="AC47" s="43" t="str">
        <f aca="false">IF(OR($W47="",$AB47="",$AB47=0),"",$W47/$AB47)</f>
        <v/>
      </c>
      <c r="AD47" s="44" t="str">
        <f aca="false">IF(OR($Y47="",$E47="",$AA47=""),"",MAX(0,$Y47*$AA47-$E47*Assumptions!$B$7))</f>
        <v/>
      </c>
      <c r="AE47" s="44" t="str">
        <f aca="false">IF(OR($AD47="",$F47=""),"",$AD47-$F47)</f>
        <v/>
      </c>
      <c r="AF47" s="40" t="str">
        <f aca="false">IF($A47="","",IF($S47="FAIL","REJECT",IF($D47="","NEEDS PRICE",IF(OR($W47="",$X47=""),"NEEDS VALUATION",IF($AC47&lt;1,"OVERPRICED",IF(AND($AC47&gt;=Assumptions!$B$13,$V47&gt;=4),"BUY",IF($V47&gt;=3.4,"BUY CHEAPER",IF($V47&gt;=2.8,"FLOOR ONLY","SKIP"))))))))</f>
        <v/>
      </c>
      <c r="AG47" s="50" t="str">
        <f aca="false">IF($AF47="","",IF($AF47="REJECT","Do not buy at any price",IF($AF47="NEEDS PRICE","Enter the current closeout price",IF($AF47="NEEDS VALUATION","Enter a valuation AND its source before bidding",IF($AF47="OVERPRICED","Worth less than break-even - walk",IF($AF47="BUY","Take it on day 1 at $11 - will not reach the floor",IF($AF47="BUY CHEAPER","Wait to about $8 (day 3), walk if outbid",IF($AF47="FLOOR ONLY","Only at the $5 floor","Skip"))))))))</f>
        <v/>
      </c>
      <c r="AH47" s="35"/>
    </row>
    <row r="48" customFormat="false" ht="15" hidden="false" customHeight="false" outlineLevel="0" collapsed="false">
      <c r="A48" s="22"/>
      <c r="B48" s="36" t="str">
        <f aca="false">IF($A48="","",IF(ISERROR(FIND(".",$A48)),"",LOWER(MID($A48,FIND(CHAR(1),SUBSTITUTE($A48,".",CHAR(1),LEN($A48)-LEN(SUBSTITUTE($A48,".",""))))+1,LEN($A48)))))</f>
        <v/>
      </c>
      <c r="C48" s="37" t="str">
        <f aca="false">IF($B48="","",IFERROR(INDEX(Rubric!$B$14:$B$23,MATCH($B48,Rubric!$A$14:$A$23,0)),INDEX(Rubric!$B$14:$B$23,MATCH("other",Rubric!$A$14:$A$23,0))))</f>
        <v/>
      </c>
      <c r="D48" s="26"/>
      <c r="E48" s="38" t="str">
        <f aca="false">IF($B48="","",IFERROR(INDEX(Rubric!$C$14:$C$23,MATCH($B48,Rubric!$A$14:$A$23,0)),INDEX(Rubric!$C$14:$C$23,MATCH("other",Rubric!$A$14:$A$23,0))))</f>
        <v/>
      </c>
      <c r="F48" s="44" t="str">
        <f aca="false">IF(OR($A48="",$D48=""),"",$D48+$E48)</f>
        <v/>
      </c>
      <c r="G48" s="25"/>
      <c r="H48" s="25"/>
      <c r="I48" s="25"/>
      <c r="J48" s="25"/>
      <c r="K48" s="39" t="str">
        <f aca="false">IF($J48="","",IF($J48&gt;=15,5,IF($J48&gt;=10,4,IF($J48&gt;=5,3,IF($J48&gt;=2,2,1)))))</f>
        <v/>
      </c>
      <c r="L48" s="25"/>
      <c r="M48" s="25"/>
      <c r="N48" s="25"/>
      <c r="O48" s="25"/>
      <c r="P48" s="25"/>
      <c r="Q48" s="25"/>
      <c r="R48" s="25"/>
      <c r="S48" s="40" t="str">
        <f aca="false">IF($A48="","",IF(OR(UPPER($O48)="Y",UPPER($P48)="Y",UPPER($Q48)="Y",UPPER($R48)="Y"),"FAIL","PASS"))</f>
        <v/>
      </c>
      <c r="T48" s="39" t="str">
        <f aca="false">IF(OR($A48="",$C48=""),"",$C48*$B$6+$G48*$B$7+$H48*$B$8+$I48*$B$9)</f>
        <v/>
      </c>
      <c r="U48" s="39" t="str">
        <f aca="false">IF(OR($A48="",$K48=""),"",$K48*$B$13+$L48*$B$14+$M48*$B$15+$N48*$B$16)</f>
        <v/>
      </c>
      <c r="V48" s="39" t="str">
        <f aca="false">IF(OR($T48="",$U48=""),"",$T48*$B$19+$U48*(1-$B$19))</f>
        <v/>
      </c>
      <c r="W48" s="27"/>
      <c r="X48" s="22"/>
      <c r="Y48" s="42" t="str">
        <f aca="false">IF(OR($A48="",$W48=""),"",MAX(0,$W48-MAX($W48*Assumptions!$B$4,Assumptions!$B$5)))</f>
        <v/>
      </c>
      <c r="Z48" s="41" t="str">
        <f aca="false">IF($V48="","",Assumptions!$B$6*MAX(0.05,($V48/Assumptions!$B$11)^Assumptions!$B$12))</f>
        <v/>
      </c>
      <c r="AA48" s="41" t="str">
        <f aca="false">IF($Z48="","",1-(1-$Z48)^Assumptions!$B$7)</f>
        <v/>
      </c>
      <c r="AB48" s="42" t="str">
        <f aca="false">IF(OR($F48="",$AA48="",$AA48=0),"",($F48+$E48*Assumptions!$B$7)/($AA48*(1-Assumptions!$B$4)))</f>
        <v/>
      </c>
      <c r="AC48" s="43" t="str">
        <f aca="false">IF(OR($W48="",$AB48="",$AB48=0),"",$W48/$AB48)</f>
        <v/>
      </c>
      <c r="AD48" s="44" t="str">
        <f aca="false">IF(OR($Y48="",$E48="",$AA48=""),"",MAX(0,$Y48*$AA48-$E48*Assumptions!$B$7))</f>
        <v/>
      </c>
      <c r="AE48" s="44" t="str">
        <f aca="false">IF(OR($AD48="",$F48=""),"",$AD48-$F48)</f>
        <v/>
      </c>
      <c r="AF48" s="40" t="str">
        <f aca="false">IF($A48="","",IF($S48="FAIL","REJECT",IF($D48="","NEEDS PRICE",IF(OR($W48="",$X48=""),"NEEDS VALUATION",IF($AC48&lt;1,"OVERPRICED",IF(AND($AC48&gt;=Assumptions!$B$13,$V48&gt;=4),"BUY",IF($V48&gt;=3.4,"BUY CHEAPER",IF($V48&gt;=2.8,"FLOOR ONLY","SKIP"))))))))</f>
        <v/>
      </c>
      <c r="AG48" s="50" t="str">
        <f aca="false">IF($AF48="","",IF($AF48="REJECT","Do not buy at any price",IF($AF48="NEEDS PRICE","Enter the current closeout price",IF($AF48="NEEDS VALUATION","Enter a valuation AND its source before bidding",IF($AF48="OVERPRICED","Worth less than break-even - walk",IF($AF48="BUY","Take it on day 1 at $11 - will not reach the floor",IF($AF48="BUY CHEAPER","Wait to about $8 (day 3), walk if outbid",IF($AF48="FLOOR ONLY","Only at the $5 floor","Skip"))))))))</f>
        <v/>
      </c>
      <c r="AH48" s="35"/>
    </row>
    <row r="49" customFormat="false" ht="15" hidden="false" customHeight="false" outlineLevel="0" collapsed="false">
      <c r="A49" s="22"/>
      <c r="B49" s="36" t="str">
        <f aca="false">IF($A49="","",IF(ISERROR(FIND(".",$A49)),"",LOWER(MID($A49,FIND(CHAR(1),SUBSTITUTE($A49,".",CHAR(1),LEN($A49)-LEN(SUBSTITUTE($A49,".",""))))+1,LEN($A49)))))</f>
        <v/>
      </c>
      <c r="C49" s="37" t="str">
        <f aca="false">IF($B49="","",IFERROR(INDEX(Rubric!$B$14:$B$23,MATCH($B49,Rubric!$A$14:$A$23,0)),INDEX(Rubric!$B$14:$B$23,MATCH("other",Rubric!$A$14:$A$23,0))))</f>
        <v/>
      </c>
      <c r="D49" s="26"/>
      <c r="E49" s="38" t="str">
        <f aca="false">IF($B49="","",IFERROR(INDEX(Rubric!$C$14:$C$23,MATCH($B49,Rubric!$A$14:$A$23,0)),INDEX(Rubric!$C$14:$C$23,MATCH("other",Rubric!$A$14:$A$23,0))))</f>
        <v/>
      </c>
      <c r="F49" s="44" t="str">
        <f aca="false">IF(OR($A49="",$D49=""),"",$D49+$E49)</f>
        <v/>
      </c>
      <c r="G49" s="25"/>
      <c r="H49" s="25"/>
      <c r="I49" s="25"/>
      <c r="J49" s="25"/>
      <c r="K49" s="39" t="str">
        <f aca="false">IF($J49="","",IF($J49&gt;=15,5,IF($J49&gt;=10,4,IF($J49&gt;=5,3,IF($J49&gt;=2,2,1)))))</f>
        <v/>
      </c>
      <c r="L49" s="25"/>
      <c r="M49" s="25"/>
      <c r="N49" s="25"/>
      <c r="O49" s="25"/>
      <c r="P49" s="25"/>
      <c r="Q49" s="25"/>
      <c r="R49" s="25"/>
      <c r="S49" s="40" t="str">
        <f aca="false">IF($A49="","",IF(OR(UPPER($O49)="Y",UPPER($P49)="Y",UPPER($Q49)="Y",UPPER($R49)="Y"),"FAIL","PASS"))</f>
        <v/>
      </c>
      <c r="T49" s="39" t="str">
        <f aca="false">IF(OR($A49="",$C49=""),"",$C49*$B$6+$G49*$B$7+$H49*$B$8+$I49*$B$9)</f>
        <v/>
      </c>
      <c r="U49" s="39" t="str">
        <f aca="false">IF(OR($A49="",$K49=""),"",$K49*$B$13+$L49*$B$14+$M49*$B$15+$N49*$B$16)</f>
        <v/>
      </c>
      <c r="V49" s="39" t="str">
        <f aca="false">IF(OR($T49="",$U49=""),"",$T49*$B$19+$U49*(1-$B$19))</f>
        <v/>
      </c>
      <c r="W49" s="27"/>
      <c r="X49" s="22"/>
      <c r="Y49" s="42" t="str">
        <f aca="false">IF(OR($A49="",$W49=""),"",MAX(0,$W49-MAX($W49*Assumptions!$B$4,Assumptions!$B$5)))</f>
        <v/>
      </c>
      <c r="Z49" s="41" t="str">
        <f aca="false">IF($V49="","",Assumptions!$B$6*MAX(0.05,($V49/Assumptions!$B$11)^Assumptions!$B$12))</f>
        <v/>
      </c>
      <c r="AA49" s="41" t="str">
        <f aca="false">IF($Z49="","",1-(1-$Z49)^Assumptions!$B$7)</f>
        <v/>
      </c>
      <c r="AB49" s="42" t="str">
        <f aca="false">IF(OR($F49="",$AA49="",$AA49=0),"",($F49+$E49*Assumptions!$B$7)/($AA49*(1-Assumptions!$B$4)))</f>
        <v/>
      </c>
      <c r="AC49" s="43" t="str">
        <f aca="false">IF(OR($W49="",$AB49="",$AB49=0),"",$W49/$AB49)</f>
        <v/>
      </c>
      <c r="AD49" s="44" t="str">
        <f aca="false">IF(OR($Y49="",$E49="",$AA49=""),"",MAX(0,$Y49*$AA49-$E49*Assumptions!$B$7))</f>
        <v/>
      </c>
      <c r="AE49" s="44" t="str">
        <f aca="false">IF(OR($AD49="",$F49=""),"",$AD49-$F49)</f>
        <v/>
      </c>
      <c r="AF49" s="40" t="str">
        <f aca="false">IF($A49="","",IF($S49="FAIL","REJECT",IF($D49="","NEEDS PRICE",IF(OR($W49="",$X49=""),"NEEDS VALUATION",IF($AC49&lt;1,"OVERPRICED",IF(AND($AC49&gt;=Assumptions!$B$13,$V49&gt;=4),"BUY",IF($V49&gt;=3.4,"BUY CHEAPER",IF($V49&gt;=2.8,"FLOOR ONLY","SKIP"))))))))</f>
        <v/>
      </c>
      <c r="AG49" s="50" t="str">
        <f aca="false">IF($AF49="","",IF($AF49="REJECT","Do not buy at any price",IF($AF49="NEEDS PRICE","Enter the current closeout price",IF($AF49="NEEDS VALUATION","Enter a valuation AND its source before bidding",IF($AF49="OVERPRICED","Worth less than break-even - walk",IF($AF49="BUY","Take it on day 1 at $11 - will not reach the floor",IF($AF49="BUY CHEAPER","Wait to about $8 (day 3), walk if outbid",IF($AF49="FLOOR ONLY","Only at the $5 floor","Skip"))))))))</f>
        <v/>
      </c>
      <c r="AH49" s="35"/>
    </row>
    <row r="50" customFormat="false" ht="15" hidden="false" customHeight="false" outlineLevel="0" collapsed="false">
      <c r="A50" s="22"/>
      <c r="B50" s="36" t="str">
        <f aca="false">IF($A50="","",IF(ISERROR(FIND(".",$A50)),"",LOWER(MID($A50,FIND(CHAR(1),SUBSTITUTE($A50,".",CHAR(1),LEN($A50)-LEN(SUBSTITUTE($A50,".",""))))+1,LEN($A50)))))</f>
        <v/>
      </c>
      <c r="C50" s="37" t="str">
        <f aca="false">IF($B50="","",IFERROR(INDEX(Rubric!$B$14:$B$23,MATCH($B50,Rubric!$A$14:$A$23,0)),INDEX(Rubric!$B$14:$B$23,MATCH("other",Rubric!$A$14:$A$23,0))))</f>
        <v/>
      </c>
      <c r="D50" s="26"/>
      <c r="E50" s="38" t="str">
        <f aca="false">IF($B50="","",IFERROR(INDEX(Rubric!$C$14:$C$23,MATCH($B50,Rubric!$A$14:$A$23,0)),INDEX(Rubric!$C$14:$C$23,MATCH("other",Rubric!$A$14:$A$23,0))))</f>
        <v/>
      </c>
      <c r="F50" s="44" t="str">
        <f aca="false">IF(OR($A50="",$D50=""),"",$D50+$E50)</f>
        <v/>
      </c>
      <c r="G50" s="25"/>
      <c r="H50" s="25"/>
      <c r="I50" s="25"/>
      <c r="J50" s="25"/>
      <c r="K50" s="39" t="str">
        <f aca="false">IF($J50="","",IF($J50&gt;=15,5,IF($J50&gt;=10,4,IF($J50&gt;=5,3,IF($J50&gt;=2,2,1)))))</f>
        <v/>
      </c>
      <c r="L50" s="25"/>
      <c r="M50" s="25"/>
      <c r="N50" s="25"/>
      <c r="O50" s="25"/>
      <c r="P50" s="25"/>
      <c r="Q50" s="25"/>
      <c r="R50" s="25"/>
      <c r="S50" s="40" t="str">
        <f aca="false">IF($A50="","",IF(OR(UPPER($O50)="Y",UPPER($P50)="Y",UPPER($Q50)="Y",UPPER($R50)="Y"),"FAIL","PASS"))</f>
        <v/>
      </c>
      <c r="T50" s="39" t="str">
        <f aca="false">IF(OR($A50="",$C50=""),"",$C50*$B$6+$G50*$B$7+$H50*$B$8+$I50*$B$9)</f>
        <v/>
      </c>
      <c r="U50" s="39" t="str">
        <f aca="false">IF(OR($A50="",$K50=""),"",$K50*$B$13+$L50*$B$14+$M50*$B$15+$N50*$B$16)</f>
        <v/>
      </c>
      <c r="V50" s="39" t="str">
        <f aca="false">IF(OR($T50="",$U50=""),"",$T50*$B$19+$U50*(1-$B$19))</f>
        <v/>
      </c>
      <c r="W50" s="27"/>
      <c r="X50" s="22"/>
      <c r="Y50" s="42" t="str">
        <f aca="false">IF(OR($A50="",$W50=""),"",MAX(0,$W50-MAX($W50*Assumptions!$B$4,Assumptions!$B$5)))</f>
        <v/>
      </c>
      <c r="Z50" s="41" t="str">
        <f aca="false">IF($V50="","",Assumptions!$B$6*MAX(0.05,($V50/Assumptions!$B$11)^Assumptions!$B$12))</f>
        <v/>
      </c>
      <c r="AA50" s="41" t="str">
        <f aca="false">IF($Z50="","",1-(1-$Z50)^Assumptions!$B$7)</f>
        <v/>
      </c>
      <c r="AB50" s="42" t="str">
        <f aca="false">IF(OR($F50="",$AA50="",$AA50=0),"",($F50+$E50*Assumptions!$B$7)/($AA50*(1-Assumptions!$B$4)))</f>
        <v/>
      </c>
      <c r="AC50" s="43" t="str">
        <f aca="false">IF(OR($W50="",$AB50="",$AB50=0),"",$W50/$AB50)</f>
        <v/>
      </c>
      <c r="AD50" s="44" t="str">
        <f aca="false">IF(OR($Y50="",$E50="",$AA50=""),"",MAX(0,$Y50*$AA50-$E50*Assumptions!$B$7))</f>
        <v/>
      </c>
      <c r="AE50" s="44" t="str">
        <f aca="false">IF(OR($AD50="",$F50=""),"",$AD50-$F50)</f>
        <v/>
      </c>
      <c r="AF50" s="40" t="str">
        <f aca="false">IF($A50="","",IF($S50="FAIL","REJECT",IF($D50="","NEEDS PRICE",IF(OR($W50="",$X50=""),"NEEDS VALUATION",IF($AC50&lt;1,"OVERPRICED",IF(AND($AC50&gt;=Assumptions!$B$13,$V50&gt;=4),"BUY",IF($V50&gt;=3.4,"BUY CHEAPER",IF($V50&gt;=2.8,"FLOOR ONLY","SKIP"))))))))</f>
        <v/>
      </c>
      <c r="AG50" s="50" t="str">
        <f aca="false">IF($AF50="","",IF($AF50="REJECT","Do not buy at any price",IF($AF50="NEEDS PRICE","Enter the current closeout price",IF($AF50="NEEDS VALUATION","Enter a valuation AND its source before bidding",IF($AF50="OVERPRICED","Worth less than break-even - walk",IF($AF50="BUY","Take it on day 1 at $11 - will not reach the floor",IF($AF50="BUY CHEAPER","Wait to about $8 (day 3), walk if outbid",IF($AF50="FLOOR ONLY","Only at the $5 floor","Skip"))))))))</f>
        <v/>
      </c>
      <c r="AH50" s="35"/>
    </row>
    <row r="51" customFormat="false" ht="15" hidden="false" customHeight="false" outlineLevel="0" collapsed="false">
      <c r="A51" s="22"/>
      <c r="B51" s="36" t="str">
        <f aca="false">IF($A51="","",IF(ISERROR(FIND(".",$A51)),"",LOWER(MID($A51,FIND(CHAR(1),SUBSTITUTE($A51,".",CHAR(1),LEN($A51)-LEN(SUBSTITUTE($A51,".",""))))+1,LEN($A51)))))</f>
        <v/>
      </c>
      <c r="C51" s="37" t="str">
        <f aca="false">IF($B51="","",IFERROR(INDEX(Rubric!$B$14:$B$23,MATCH($B51,Rubric!$A$14:$A$23,0)),INDEX(Rubric!$B$14:$B$23,MATCH("other",Rubric!$A$14:$A$23,0))))</f>
        <v/>
      </c>
      <c r="D51" s="26"/>
      <c r="E51" s="38" t="str">
        <f aca="false">IF($B51="","",IFERROR(INDEX(Rubric!$C$14:$C$23,MATCH($B51,Rubric!$A$14:$A$23,0)),INDEX(Rubric!$C$14:$C$23,MATCH("other",Rubric!$A$14:$A$23,0))))</f>
        <v/>
      </c>
      <c r="F51" s="44" t="str">
        <f aca="false">IF(OR($A51="",$D51=""),"",$D51+$E51)</f>
        <v/>
      </c>
      <c r="G51" s="25"/>
      <c r="H51" s="25"/>
      <c r="I51" s="25"/>
      <c r="J51" s="25"/>
      <c r="K51" s="39" t="str">
        <f aca="false">IF($J51="","",IF($J51&gt;=15,5,IF($J51&gt;=10,4,IF($J51&gt;=5,3,IF($J51&gt;=2,2,1)))))</f>
        <v/>
      </c>
      <c r="L51" s="25"/>
      <c r="M51" s="25"/>
      <c r="N51" s="25"/>
      <c r="O51" s="25"/>
      <c r="P51" s="25"/>
      <c r="Q51" s="25"/>
      <c r="R51" s="25"/>
      <c r="S51" s="40" t="str">
        <f aca="false">IF($A51="","",IF(OR(UPPER($O51)="Y",UPPER($P51)="Y",UPPER($Q51)="Y",UPPER($R51)="Y"),"FAIL","PASS"))</f>
        <v/>
      </c>
      <c r="T51" s="39" t="str">
        <f aca="false">IF(OR($A51="",$C51=""),"",$C51*$B$6+$G51*$B$7+$H51*$B$8+$I51*$B$9)</f>
        <v/>
      </c>
      <c r="U51" s="39" t="str">
        <f aca="false">IF(OR($A51="",$K51=""),"",$K51*$B$13+$L51*$B$14+$M51*$B$15+$N51*$B$16)</f>
        <v/>
      </c>
      <c r="V51" s="39" t="str">
        <f aca="false">IF(OR($T51="",$U51=""),"",$T51*$B$19+$U51*(1-$B$19))</f>
        <v/>
      </c>
      <c r="W51" s="27"/>
      <c r="X51" s="22"/>
      <c r="Y51" s="42" t="str">
        <f aca="false">IF(OR($A51="",$W51=""),"",MAX(0,$W51-MAX($W51*Assumptions!$B$4,Assumptions!$B$5)))</f>
        <v/>
      </c>
      <c r="Z51" s="41" t="str">
        <f aca="false">IF($V51="","",Assumptions!$B$6*MAX(0.05,($V51/Assumptions!$B$11)^Assumptions!$B$12))</f>
        <v/>
      </c>
      <c r="AA51" s="41" t="str">
        <f aca="false">IF($Z51="","",1-(1-$Z51)^Assumptions!$B$7)</f>
        <v/>
      </c>
      <c r="AB51" s="42" t="str">
        <f aca="false">IF(OR($F51="",$AA51="",$AA51=0),"",($F51+$E51*Assumptions!$B$7)/($AA51*(1-Assumptions!$B$4)))</f>
        <v/>
      </c>
      <c r="AC51" s="43" t="str">
        <f aca="false">IF(OR($W51="",$AB51="",$AB51=0),"",$W51/$AB51)</f>
        <v/>
      </c>
      <c r="AD51" s="44" t="str">
        <f aca="false">IF(OR($Y51="",$E51="",$AA51=""),"",MAX(0,$Y51*$AA51-$E51*Assumptions!$B$7))</f>
        <v/>
      </c>
      <c r="AE51" s="44" t="str">
        <f aca="false">IF(OR($AD51="",$F51=""),"",$AD51-$F51)</f>
        <v/>
      </c>
      <c r="AF51" s="40" t="str">
        <f aca="false">IF($A51="","",IF($S51="FAIL","REJECT",IF($D51="","NEEDS PRICE",IF(OR($W51="",$X51=""),"NEEDS VALUATION",IF($AC51&lt;1,"OVERPRICED",IF(AND($AC51&gt;=Assumptions!$B$13,$V51&gt;=4),"BUY",IF($V51&gt;=3.4,"BUY CHEAPER",IF($V51&gt;=2.8,"FLOOR ONLY","SKIP"))))))))</f>
        <v/>
      </c>
      <c r="AG51" s="50" t="str">
        <f aca="false">IF($AF51="","",IF($AF51="REJECT","Do not buy at any price",IF($AF51="NEEDS PRICE","Enter the current closeout price",IF($AF51="NEEDS VALUATION","Enter a valuation AND its source before bidding",IF($AF51="OVERPRICED","Worth less than break-even - walk",IF($AF51="BUY","Take it on day 1 at $11 - will not reach the floor",IF($AF51="BUY CHEAPER","Wait to about $8 (day 3), walk if outbid",IF($AF51="FLOOR ONLY","Only at the $5 floor","Skip"))))))))</f>
        <v/>
      </c>
      <c r="AH51" s="35"/>
    </row>
    <row r="52" customFormat="false" ht="15" hidden="false" customHeight="false" outlineLevel="0" collapsed="false">
      <c r="A52" s="22"/>
      <c r="B52" s="36" t="str">
        <f aca="false">IF($A52="","",IF(ISERROR(FIND(".",$A52)),"",LOWER(MID($A52,FIND(CHAR(1),SUBSTITUTE($A52,".",CHAR(1),LEN($A52)-LEN(SUBSTITUTE($A52,".",""))))+1,LEN($A52)))))</f>
        <v/>
      </c>
      <c r="C52" s="37" t="str">
        <f aca="false">IF($B52="","",IFERROR(INDEX(Rubric!$B$14:$B$23,MATCH($B52,Rubric!$A$14:$A$23,0)),INDEX(Rubric!$B$14:$B$23,MATCH("other",Rubric!$A$14:$A$23,0))))</f>
        <v/>
      </c>
      <c r="D52" s="26"/>
      <c r="E52" s="38" t="str">
        <f aca="false">IF($B52="","",IFERROR(INDEX(Rubric!$C$14:$C$23,MATCH($B52,Rubric!$A$14:$A$23,0)),INDEX(Rubric!$C$14:$C$23,MATCH("other",Rubric!$A$14:$A$23,0))))</f>
        <v/>
      </c>
      <c r="F52" s="44" t="str">
        <f aca="false">IF(OR($A52="",$D52=""),"",$D52+$E52)</f>
        <v/>
      </c>
      <c r="G52" s="25"/>
      <c r="H52" s="25"/>
      <c r="I52" s="25"/>
      <c r="J52" s="25"/>
      <c r="K52" s="39" t="str">
        <f aca="false">IF($J52="","",IF($J52&gt;=15,5,IF($J52&gt;=10,4,IF($J52&gt;=5,3,IF($J52&gt;=2,2,1)))))</f>
        <v/>
      </c>
      <c r="L52" s="25"/>
      <c r="M52" s="25"/>
      <c r="N52" s="25"/>
      <c r="O52" s="25"/>
      <c r="P52" s="25"/>
      <c r="Q52" s="25"/>
      <c r="R52" s="25"/>
      <c r="S52" s="40" t="str">
        <f aca="false">IF($A52="","",IF(OR(UPPER($O52)="Y",UPPER($P52)="Y",UPPER($Q52)="Y",UPPER($R52)="Y"),"FAIL","PASS"))</f>
        <v/>
      </c>
      <c r="T52" s="39" t="str">
        <f aca="false">IF(OR($A52="",$C52=""),"",$C52*$B$6+$G52*$B$7+$H52*$B$8+$I52*$B$9)</f>
        <v/>
      </c>
      <c r="U52" s="39" t="str">
        <f aca="false">IF(OR($A52="",$K52=""),"",$K52*$B$13+$L52*$B$14+$M52*$B$15+$N52*$B$16)</f>
        <v/>
      </c>
      <c r="V52" s="39" t="str">
        <f aca="false">IF(OR($T52="",$U52=""),"",$T52*$B$19+$U52*(1-$B$19))</f>
        <v/>
      </c>
      <c r="W52" s="27"/>
      <c r="X52" s="22"/>
      <c r="Y52" s="42" t="str">
        <f aca="false">IF(OR($A52="",$W52=""),"",MAX(0,$W52-MAX($W52*Assumptions!$B$4,Assumptions!$B$5)))</f>
        <v/>
      </c>
      <c r="Z52" s="41" t="str">
        <f aca="false">IF($V52="","",Assumptions!$B$6*MAX(0.05,($V52/Assumptions!$B$11)^Assumptions!$B$12))</f>
        <v/>
      </c>
      <c r="AA52" s="41" t="str">
        <f aca="false">IF($Z52="","",1-(1-$Z52)^Assumptions!$B$7)</f>
        <v/>
      </c>
      <c r="AB52" s="42" t="str">
        <f aca="false">IF(OR($F52="",$AA52="",$AA52=0),"",($F52+$E52*Assumptions!$B$7)/($AA52*(1-Assumptions!$B$4)))</f>
        <v/>
      </c>
      <c r="AC52" s="43" t="str">
        <f aca="false">IF(OR($W52="",$AB52="",$AB52=0),"",$W52/$AB52)</f>
        <v/>
      </c>
      <c r="AD52" s="44" t="str">
        <f aca="false">IF(OR($Y52="",$E52="",$AA52=""),"",MAX(0,$Y52*$AA52-$E52*Assumptions!$B$7))</f>
        <v/>
      </c>
      <c r="AE52" s="44" t="str">
        <f aca="false">IF(OR($AD52="",$F52=""),"",$AD52-$F52)</f>
        <v/>
      </c>
      <c r="AF52" s="40" t="str">
        <f aca="false">IF($A52="","",IF($S52="FAIL","REJECT",IF($D52="","NEEDS PRICE",IF(OR($W52="",$X52=""),"NEEDS VALUATION",IF($AC52&lt;1,"OVERPRICED",IF(AND($AC52&gt;=Assumptions!$B$13,$V52&gt;=4),"BUY",IF($V52&gt;=3.4,"BUY CHEAPER",IF($V52&gt;=2.8,"FLOOR ONLY","SKIP"))))))))</f>
        <v/>
      </c>
      <c r="AG52" s="50" t="str">
        <f aca="false">IF($AF52="","",IF($AF52="REJECT","Do not buy at any price",IF($AF52="NEEDS PRICE","Enter the current closeout price",IF($AF52="NEEDS VALUATION","Enter a valuation AND its source before bidding",IF($AF52="OVERPRICED","Worth less than break-even - walk",IF($AF52="BUY","Take it on day 1 at $11 - will not reach the floor",IF($AF52="BUY CHEAPER","Wait to about $8 (day 3), walk if outbid",IF($AF52="FLOOR ONLY","Only at the $5 floor","Skip"))))))))</f>
        <v/>
      </c>
      <c r="AH52" s="35"/>
    </row>
    <row r="53" customFormat="false" ht="15" hidden="false" customHeight="false" outlineLevel="0" collapsed="false">
      <c r="A53" s="22"/>
      <c r="B53" s="36" t="str">
        <f aca="false">IF($A53="","",IF(ISERROR(FIND(".",$A53)),"",LOWER(MID($A53,FIND(CHAR(1),SUBSTITUTE($A53,".",CHAR(1),LEN($A53)-LEN(SUBSTITUTE($A53,".",""))))+1,LEN($A53)))))</f>
        <v/>
      </c>
      <c r="C53" s="37" t="str">
        <f aca="false">IF($B53="","",IFERROR(INDEX(Rubric!$B$14:$B$23,MATCH($B53,Rubric!$A$14:$A$23,0)),INDEX(Rubric!$B$14:$B$23,MATCH("other",Rubric!$A$14:$A$23,0))))</f>
        <v/>
      </c>
      <c r="D53" s="26"/>
      <c r="E53" s="38" t="str">
        <f aca="false">IF($B53="","",IFERROR(INDEX(Rubric!$C$14:$C$23,MATCH($B53,Rubric!$A$14:$A$23,0)),INDEX(Rubric!$C$14:$C$23,MATCH("other",Rubric!$A$14:$A$23,0))))</f>
        <v/>
      </c>
      <c r="F53" s="44" t="str">
        <f aca="false">IF(OR($A53="",$D53=""),"",$D53+$E53)</f>
        <v/>
      </c>
      <c r="G53" s="25"/>
      <c r="H53" s="25"/>
      <c r="I53" s="25"/>
      <c r="J53" s="25"/>
      <c r="K53" s="39" t="str">
        <f aca="false">IF($J53="","",IF($J53&gt;=15,5,IF($J53&gt;=10,4,IF($J53&gt;=5,3,IF($J53&gt;=2,2,1)))))</f>
        <v/>
      </c>
      <c r="L53" s="25"/>
      <c r="M53" s="25"/>
      <c r="N53" s="25"/>
      <c r="O53" s="25"/>
      <c r="P53" s="25"/>
      <c r="Q53" s="25"/>
      <c r="R53" s="25"/>
      <c r="S53" s="40" t="str">
        <f aca="false">IF($A53="","",IF(OR(UPPER($O53)="Y",UPPER($P53)="Y",UPPER($Q53)="Y",UPPER($R53)="Y"),"FAIL","PASS"))</f>
        <v/>
      </c>
      <c r="T53" s="39" t="str">
        <f aca="false">IF(OR($A53="",$C53=""),"",$C53*$B$6+$G53*$B$7+$H53*$B$8+$I53*$B$9)</f>
        <v/>
      </c>
      <c r="U53" s="39" t="str">
        <f aca="false">IF(OR($A53="",$K53=""),"",$K53*$B$13+$L53*$B$14+$M53*$B$15+$N53*$B$16)</f>
        <v/>
      </c>
      <c r="V53" s="39" t="str">
        <f aca="false">IF(OR($T53="",$U53=""),"",$T53*$B$19+$U53*(1-$B$19))</f>
        <v/>
      </c>
      <c r="W53" s="27"/>
      <c r="X53" s="22"/>
      <c r="Y53" s="42" t="str">
        <f aca="false">IF(OR($A53="",$W53=""),"",MAX(0,$W53-MAX($W53*Assumptions!$B$4,Assumptions!$B$5)))</f>
        <v/>
      </c>
      <c r="Z53" s="41" t="str">
        <f aca="false">IF($V53="","",Assumptions!$B$6*MAX(0.05,($V53/Assumptions!$B$11)^Assumptions!$B$12))</f>
        <v/>
      </c>
      <c r="AA53" s="41" t="str">
        <f aca="false">IF($Z53="","",1-(1-$Z53)^Assumptions!$B$7)</f>
        <v/>
      </c>
      <c r="AB53" s="42" t="str">
        <f aca="false">IF(OR($F53="",$AA53="",$AA53=0),"",($F53+$E53*Assumptions!$B$7)/($AA53*(1-Assumptions!$B$4)))</f>
        <v/>
      </c>
      <c r="AC53" s="43" t="str">
        <f aca="false">IF(OR($W53="",$AB53="",$AB53=0),"",$W53/$AB53)</f>
        <v/>
      </c>
      <c r="AD53" s="44" t="str">
        <f aca="false">IF(OR($Y53="",$E53="",$AA53=""),"",MAX(0,$Y53*$AA53-$E53*Assumptions!$B$7))</f>
        <v/>
      </c>
      <c r="AE53" s="44" t="str">
        <f aca="false">IF(OR($AD53="",$F53=""),"",$AD53-$F53)</f>
        <v/>
      </c>
      <c r="AF53" s="40" t="str">
        <f aca="false">IF($A53="","",IF($S53="FAIL","REJECT",IF($D53="","NEEDS PRICE",IF(OR($W53="",$X53=""),"NEEDS VALUATION",IF($AC53&lt;1,"OVERPRICED",IF(AND($AC53&gt;=Assumptions!$B$13,$V53&gt;=4),"BUY",IF($V53&gt;=3.4,"BUY CHEAPER",IF($V53&gt;=2.8,"FLOOR ONLY","SKIP"))))))))</f>
        <v/>
      </c>
      <c r="AG53" s="50" t="str">
        <f aca="false">IF($AF53="","",IF($AF53="REJECT","Do not buy at any price",IF($AF53="NEEDS PRICE","Enter the current closeout price",IF($AF53="NEEDS VALUATION","Enter a valuation AND its source before bidding",IF($AF53="OVERPRICED","Worth less than break-even - walk",IF($AF53="BUY","Take it on day 1 at $11 - will not reach the floor",IF($AF53="BUY CHEAPER","Wait to about $8 (day 3), walk if outbid",IF($AF53="FLOOR ONLY","Only at the $5 floor","Skip"))))))))</f>
        <v/>
      </c>
      <c r="AH53" s="35"/>
    </row>
    <row r="54" customFormat="false" ht="15" hidden="false" customHeight="false" outlineLevel="0" collapsed="false">
      <c r="A54" s="22"/>
      <c r="B54" s="36" t="str">
        <f aca="false">IF($A54="","",IF(ISERROR(FIND(".",$A54)),"",LOWER(MID($A54,FIND(CHAR(1),SUBSTITUTE($A54,".",CHAR(1),LEN($A54)-LEN(SUBSTITUTE($A54,".",""))))+1,LEN($A54)))))</f>
        <v/>
      </c>
      <c r="C54" s="37" t="str">
        <f aca="false">IF($B54="","",IFERROR(INDEX(Rubric!$B$14:$B$23,MATCH($B54,Rubric!$A$14:$A$23,0)),INDEX(Rubric!$B$14:$B$23,MATCH("other",Rubric!$A$14:$A$23,0))))</f>
        <v/>
      </c>
      <c r="D54" s="26"/>
      <c r="E54" s="38" t="str">
        <f aca="false">IF($B54="","",IFERROR(INDEX(Rubric!$C$14:$C$23,MATCH($B54,Rubric!$A$14:$A$23,0)),INDEX(Rubric!$C$14:$C$23,MATCH("other",Rubric!$A$14:$A$23,0))))</f>
        <v/>
      </c>
      <c r="F54" s="44" t="str">
        <f aca="false">IF(OR($A54="",$D54=""),"",$D54+$E54)</f>
        <v/>
      </c>
      <c r="G54" s="25"/>
      <c r="H54" s="25"/>
      <c r="I54" s="25"/>
      <c r="J54" s="25"/>
      <c r="K54" s="39" t="str">
        <f aca="false">IF($J54="","",IF($J54&gt;=15,5,IF($J54&gt;=10,4,IF($J54&gt;=5,3,IF($J54&gt;=2,2,1)))))</f>
        <v/>
      </c>
      <c r="L54" s="25"/>
      <c r="M54" s="25"/>
      <c r="N54" s="25"/>
      <c r="O54" s="25"/>
      <c r="P54" s="25"/>
      <c r="Q54" s="25"/>
      <c r="R54" s="25"/>
      <c r="S54" s="40" t="str">
        <f aca="false">IF($A54="","",IF(OR(UPPER($O54)="Y",UPPER($P54)="Y",UPPER($Q54)="Y",UPPER($R54)="Y"),"FAIL","PASS"))</f>
        <v/>
      </c>
      <c r="T54" s="39" t="str">
        <f aca="false">IF(OR($A54="",$C54=""),"",$C54*$B$6+$G54*$B$7+$H54*$B$8+$I54*$B$9)</f>
        <v/>
      </c>
      <c r="U54" s="39" t="str">
        <f aca="false">IF(OR($A54="",$K54=""),"",$K54*$B$13+$L54*$B$14+$M54*$B$15+$N54*$B$16)</f>
        <v/>
      </c>
      <c r="V54" s="39" t="str">
        <f aca="false">IF(OR($T54="",$U54=""),"",$T54*$B$19+$U54*(1-$B$19))</f>
        <v/>
      </c>
      <c r="W54" s="27"/>
      <c r="X54" s="22"/>
      <c r="Y54" s="42" t="str">
        <f aca="false">IF(OR($A54="",$W54=""),"",MAX(0,$W54-MAX($W54*Assumptions!$B$4,Assumptions!$B$5)))</f>
        <v/>
      </c>
      <c r="Z54" s="41" t="str">
        <f aca="false">IF($V54="","",Assumptions!$B$6*MAX(0.05,($V54/Assumptions!$B$11)^Assumptions!$B$12))</f>
        <v/>
      </c>
      <c r="AA54" s="41" t="str">
        <f aca="false">IF($Z54="","",1-(1-$Z54)^Assumptions!$B$7)</f>
        <v/>
      </c>
      <c r="AB54" s="42" t="str">
        <f aca="false">IF(OR($F54="",$AA54="",$AA54=0),"",($F54+$E54*Assumptions!$B$7)/($AA54*(1-Assumptions!$B$4)))</f>
        <v/>
      </c>
      <c r="AC54" s="43" t="str">
        <f aca="false">IF(OR($W54="",$AB54="",$AB54=0),"",$W54/$AB54)</f>
        <v/>
      </c>
      <c r="AD54" s="44" t="str">
        <f aca="false">IF(OR($Y54="",$E54="",$AA54=""),"",MAX(0,$Y54*$AA54-$E54*Assumptions!$B$7))</f>
        <v/>
      </c>
      <c r="AE54" s="44" t="str">
        <f aca="false">IF(OR($AD54="",$F54=""),"",$AD54-$F54)</f>
        <v/>
      </c>
      <c r="AF54" s="40" t="str">
        <f aca="false">IF($A54="","",IF($S54="FAIL","REJECT",IF($D54="","NEEDS PRICE",IF(OR($W54="",$X54=""),"NEEDS VALUATION",IF($AC54&lt;1,"OVERPRICED",IF(AND($AC54&gt;=Assumptions!$B$13,$V54&gt;=4),"BUY",IF($V54&gt;=3.4,"BUY CHEAPER",IF($V54&gt;=2.8,"FLOOR ONLY","SKIP"))))))))</f>
        <v/>
      </c>
      <c r="AG54" s="50" t="str">
        <f aca="false">IF($AF54="","",IF($AF54="REJECT","Do not buy at any price",IF($AF54="NEEDS PRICE","Enter the current closeout price",IF($AF54="NEEDS VALUATION","Enter a valuation AND its source before bidding",IF($AF54="OVERPRICED","Worth less than break-even - walk",IF($AF54="BUY","Take it on day 1 at $11 - will not reach the floor",IF($AF54="BUY CHEAPER","Wait to about $8 (day 3), walk if outbid",IF($AF54="FLOOR ONLY","Only at the $5 floor","Skip"))))))))</f>
        <v/>
      </c>
      <c r="AH54" s="35"/>
    </row>
    <row r="55" customFormat="false" ht="15" hidden="false" customHeight="false" outlineLevel="0" collapsed="false">
      <c r="A55" s="22"/>
      <c r="B55" s="36" t="str">
        <f aca="false">IF($A55="","",IF(ISERROR(FIND(".",$A55)),"",LOWER(MID($A55,FIND(CHAR(1),SUBSTITUTE($A55,".",CHAR(1),LEN($A55)-LEN(SUBSTITUTE($A55,".",""))))+1,LEN($A55)))))</f>
        <v/>
      </c>
      <c r="C55" s="37" t="str">
        <f aca="false">IF($B55="","",IFERROR(INDEX(Rubric!$B$14:$B$23,MATCH($B55,Rubric!$A$14:$A$23,0)),INDEX(Rubric!$B$14:$B$23,MATCH("other",Rubric!$A$14:$A$23,0))))</f>
        <v/>
      </c>
      <c r="D55" s="26"/>
      <c r="E55" s="38" t="str">
        <f aca="false">IF($B55="","",IFERROR(INDEX(Rubric!$C$14:$C$23,MATCH($B55,Rubric!$A$14:$A$23,0)),INDEX(Rubric!$C$14:$C$23,MATCH("other",Rubric!$A$14:$A$23,0))))</f>
        <v/>
      </c>
      <c r="F55" s="44" t="str">
        <f aca="false">IF(OR($A55="",$D55=""),"",$D55+$E55)</f>
        <v/>
      </c>
      <c r="G55" s="25"/>
      <c r="H55" s="25"/>
      <c r="I55" s="25"/>
      <c r="J55" s="25"/>
      <c r="K55" s="39" t="str">
        <f aca="false">IF($J55="","",IF($J55&gt;=15,5,IF($J55&gt;=10,4,IF($J55&gt;=5,3,IF($J55&gt;=2,2,1)))))</f>
        <v/>
      </c>
      <c r="L55" s="25"/>
      <c r="M55" s="25"/>
      <c r="N55" s="25"/>
      <c r="O55" s="25"/>
      <c r="P55" s="25"/>
      <c r="Q55" s="25"/>
      <c r="R55" s="25"/>
      <c r="S55" s="40" t="str">
        <f aca="false">IF($A55="","",IF(OR(UPPER($O55)="Y",UPPER($P55)="Y",UPPER($Q55)="Y",UPPER($R55)="Y"),"FAIL","PASS"))</f>
        <v/>
      </c>
      <c r="T55" s="39" t="str">
        <f aca="false">IF(OR($A55="",$C55=""),"",$C55*$B$6+$G55*$B$7+$H55*$B$8+$I55*$B$9)</f>
        <v/>
      </c>
      <c r="U55" s="39" t="str">
        <f aca="false">IF(OR($A55="",$K55=""),"",$K55*$B$13+$L55*$B$14+$M55*$B$15+$N55*$B$16)</f>
        <v/>
      </c>
      <c r="V55" s="39" t="str">
        <f aca="false">IF(OR($T55="",$U55=""),"",$T55*$B$19+$U55*(1-$B$19))</f>
        <v/>
      </c>
      <c r="W55" s="27"/>
      <c r="X55" s="22"/>
      <c r="Y55" s="42" t="str">
        <f aca="false">IF(OR($A55="",$W55=""),"",MAX(0,$W55-MAX($W55*Assumptions!$B$4,Assumptions!$B$5)))</f>
        <v/>
      </c>
      <c r="Z55" s="41" t="str">
        <f aca="false">IF($V55="","",Assumptions!$B$6*MAX(0.05,($V55/Assumptions!$B$11)^Assumptions!$B$12))</f>
        <v/>
      </c>
      <c r="AA55" s="41" t="str">
        <f aca="false">IF($Z55="","",1-(1-$Z55)^Assumptions!$B$7)</f>
        <v/>
      </c>
      <c r="AB55" s="42" t="str">
        <f aca="false">IF(OR($F55="",$AA55="",$AA55=0),"",($F55+$E55*Assumptions!$B$7)/($AA55*(1-Assumptions!$B$4)))</f>
        <v/>
      </c>
      <c r="AC55" s="43" t="str">
        <f aca="false">IF(OR($W55="",$AB55="",$AB55=0),"",$W55/$AB55)</f>
        <v/>
      </c>
      <c r="AD55" s="44" t="str">
        <f aca="false">IF(OR($Y55="",$E55="",$AA55=""),"",MAX(0,$Y55*$AA55-$E55*Assumptions!$B$7))</f>
        <v/>
      </c>
      <c r="AE55" s="44" t="str">
        <f aca="false">IF(OR($AD55="",$F55=""),"",$AD55-$F55)</f>
        <v/>
      </c>
      <c r="AF55" s="40" t="str">
        <f aca="false">IF($A55="","",IF($S55="FAIL","REJECT",IF($D55="","NEEDS PRICE",IF(OR($W55="",$X55=""),"NEEDS VALUATION",IF($AC55&lt;1,"OVERPRICED",IF(AND($AC55&gt;=Assumptions!$B$13,$V55&gt;=4),"BUY",IF($V55&gt;=3.4,"BUY CHEAPER",IF($V55&gt;=2.8,"FLOOR ONLY","SKIP"))))))))</f>
        <v/>
      </c>
      <c r="AG55" s="50" t="str">
        <f aca="false">IF($AF55="","",IF($AF55="REJECT","Do not buy at any price",IF($AF55="NEEDS PRICE","Enter the current closeout price",IF($AF55="NEEDS VALUATION","Enter a valuation AND its source before bidding",IF($AF55="OVERPRICED","Worth less than break-even - walk",IF($AF55="BUY","Take it on day 1 at $11 - will not reach the floor",IF($AF55="BUY CHEAPER","Wait to about $8 (day 3), walk if outbid",IF($AF55="FLOOR ONLY","Only at the $5 floor","Skip"))))))))</f>
        <v/>
      </c>
      <c r="AH55" s="35"/>
    </row>
    <row r="56" customFormat="false" ht="15" hidden="false" customHeight="false" outlineLevel="0" collapsed="false">
      <c r="A56" s="22"/>
      <c r="B56" s="36" t="str">
        <f aca="false">IF($A56="","",IF(ISERROR(FIND(".",$A56)),"",LOWER(MID($A56,FIND(CHAR(1),SUBSTITUTE($A56,".",CHAR(1),LEN($A56)-LEN(SUBSTITUTE($A56,".",""))))+1,LEN($A56)))))</f>
        <v/>
      </c>
      <c r="C56" s="37" t="str">
        <f aca="false">IF($B56="","",IFERROR(INDEX(Rubric!$B$14:$B$23,MATCH($B56,Rubric!$A$14:$A$23,0)),INDEX(Rubric!$B$14:$B$23,MATCH("other",Rubric!$A$14:$A$23,0))))</f>
        <v/>
      </c>
      <c r="D56" s="26"/>
      <c r="E56" s="38" t="str">
        <f aca="false">IF($B56="","",IFERROR(INDEX(Rubric!$C$14:$C$23,MATCH($B56,Rubric!$A$14:$A$23,0)),INDEX(Rubric!$C$14:$C$23,MATCH("other",Rubric!$A$14:$A$23,0))))</f>
        <v/>
      </c>
      <c r="F56" s="44" t="str">
        <f aca="false">IF(OR($A56="",$D56=""),"",$D56+$E56)</f>
        <v/>
      </c>
      <c r="G56" s="25"/>
      <c r="H56" s="25"/>
      <c r="I56" s="25"/>
      <c r="J56" s="25"/>
      <c r="K56" s="39" t="str">
        <f aca="false">IF($J56="","",IF($J56&gt;=15,5,IF($J56&gt;=10,4,IF($J56&gt;=5,3,IF($J56&gt;=2,2,1)))))</f>
        <v/>
      </c>
      <c r="L56" s="25"/>
      <c r="M56" s="25"/>
      <c r="N56" s="25"/>
      <c r="O56" s="25"/>
      <c r="P56" s="25"/>
      <c r="Q56" s="25"/>
      <c r="R56" s="25"/>
      <c r="S56" s="40" t="str">
        <f aca="false">IF($A56="","",IF(OR(UPPER($O56)="Y",UPPER($P56)="Y",UPPER($Q56)="Y",UPPER($R56)="Y"),"FAIL","PASS"))</f>
        <v/>
      </c>
      <c r="T56" s="39" t="str">
        <f aca="false">IF(OR($A56="",$C56=""),"",$C56*$B$6+$G56*$B$7+$H56*$B$8+$I56*$B$9)</f>
        <v/>
      </c>
      <c r="U56" s="39" t="str">
        <f aca="false">IF(OR($A56="",$K56=""),"",$K56*$B$13+$L56*$B$14+$M56*$B$15+$N56*$B$16)</f>
        <v/>
      </c>
      <c r="V56" s="39" t="str">
        <f aca="false">IF(OR($T56="",$U56=""),"",$T56*$B$19+$U56*(1-$B$19))</f>
        <v/>
      </c>
      <c r="W56" s="27"/>
      <c r="X56" s="22"/>
      <c r="Y56" s="42" t="str">
        <f aca="false">IF(OR($A56="",$W56=""),"",MAX(0,$W56-MAX($W56*Assumptions!$B$4,Assumptions!$B$5)))</f>
        <v/>
      </c>
      <c r="Z56" s="41" t="str">
        <f aca="false">IF($V56="","",Assumptions!$B$6*MAX(0.05,($V56/Assumptions!$B$11)^Assumptions!$B$12))</f>
        <v/>
      </c>
      <c r="AA56" s="41" t="str">
        <f aca="false">IF($Z56="","",1-(1-$Z56)^Assumptions!$B$7)</f>
        <v/>
      </c>
      <c r="AB56" s="42" t="str">
        <f aca="false">IF(OR($F56="",$AA56="",$AA56=0),"",($F56+$E56*Assumptions!$B$7)/($AA56*(1-Assumptions!$B$4)))</f>
        <v/>
      </c>
      <c r="AC56" s="43" t="str">
        <f aca="false">IF(OR($W56="",$AB56="",$AB56=0),"",$W56/$AB56)</f>
        <v/>
      </c>
      <c r="AD56" s="44" t="str">
        <f aca="false">IF(OR($Y56="",$E56="",$AA56=""),"",MAX(0,$Y56*$AA56-$E56*Assumptions!$B$7))</f>
        <v/>
      </c>
      <c r="AE56" s="44" t="str">
        <f aca="false">IF(OR($AD56="",$F56=""),"",$AD56-$F56)</f>
        <v/>
      </c>
      <c r="AF56" s="40" t="str">
        <f aca="false">IF($A56="","",IF($S56="FAIL","REJECT",IF($D56="","NEEDS PRICE",IF(OR($W56="",$X56=""),"NEEDS VALUATION",IF($AC56&lt;1,"OVERPRICED",IF(AND($AC56&gt;=Assumptions!$B$13,$V56&gt;=4),"BUY",IF($V56&gt;=3.4,"BUY CHEAPER",IF($V56&gt;=2.8,"FLOOR ONLY","SKIP"))))))))</f>
        <v/>
      </c>
      <c r="AG56" s="50" t="str">
        <f aca="false">IF($AF56="","",IF($AF56="REJECT","Do not buy at any price",IF($AF56="NEEDS PRICE","Enter the current closeout price",IF($AF56="NEEDS VALUATION","Enter a valuation AND its source before bidding",IF($AF56="OVERPRICED","Worth less than break-even - walk",IF($AF56="BUY","Take it on day 1 at $11 - will not reach the floor",IF($AF56="BUY CHEAPER","Wait to about $8 (day 3), walk if outbid",IF($AF56="FLOOR ONLY","Only at the $5 floor","Skip"))))))))</f>
        <v/>
      </c>
      <c r="AH56" s="35"/>
    </row>
    <row r="57" customFormat="false" ht="15" hidden="false" customHeight="false" outlineLevel="0" collapsed="false">
      <c r="A57" s="22"/>
      <c r="B57" s="36" t="str">
        <f aca="false">IF($A57="","",IF(ISERROR(FIND(".",$A57)),"",LOWER(MID($A57,FIND(CHAR(1),SUBSTITUTE($A57,".",CHAR(1),LEN($A57)-LEN(SUBSTITUTE($A57,".",""))))+1,LEN($A57)))))</f>
        <v/>
      </c>
      <c r="C57" s="37" t="str">
        <f aca="false">IF($B57="","",IFERROR(INDEX(Rubric!$B$14:$B$23,MATCH($B57,Rubric!$A$14:$A$23,0)),INDEX(Rubric!$B$14:$B$23,MATCH("other",Rubric!$A$14:$A$23,0))))</f>
        <v/>
      </c>
      <c r="D57" s="26"/>
      <c r="E57" s="38" t="str">
        <f aca="false">IF($B57="","",IFERROR(INDEX(Rubric!$C$14:$C$23,MATCH($B57,Rubric!$A$14:$A$23,0)),INDEX(Rubric!$C$14:$C$23,MATCH("other",Rubric!$A$14:$A$23,0))))</f>
        <v/>
      </c>
      <c r="F57" s="44" t="str">
        <f aca="false">IF(OR($A57="",$D57=""),"",$D57+$E57)</f>
        <v/>
      </c>
      <c r="G57" s="25"/>
      <c r="H57" s="25"/>
      <c r="I57" s="25"/>
      <c r="J57" s="25"/>
      <c r="K57" s="39" t="str">
        <f aca="false">IF($J57="","",IF($J57&gt;=15,5,IF($J57&gt;=10,4,IF($J57&gt;=5,3,IF($J57&gt;=2,2,1)))))</f>
        <v/>
      </c>
      <c r="L57" s="25"/>
      <c r="M57" s="25"/>
      <c r="N57" s="25"/>
      <c r="O57" s="25"/>
      <c r="P57" s="25"/>
      <c r="Q57" s="25"/>
      <c r="R57" s="25"/>
      <c r="S57" s="40" t="str">
        <f aca="false">IF($A57="","",IF(OR(UPPER($O57)="Y",UPPER($P57)="Y",UPPER($Q57)="Y",UPPER($R57)="Y"),"FAIL","PASS"))</f>
        <v/>
      </c>
      <c r="T57" s="39" t="str">
        <f aca="false">IF(OR($A57="",$C57=""),"",$C57*$B$6+$G57*$B$7+$H57*$B$8+$I57*$B$9)</f>
        <v/>
      </c>
      <c r="U57" s="39" t="str">
        <f aca="false">IF(OR($A57="",$K57=""),"",$K57*$B$13+$L57*$B$14+$M57*$B$15+$N57*$B$16)</f>
        <v/>
      </c>
      <c r="V57" s="39" t="str">
        <f aca="false">IF(OR($T57="",$U57=""),"",$T57*$B$19+$U57*(1-$B$19))</f>
        <v/>
      </c>
      <c r="W57" s="27"/>
      <c r="X57" s="22"/>
      <c r="Y57" s="42" t="str">
        <f aca="false">IF(OR($A57="",$W57=""),"",MAX(0,$W57-MAX($W57*Assumptions!$B$4,Assumptions!$B$5)))</f>
        <v/>
      </c>
      <c r="Z57" s="41" t="str">
        <f aca="false">IF($V57="","",Assumptions!$B$6*MAX(0.05,($V57/Assumptions!$B$11)^Assumptions!$B$12))</f>
        <v/>
      </c>
      <c r="AA57" s="41" t="str">
        <f aca="false">IF($Z57="","",1-(1-$Z57)^Assumptions!$B$7)</f>
        <v/>
      </c>
      <c r="AB57" s="42" t="str">
        <f aca="false">IF(OR($F57="",$AA57="",$AA57=0),"",($F57+$E57*Assumptions!$B$7)/($AA57*(1-Assumptions!$B$4)))</f>
        <v/>
      </c>
      <c r="AC57" s="43" t="str">
        <f aca="false">IF(OR($W57="",$AB57="",$AB57=0),"",$W57/$AB57)</f>
        <v/>
      </c>
      <c r="AD57" s="44" t="str">
        <f aca="false">IF(OR($Y57="",$E57="",$AA57=""),"",MAX(0,$Y57*$AA57-$E57*Assumptions!$B$7))</f>
        <v/>
      </c>
      <c r="AE57" s="44" t="str">
        <f aca="false">IF(OR($AD57="",$F57=""),"",$AD57-$F57)</f>
        <v/>
      </c>
      <c r="AF57" s="40" t="str">
        <f aca="false">IF($A57="","",IF($S57="FAIL","REJECT",IF($D57="","NEEDS PRICE",IF(OR($W57="",$X57=""),"NEEDS VALUATION",IF($AC57&lt;1,"OVERPRICED",IF(AND($AC57&gt;=Assumptions!$B$13,$V57&gt;=4),"BUY",IF($V57&gt;=3.4,"BUY CHEAPER",IF($V57&gt;=2.8,"FLOOR ONLY","SKIP"))))))))</f>
        <v/>
      </c>
      <c r="AG57" s="50" t="str">
        <f aca="false">IF($AF57="","",IF($AF57="REJECT","Do not buy at any price",IF($AF57="NEEDS PRICE","Enter the current closeout price",IF($AF57="NEEDS VALUATION","Enter a valuation AND its source before bidding",IF($AF57="OVERPRICED","Worth less than break-even - walk",IF($AF57="BUY","Take it on day 1 at $11 - will not reach the floor",IF($AF57="BUY CHEAPER","Wait to about $8 (day 3), walk if outbid",IF($AF57="FLOOR ONLY","Only at the $5 floor","Skip"))))))))</f>
        <v/>
      </c>
      <c r="AH57" s="35"/>
    </row>
    <row r="58" customFormat="false" ht="15" hidden="false" customHeight="false" outlineLevel="0" collapsed="false">
      <c r="A58" s="22"/>
      <c r="B58" s="36" t="str">
        <f aca="false">IF($A58="","",IF(ISERROR(FIND(".",$A58)),"",LOWER(MID($A58,FIND(CHAR(1),SUBSTITUTE($A58,".",CHAR(1),LEN($A58)-LEN(SUBSTITUTE($A58,".",""))))+1,LEN($A58)))))</f>
        <v/>
      </c>
      <c r="C58" s="37" t="str">
        <f aca="false">IF($B58="","",IFERROR(INDEX(Rubric!$B$14:$B$23,MATCH($B58,Rubric!$A$14:$A$23,0)),INDEX(Rubric!$B$14:$B$23,MATCH("other",Rubric!$A$14:$A$23,0))))</f>
        <v/>
      </c>
      <c r="D58" s="26"/>
      <c r="E58" s="38" t="str">
        <f aca="false">IF($B58="","",IFERROR(INDEX(Rubric!$C$14:$C$23,MATCH($B58,Rubric!$A$14:$A$23,0)),INDEX(Rubric!$C$14:$C$23,MATCH("other",Rubric!$A$14:$A$23,0))))</f>
        <v/>
      </c>
      <c r="F58" s="44" t="str">
        <f aca="false">IF(OR($A58="",$D58=""),"",$D58+$E58)</f>
        <v/>
      </c>
      <c r="G58" s="25"/>
      <c r="H58" s="25"/>
      <c r="I58" s="25"/>
      <c r="J58" s="25"/>
      <c r="K58" s="39" t="str">
        <f aca="false">IF($J58="","",IF($J58&gt;=15,5,IF($J58&gt;=10,4,IF($J58&gt;=5,3,IF($J58&gt;=2,2,1)))))</f>
        <v/>
      </c>
      <c r="L58" s="25"/>
      <c r="M58" s="25"/>
      <c r="N58" s="25"/>
      <c r="O58" s="25"/>
      <c r="P58" s="25"/>
      <c r="Q58" s="25"/>
      <c r="R58" s="25"/>
      <c r="S58" s="40" t="str">
        <f aca="false">IF($A58="","",IF(OR(UPPER($O58)="Y",UPPER($P58)="Y",UPPER($Q58)="Y",UPPER($R58)="Y"),"FAIL","PASS"))</f>
        <v/>
      </c>
      <c r="T58" s="39" t="str">
        <f aca="false">IF(OR($A58="",$C58=""),"",$C58*$B$6+$G58*$B$7+$H58*$B$8+$I58*$B$9)</f>
        <v/>
      </c>
      <c r="U58" s="39" t="str">
        <f aca="false">IF(OR($A58="",$K58=""),"",$K58*$B$13+$L58*$B$14+$M58*$B$15+$N58*$B$16)</f>
        <v/>
      </c>
      <c r="V58" s="39" t="str">
        <f aca="false">IF(OR($T58="",$U58=""),"",$T58*$B$19+$U58*(1-$B$19))</f>
        <v/>
      </c>
      <c r="W58" s="27"/>
      <c r="X58" s="22"/>
      <c r="Y58" s="42" t="str">
        <f aca="false">IF(OR($A58="",$W58=""),"",MAX(0,$W58-MAX($W58*Assumptions!$B$4,Assumptions!$B$5)))</f>
        <v/>
      </c>
      <c r="Z58" s="41" t="str">
        <f aca="false">IF($V58="","",Assumptions!$B$6*MAX(0.05,($V58/Assumptions!$B$11)^Assumptions!$B$12))</f>
        <v/>
      </c>
      <c r="AA58" s="41" t="str">
        <f aca="false">IF($Z58="","",1-(1-$Z58)^Assumptions!$B$7)</f>
        <v/>
      </c>
      <c r="AB58" s="42" t="str">
        <f aca="false">IF(OR($F58="",$AA58="",$AA58=0),"",($F58+$E58*Assumptions!$B$7)/($AA58*(1-Assumptions!$B$4)))</f>
        <v/>
      </c>
      <c r="AC58" s="43" t="str">
        <f aca="false">IF(OR($W58="",$AB58="",$AB58=0),"",$W58/$AB58)</f>
        <v/>
      </c>
      <c r="AD58" s="44" t="str">
        <f aca="false">IF(OR($Y58="",$E58="",$AA58=""),"",MAX(0,$Y58*$AA58-$E58*Assumptions!$B$7))</f>
        <v/>
      </c>
      <c r="AE58" s="44" t="str">
        <f aca="false">IF(OR($AD58="",$F58=""),"",$AD58-$F58)</f>
        <v/>
      </c>
      <c r="AF58" s="40" t="str">
        <f aca="false">IF($A58="","",IF($S58="FAIL","REJECT",IF($D58="","NEEDS PRICE",IF(OR($W58="",$X58=""),"NEEDS VALUATION",IF($AC58&lt;1,"OVERPRICED",IF(AND($AC58&gt;=Assumptions!$B$13,$V58&gt;=4),"BUY",IF($V58&gt;=3.4,"BUY CHEAPER",IF($V58&gt;=2.8,"FLOOR ONLY","SKIP"))))))))</f>
        <v/>
      </c>
      <c r="AG58" s="50" t="str">
        <f aca="false">IF($AF58="","",IF($AF58="REJECT","Do not buy at any price",IF($AF58="NEEDS PRICE","Enter the current closeout price",IF($AF58="NEEDS VALUATION","Enter a valuation AND its source before bidding",IF($AF58="OVERPRICED","Worth less than break-even - walk",IF($AF58="BUY","Take it on day 1 at $11 - will not reach the floor",IF($AF58="BUY CHEAPER","Wait to about $8 (day 3), walk if outbid",IF($AF58="FLOOR ONLY","Only at the $5 floor","Skip"))))))))</f>
        <v/>
      </c>
      <c r="AH58" s="35"/>
    </row>
    <row r="59" customFormat="false" ht="15" hidden="false" customHeight="false" outlineLevel="0" collapsed="false">
      <c r="A59" s="22"/>
      <c r="B59" s="36" t="str">
        <f aca="false">IF($A59="","",IF(ISERROR(FIND(".",$A59)),"",LOWER(MID($A59,FIND(CHAR(1),SUBSTITUTE($A59,".",CHAR(1),LEN($A59)-LEN(SUBSTITUTE($A59,".",""))))+1,LEN($A59)))))</f>
        <v/>
      </c>
      <c r="C59" s="37" t="str">
        <f aca="false">IF($B59="","",IFERROR(INDEX(Rubric!$B$14:$B$23,MATCH($B59,Rubric!$A$14:$A$23,0)),INDEX(Rubric!$B$14:$B$23,MATCH("other",Rubric!$A$14:$A$23,0))))</f>
        <v/>
      </c>
      <c r="D59" s="26"/>
      <c r="E59" s="38" t="str">
        <f aca="false">IF($B59="","",IFERROR(INDEX(Rubric!$C$14:$C$23,MATCH($B59,Rubric!$A$14:$A$23,0)),INDEX(Rubric!$C$14:$C$23,MATCH("other",Rubric!$A$14:$A$23,0))))</f>
        <v/>
      </c>
      <c r="F59" s="44" t="str">
        <f aca="false">IF(OR($A59="",$D59=""),"",$D59+$E59)</f>
        <v/>
      </c>
      <c r="G59" s="25"/>
      <c r="H59" s="25"/>
      <c r="I59" s="25"/>
      <c r="J59" s="25"/>
      <c r="K59" s="39" t="str">
        <f aca="false">IF($J59="","",IF($J59&gt;=15,5,IF($J59&gt;=10,4,IF($J59&gt;=5,3,IF($J59&gt;=2,2,1)))))</f>
        <v/>
      </c>
      <c r="L59" s="25"/>
      <c r="M59" s="25"/>
      <c r="N59" s="25"/>
      <c r="O59" s="25"/>
      <c r="P59" s="25"/>
      <c r="Q59" s="25"/>
      <c r="R59" s="25"/>
      <c r="S59" s="40" t="str">
        <f aca="false">IF($A59="","",IF(OR(UPPER($O59)="Y",UPPER($P59)="Y",UPPER($Q59)="Y",UPPER($R59)="Y"),"FAIL","PASS"))</f>
        <v/>
      </c>
      <c r="T59" s="39" t="str">
        <f aca="false">IF(OR($A59="",$C59=""),"",$C59*$B$6+$G59*$B$7+$H59*$B$8+$I59*$B$9)</f>
        <v/>
      </c>
      <c r="U59" s="39" t="str">
        <f aca="false">IF(OR($A59="",$K59=""),"",$K59*$B$13+$L59*$B$14+$M59*$B$15+$N59*$B$16)</f>
        <v/>
      </c>
      <c r="V59" s="39" t="str">
        <f aca="false">IF(OR($T59="",$U59=""),"",$T59*$B$19+$U59*(1-$B$19))</f>
        <v/>
      </c>
      <c r="W59" s="27"/>
      <c r="X59" s="22"/>
      <c r="Y59" s="42" t="str">
        <f aca="false">IF(OR($A59="",$W59=""),"",MAX(0,$W59-MAX($W59*Assumptions!$B$4,Assumptions!$B$5)))</f>
        <v/>
      </c>
      <c r="Z59" s="41" t="str">
        <f aca="false">IF($V59="","",Assumptions!$B$6*MAX(0.05,($V59/Assumptions!$B$11)^Assumptions!$B$12))</f>
        <v/>
      </c>
      <c r="AA59" s="41" t="str">
        <f aca="false">IF($Z59="","",1-(1-$Z59)^Assumptions!$B$7)</f>
        <v/>
      </c>
      <c r="AB59" s="42" t="str">
        <f aca="false">IF(OR($F59="",$AA59="",$AA59=0),"",($F59+$E59*Assumptions!$B$7)/($AA59*(1-Assumptions!$B$4)))</f>
        <v/>
      </c>
      <c r="AC59" s="43" t="str">
        <f aca="false">IF(OR($W59="",$AB59="",$AB59=0),"",$W59/$AB59)</f>
        <v/>
      </c>
      <c r="AD59" s="44" t="str">
        <f aca="false">IF(OR($Y59="",$E59="",$AA59=""),"",MAX(0,$Y59*$AA59-$E59*Assumptions!$B$7))</f>
        <v/>
      </c>
      <c r="AE59" s="44" t="str">
        <f aca="false">IF(OR($AD59="",$F59=""),"",$AD59-$F59)</f>
        <v/>
      </c>
      <c r="AF59" s="40" t="str">
        <f aca="false">IF($A59="","",IF($S59="FAIL","REJECT",IF($D59="","NEEDS PRICE",IF(OR($W59="",$X59=""),"NEEDS VALUATION",IF($AC59&lt;1,"OVERPRICED",IF(AND($AC59&gt;=Assumptions!$B$13,$V59&gt;=4),"BUY",IF($V59&gt;=3.4,"BUY CHEAPER",IF($V59&gt;=2.8,"FLOOR ONLY","SKIP"))))))))</f>
        <v/>
      </c>
      <c r="AG59" s="50" t="str">
        <f aca="false">IF($AF59="","",IF($AF59="REJECT","Do not buy at any price",IF($AF59="NEEDS PRICE","Enter the current closeout price",IF($AF59="NEEDS VALUATION","Enter a valuation AND its source before bidding",IF($AF59="OVERPRICED","Worth less than break-even - walk",IF($AF59="BUY","Take it on day 1 at $11 - will not reach the floor",IF($AF59="BUY CHEAPER","Wait to about $8 (day 3), walk if outbid",IF($AF59="FLOOR ONLY","Only at the $5 floor","Skip"))))))))</f>
        <v/>
      </c>
      <c r="AH59" s="35"/>
    </row>
    <row r="60" customFormat="false" ht="15" hidden="false" customHeight="false" outlineLevel="0" collapsed="false">
      <c r="A60" s="22"/>
      <c r="B60" s="36" t="str">
        <f aca="false">IF($A60="","",IF(ISERROR(FIND(".",$A60)),"",LOWER(MID($A60,FIND(CHAR(1),SUBSTITUTE($A60,".",CHAR(1),LEN($A60)-LEN(SUBSTITUTE($A60,".",""))))+1,LEN($A60)))))</f>
        <v/>
      </c>
      <c r="C60" s="37" t="str">
        <f aca="false">IF($B60="","",IFERROR(INDEX(Rubric!$B$14:$B$23,MATCH($B60,Rubric!$A$14:$A$23,0)),INDEX(Rubric!$B$14:$B$23,MATCH("other",Rubric!$A$14:$A$23,0))))</f>
        <v/>
      </c>
      <c r="D60" s="26"/>
      <c r="E60" s="38" t="str">
        <f aca="false">IF($B60="","",IFERROR(INDEX(Rubric!$C$14:$C$23,MATCH($B60,Rubric!$A$14:$A$23,0)),INDEX(Rubric!$C$14:$C$23,MATCH("other",Rubric!$A$14:$A$23,0))))</f>
        <v/>
      </c>
      <c r="F60" s="44" t="str">
        <f aca="false">IF(OR($A60="",$D60=""),"",$D60+$E60)</f>
        <v/>
      </c>
      <c r="G60" s="25"/>
      <c r="H60" s="25"/>
      <c r="I60" s="25"/>
      <c r="J60" s="25"/>
      <c r="K60" s="39" t="str">
        <f aca="false">IF($J60="","",IF($J60&gt;=15,5,IF($J60&gt;=10,4,IF($J60&gt;=5,3,IF($J60&gt;=2,2,1)))))</f>
        <v/>
      </c>
      <c r="L60" s="25"/>
      <c r="M60" s="25"/>
      <c r="N60" s="25"/>
      <c r="O60" s="25"/>
      <c r="P60" s="25"/>
      <c r="Q60" s="25"/>
      <c r="R60" s="25"/>
      <c r="S60" s="40" t="str">
        <f aca="false">IF($A60="","",IF(OR(UPPER($O60)="Y",UPPER($P60)="Y",UPPER($Q60)="Y",UPPER($R60)="Y"),"FAIL","PASS"))</f>
        <v/>
      </c>
      <c r="T60" s="39" t="str">
        <f aca="false">IF(OR($A60="",$C60=""),"",$C60*$B$6+$G60*$B$7+$H60*$B$8+$I60*$B$9)</f>
        <v/>
      </c>
      <c r="U60" s="39" t="str">
        <f aca="false">IF(OR($A60="",$K60=""),"",$K60*$B$13+$L60*$B$14+$M60*$B$15+$N60*$B$16)</f>
        <v/>
      </c>
      <c r="V60" s="39" t="str">
        <f aca="false">IF(OR($T60="",$U60=""),"",$T60*$B$19+$U60*(1-$B$19))</f>
        <v/>
      </c>
      <c r="W60" s="27"/>
      <c r="X60" s="22"/>
      <c r="Y60" s="42" t="str">
        <f aca="false">IF(OR($A60="",$W60=""),"",MAX(0,$W60-MAX($W60*Assumptions!$B$4,Assumptions!$B$5)))</f>
        <v/>
      </c>
      <c r="Z60" s="41" t="str">
        <f aca="false">IF($V60="","",Assumptions!$B$6*MAX(0.05,($V60/Assumptions!$B$11)^Assumptions!$B$12))</f>
        <v/>
      </c>
      <c r="AA60" s="41" t="str">
        <f aca="false">IF($Z60="","",1-(1-$Z60)^Assumptions!$B$7)</f>
        <v/>
      </c>
      <c r="AB60" s="42" t="str">
        <f aca="false">IF(OR($F60="",$AA60="",$AA60=0),"",($F60+$E60*Assumptions!$B$7)/($AA60*(1-Assumptions!$B$4)))</f>
        <v/>
      </c>
      <c r="AC60" s="43" t="str">
        <f aca="false">IF(OR($W60="",$AB60="",$AB60=0),"",$W60/$AB60)</f>
        <v/>
      </c>
      <c r="AD60" s="44" t="str">
        <f aca="false">IF(OR($Y60="",$E60="",$AA60=""),"",MAX(0,$Y60*$AA60-$E60*Assumptions!$B$7))</f>
        <v/>
      </c>
      <c r="AE60" s="44" t="str">
        <f aca="false">IF(OR($AD60="",$F60=""),"",$AD60-$F60)</f>
        <v/>
      </c>
      <c r="AF60" s="40" t="str">
        <f aca="false">IF($A60="","",IF($S60="FAIL","REJECT",IF($D60="","NEEDS PRICE",IF(OR($W60="",$X60=""),"NEEDS VALUATION",IF($AC60&lt;1,"OVERPRICED",IF(AND($AC60&gt;=Assumptions!$B$13,$V60&gt;=4),"BUY",IF($V60&gt;=3.4,"BUY CHEAPER",IF($V60&gt;=2.8,"FLOOR ONLY","SKIP"))))))))</f>
        <v/>
      </c>
      <c r="AG60" s="50" t="str">
        <f aca="false">IF($AF60="","",IF($AF60="REJECT","Do not buy at any price",IF($AF60="NEEDS PRICE","Enter the current closeout price",IF($AF60="NEEDS VALUATION","Enter a valuation AND its source before bidding",IF($AF60="OVERPRICED","Worth less than break-even - walk",IF($AF60="BUY","Take it on day 1 at $11 - will not reach the floor",IF($AF60="BUY CHEAPER","Wait to about $8 (day 3), walk if outbid",IF($AF60="FLOOR ONLY","Only at the $5 floor","Skip"))))))))</f>
        <v/>
      </c>
      <c r="AH60" s="35"/>
    </row>
    <row r="61" customFormat="false" ht="15" hidden="false" customHeight="false" outlineLevel="0" collapsed="false">
      <c r="A61" s="22"/>
      <c r="B61" s="36" t="str">
        <f aca="false">IF($A61="","",IF(ISERROR(FIND(".",$A61)),"",LOWER(MID($A61,FIND(CHAR(1),SUBSTITUTE($A61,".",CHAR(1),LEN($A61)-LEN(SUBSTITUTE($A61,".",""))))+1,LEN($A61)))))</f>
        <v/>
      </c>
      <c r="C61" s="37" t="str">
        <f aca="false">IF($B61="","",IFERROR(INDEX(Rubric!$B$14:$B$23,MATCH($B61,Rubric!$A$14:$A$23,0)),INDEX(Rubric!$B$14:$B$23,MATCH("other",Rubric!$A$14:$A$23,0))))</f>
        <v/>
      </c>
      <c r="D61" s="26"/>
      <c r="E61" s="38" t="str">
        <f aca="false">IF($B61="","",IFERROR(INDEX(Rubric!$C$14:$C$23,MATCH($B61,Rubric!$A$14:$A$23,0)),INDEX(Rubric!$C$14:$C$23,MATCH("other",Rubric!$A$14:$A$23,0))))</f>
        <v/>
      </c>
      <c r="F61" s="44" t="str">
        <f aca="false">IF(OR($A61="",$D61=""),"",$D61+$E61)</f>
        <v/>
      </c>
      <c r="G61" s="25"/>
      <c r="H61" s="25"/>
      <c r="I61" s="25"/>
      <c r="J61" s="25"/>
      <c r="K61" s="39" t="str">
        <f aca="false">IF($J61="","",IF($J61&gt;=15,5,IF($J61&gt;=10,4,IF($J61&gt;=5,3,IF($J61&gt;=2,2,1)))))</f>
        <v/>
      </c>
      <c r="L61" s="25"/>
      <c r="M61" s="25"/>
      <c r="N61" s="25"/>
      <c r="O61" s="25"/>
      <c r="P61" s="25"/>
      <c r="Q61" s="25"/>
      <c r="R61" s="25"/>
      <c r="S61" s="40" t="str">
        <f aca="false">IF($A61="","",IF(OR(UPPER($O61)="Y",UPPER($P61)="Y",UPPER($Q61)="Y",UPPER($R61)="Y"),"FAIL","PASS"))</f>
        <v/>
      </c>
      <c r="T61" s="39" t="str">
        <f aca="false">IF(OR($A61="",$C61=""),"",$C61*$B$6+$G61*$B$7+$H61*$B$8+$I61*$B$9)</f>
        <v/>
      </c>
      <c r="U61" s="39" t="str">
        <f aca="false">IF(OR($A61="",$K61=""),"",$K61*$B$13+$L61*$B$14+$M61*$B$15+$N61*$B$16)</f>
        <v/>
      </c>
      <c r="V61" s="39" t="str">
        <f aca="false">IF(OR($T61="",$U61=""),"",$T61*$B$19+$U61*(1-$B$19))</f>
        <v/>
      </c>
      <c r="W61" s="27"/>
      <c r="X61" s="22"/>
      <c r="Y61" s="42" t="str">
        <f aca="false">IF(OR($A61="",$W61=""),"",MAX(0,$W61-MAX($W61*Assumptions!$B$4,Assumptions!$B$5)))</f>
        <v/>
      </c>
      <c r="Z61" s="41" t="str">
        <f aca="false">IF($V61="","",Assumptions!$B$6*MAX(0.05,($V61/Assumptions!$B$11)^Assumptions!$B$12))</f>
        <v/>
      </c>
      <c r="AA61" s="41" t="str">
        <f aca="false">IF($Z61="","",1-(1-$Z61)^Assumptions!$B$7)</f>
        <v/>
      </c>
      <c r="AB61" s="42" t="str">
        <f aca="false">IF(OR($F61="",$AA61="",$AA61=0),"",($F61+$E61*Assumptions!$B$7)/($AA61*(1-Assumptions!$B$4)))</f>
        <v/>
      </c>
      <c r="AC61" s="43" t="str">
        <f aca="false">IF(OR($W61="",$AB61="",$AB61=0),"",$W61/$AB61)</f>
        <v/>
      </c>
      <c r="AD61" s="44" t="str">
        <f aca="false">IF(OR($Y61="",$E61="",$AA61=""),"",MAX(0,$Y61*$AA61-$E61*Assumptions!$B$7))</f>
        <v/>
      </c>
      <c r="AE61" s="44" t="str">
        <f aca="false">IF(OR($AD61="",$F61=""),"",$AD61-$F61)</f>
        <v/>
      </c>
      <c r="AF61" s="40" t="str">
        <f aca="false">IF($A61="","",IF($S61="FAIL","REJECT",IF($D61="","NEEDS PRICE",IF(OR($W61="",$X61=""),"NEEDS VALUATION",IF($AC61&lt;1,"OVERPRICED",IF(AND($AC61&gt;=Assumptions!$B$13,$V61&gt;=4),"BUY",IF($V61&gt;=3.4,"BUY CHEAPER",IF($V61&gt;=2.8,"FLOOR ONLY","SKIP"))))))))</f>
        <v/>
      </c>
      <c r="AG61" s="50" t="str">
        <f aca="false">IF($AF61="","",IF($AF61="REJECT","Do not buy at any price",IF($AF61="NEEDS PRICE","Enter the current closeout price",IF($AF61="NEEDS VALUATION","Enter a valuation AND its source before bidding",IF($AF61="OVERPRICED","Worth less than break-even - walk",IF($AF61="BUY","Take it on day 1 at $11 - will not reach the floor",IF($AF61="BUY CHEAPER","Wait to about $8 (day 3), walk if outbid",IF($AF61="FLOOR ONLY","Only at the $5 floor","Skip"))))))))</f>
        <v/>
      </c>
      <c r="AH61" s="35"/>
    </row>
    <row r="62" customFormat="false" ht="15" hidden="false" customHeight="false" outlineLevel="0" collapsed="false">
      <c r="A62" s="22"/>
      <c r="B62" s="36" t="str">
        <f aca="false">IF($A62="","",IF(ISERROR(FIND(".",$A62)),"",LOWER(MID($A62,FIND(CHAR(1),SUBSTITUTE($A62,".",CHAR(1),LEN($A62)-LEN(SUBSTITUTE($A62,".",""))))+1,LEN($A62)))))</f>
        <v/>
      </c>
      <c r="C62" s="37" t="str">
        <f aca="false">IF($B62="","",IFERROR(INDEX(Rubric!$B$14:$B$23,MATCH($B62,Rubric!$A$14:$A$23,0)),INDEX(Rubric!$B$14:$B$23,MATCH("other",Rubric!$A$14:$A$23,0))))</f>
        <v/>
      </c>
      <c r="D62" s="26"/>
      <c r="E62" s="38" t="str">
        <f aca="false">IF($B62="","",IFERROR(INDEX(Rubric!$C$14:$C$23,MATCH($B62,Rubric!$A$14:$A$23,0)),INDEX(Rubric!$C$14:$C$23,MATCH("other",Rubric!$A$14:$A$23,0))))</f>
        <v/>
      </c>
      <c r="F62" s="44" t="str">
        <f aca="false">IF(OR($A62="",$D62=""),"",$D62+$E62)</f>
        <v/>
      </c>
      <c r="G62" s="25"/>
      <c r="H62" s="25"/>
      <c r="I62" s="25"/>
      <c r="J62" s="25"/>
      <c r="K62" s="39" t="str">
        <f aca="false">IF($J62="","",IF($J62&gt;=15,5,IF($J62&gt;=10,4,IF($J62&gt;=5,3,IF($J62&gt;=2,2,1)))))</f>
        <v/>
      </c>
      <c r="L62" s="25"/>
      <c r="M62" s="25"/>
      <c r="N62" s="25"/>
      <c r="O62" s="25"/>
      <c r="P62" s="25"/>
      <c r="Q62" s="25"/>
      <c r="R62" s="25"/>
      <c r="S62" s="40" t="str">
        <f aca="false">IF($A62="","",IF(OR(UPPER($O62)="Y",UPPER($P62)="Y",UPPER($Q62)="Y",UPPER($R62)="Y"),"FAIL","PASS"))</f>
        <v/>
      </c>
      <c r="T62" s="39" t="str">
        <f aca="false">IF(OR($A62="",$C62=""),"",$C62*$B$6+$G62*$B$7+$H62*$B$8+$I62*$B$9)</f>
        <v/>
      </c>
      <c r="U62" s="39" t="str">
        <f aca="false">IF(OR($A62="",$K62=""),"",$K62*$B$13+$L62*$B$14+$M62*$B$15+$N62*$B$16)</f>
        <v/>
      </c>
      <c r="V62" s="39" t="str">
        <f aca="false">IF(OR($T62="",$U62=""),"",$T62*$B$19+$U62*(1-$B$19))</f>
        <v/>
      </c>
      <c r="W62" s="27"/>
      <c r="X62" s="22"/>
      <c r="Y62" s="42" t="str">
        <f aca="false">IF(OR($A62="",$W62=""),"",MAX(0,$W62-MAX($W62*Assumptions!$B$4,Assumptions!$B$5)))</f>
        <v/>
      </c>
      <c r="Z62" s="41" t="str">
        <f aca="false">IF($V62="","",Assumptions!$B$6*MAX(0.05,($V62/Assumptions!$B$11)^Assumptions!$B$12))</f>
        <v/>
      </c>
      <c r="AA62" s="41" t="str">
        <f aca="false">IF($Z62="","",1-(1-$Z62)^Assumptions!$B$7)</f>
        <v/>
      </c>
      <c r="AB62" s="42" t="str">
        <f aca="false">IF(OR($F62="",$AA62="",$AA62=0),"",($F62+$E62*Assumptions!$B$7)/($AA62*(1-Assumptions!$B$4)))</f>
        <v/>
      </c>
      <c r="AC62" s="43" t="str">
        <f aca="false">IF(OR($W62="",$AB62="",$AB62=0),"",$W62/$AB62)</f>
        <v/>
      </c>
      <c r="AD62" s="44" t="str">
        <f aca="false">IF(OR($Y62="",$E62="",$AA62=""),"",MAX(0,$Y62*$AA62-$E62*Assumptions!$B$7))</f>
        <v/>
      </c>
      <c r="AE62" s="44" t="str">
        <f aca="false">IF(OR($AD62="",$F62=""),"",$AD62-$F62)</f>
        <v/>
      </c>
      <c r="AF62" s="40" t="str">
        <f aca="false">IF($A62="","",IF($S62="FAIL","REJECT",IF($D62="","NEEDS PRICE",IF(OR($W62="",$X62=""),"NEEDS VALUATION",IF($AC62&lt;1,"OVERPRICED",IF(AND($AC62&gt;=Assumptions!$B$13,$V62&gt;=4),"BUY",IF($V62&gt;=3.4,"BUY CHEAPER",IF($V62&gt;=2.8,"FLOOR ONLY","SKIP"))))))))</f>
        <v/>
      </c>
      <c r="AG62" s="50" t="str">
        <f aca="false">IF($AF62="","",IF($AF62="REJECT","Do not buy at any price",IF($AF62="NEEDS PRICE","Enter the current closeout price",IF($AF62="NEEDS VALUATION","Enter a valuation AND its source before bidding",IF($AF62="OVERPRICED","Worth less than break-even - walk",IF($AF62="BUY","Take it on day 1 at $11 - will not reach the floor",IF($AF62="BUY CHEAPER","Wait to about $8 (day 3), walk if outbid",IF($AF62="FLOOR ONLY","Only at the $5 floor","Skip"))))))))</f>
        <v/>
      </c>
      <c r="AH62" s="35"/>
    </row>
    <row r="63" customFormat="false" ht="15" hidden="false" customHeight="false" outlineLevel="0" collapsed="false">
      <c r="A63" s="22"/>
      <c r="B63" s="36" t="str">
        <f aca="false">IF($A63="","",IF(ISERROR(FIND(".",$A63)),"",LOWER(MID($A63,FIND(CHAR(1),SUBSTITUTE($A63,".",CHAR(1),LEN($A63)-LEN(SUBSTITUTE($A63,".",""))))+1,LEN($A63)))))</f>
        <v/>
      </c>
      <c r="C63" s="37" t="str">
        <f aca="false">IF($B63="","",IFERROR(INDEX(Rubric!$B$14:$B$23,MATCH($B63,Rubric!$A$14:$A$23,0)),INDEX(Rubric!$B$14:$B$23,MATCH("other",Rubric!$A$14:$A$23,0))))</f>
        <v/>
      </c>
      <c r="D63" s="26"/>
      <c r="E63" s="38" t="str">
        <f aca="false">IF($B63="","",IFERROR(INDEX(Rubric!$C$14:$C$23,MATCH($B63,Rubric!$A$14:$A$23,0)),INDEX(Rubric!$C$14:$C$23,MATCH("other",Rubric!$A$14:$A$23,0))))</f>
        <v/>
      </c>
      <c r="F63" s="44" t="str">
        <f aca="false">IF(OR($A63="",$D63=""),"",$D63+$E63)</f>
        <v/>
      </c>
      <c r="G63" s="25"/>
      <c r="H63" s="25"/>
      <c r="I63" s="25"/>
      <c r="J63" s="25"/>
      <c r="K63" s="39" t="str">
        <f aca="false">IF($J63="","",IF($J63&gt;=15,5,IF($J63&gt;=10,4,IF($J63&gt;=5,3,IF($J63&gt;=2,2,1)))))</f>
        <v/>
      </c>
      <c r="L63" s="25"/>
      <c r="M63" s="25"/>
      <c r="N63" s="25"/>
      <c r="O63" s="25"/>
      <c r="P63" s="25"/>
      <c r="Q63" s="25"/>
      <c r="R63" s="25"/>
      <c r="S63" s="40" t="str">
        <f aca="false">IF($A63="","",IF(OR(UPPER($O63)="Y",UPPER($P63)="Y",UPPER($Q63)="Y",UPPER($R63)="Y"),"FAIL","PASS"))</f>
        <v/>
      </c>
      <c r="T63" s="39" t="str">
        <f aca="false">IF(OR($A63="",$C63=""),"",$C63*$B$6+$G63*$B$7+$H63*$B$8+$I63*$B$9)</f>
        <v/>
      </c>
      <c r="U63" s="39" t="str">
        <f aca="false">IF(OR($A63="",$K63=""),"",$K63*$B$13+$L63*$B$14+$M63*$B$15+$N63*$B$16)</f>
        <v/>
      </c>
      <c r="V63" s="39" t="str">
        <f aca="false">IF(OR($T63="",$U63=""),"",$T63*$B$19+$U63*(1-$B$19))</f>
        <v/>
      </c>
      <c r="W63" s="27"/>
      <c r="X63" s="22"/>
      <c r="Y63" s="42" t="str">
        <f aca="false">IF(OR($A63="",$W63=""),"",MAX(0,$W63-MAX($W63*Assumptions!$B$4,Assumptions!$B$5)))</f>
        <v/>
      </c>
      <c r="Z63" s="41" t="str">
        <f aca="false">IF($V63="","",Assumptions!$B$6*MAX(0.05,($V63/Assumptions!$B$11)^Assumptions!$B$12))</f>
        <v/>
      </c>
      <c r="AA63" s="41" t="str">
        <f aca="false">IF($Z63="","",1-(1-$Z63)^Assumptions!$B$7)</f>
        <v/>
      </c>
      <c r="AB63" s="42" t="str">
        <f aca="false">IF(OR($F63="",$AA63="",$AA63=0),"",($F63+$E63*Assumptions!$B$7)/($AA63*(1-Assumptions!$B$4)))</f>
        <v/>
      </c>
      <c r="AC63" s="43" t="str">
        <f aca="false">IF(OR($W63="",$AB63="",$AB63=0),"",$W63/$AB63)</f>
        <v/>
      </c>
      <c r="AD63" s="44" t="str">
        <f aca="false">IF(OR($Y63="",$E63="",$AA63=""),"",MAX(0,$Y63*$AA63-$E63*Assumptions!$B$7))</f>
        <v/>
      </c>
      <c r="AE63" s="44" t="str">
        <f aca="false">IF(OR($AD63="",$F63=""),"",$AD63-$F63)</f>
        <v/>
      </c>
      <c r="AF63" s="40" t="str">
        <f aca="false">IF($A63="","",IF($S63="FAIL","REJECT",IF($D63="","NEEDS PRICE",IF(OR($W63="",$X63=""),"NEEDS VALUATION",IF($AC63&lt;1,"OVERPRICED",IF(AND($AC63&gt;=Assumptions!$B$13,$V63&gt;=4),"BUY",IF($V63&gt;=3.4,"BUY CHEAPER",IF($V63&gt;=2.8,"FLOOR ONLY","SKIP"))))))))</f>
        <v/>
      </c>
      <c r="AG63" s="50" t="str">
        <f aca="false">IF($AF63="","",IF($AF63="REJECT","Do not buy at any price",IF($AF63="NEEDS PRICE","Enter the current closeout price",IF($AF63="NEEDS VALUATION","Enter a valuation AND its source before bidding",IF($AF63="OVERPRICED","Worth less than break-even - walk",IF($AF63="BUY","Take it on day 1 at $11 - will not reach the floor",IF($AF63="BUY CHEAPER","Wait to about $8 (day 3), walk if outbid",IF($AF63="FLOOR ONLY","Only at the $5 floor","Skip"))))))))</f>
        <v/>
      </c>
      <c r="AH63" s="35"/>
    </row>
    <row r="64" customFormat="false" ht="15" hidden="false" customHeight="false" outlineLevel="0" collapsed="false">
      <c r="A64" s="22"/>
      <c r="B64" s="36" t="str">
        <f aca="false">IF($A64="","",IF(ISERROR(FIND(".",$A64)),"",LOWER(MID($A64,FIND(CHAR(1),SUBSTITUTE($A64,".",CHAR(1),LEN($A64)-LEN(SUBSTITUTE($A64,".",""))))+1,LEN($A64)))))</f>
        <v/>
      </c>
      <c r="C64" s="37" t="str">
        <f aca="false">IF($B64="","",IFERROR(INDEX(Rubric!$B$14:$B$23,MATCH($B64,Rubric!$A$14:$A$23,0)),INDEX(Rubric!$B$14:$B$23,MATCH("other",Rubric!$A$14:$A$23,0))))</f>
        <v/>
      </c>
      <c r="D64" s="26"/>
      <c r="E64" s="38" t="str">
        <f aca="false">IF($B64="","",IFERROR(INDEX(Rubric!$C$14:$C$23,MATCH($B64,Rubric!$A$14:$A$23,0)),INDEX(Rubric!$C$14:$C$23,MATCH("other",Rubric!$A$14:$A$23,0))))</f>
        <v/>
      </c>
      <c r="F64" s="44" t="str">
        <f aca="false">IF(OR($A64="",$D64=""),"",$D64+$E64)</f>
        <v/>
      </c>
      <c r="G64" s="25"/>
      <c r="H64" s="25"/>
      <c r="I64" s="25"/>
      <c r="J64" s="25"/>
      <c r="K64" s="39" t="str">
        <f aca="false">IF($J64="","",IF($J64&gt;=15,5,IF($J64&gt;=10,4,IF($J64&gt;=5,3,IF($J64&gt;=2,2,1)))))</f>
        <v/>
      </c>
      <c r="L64" s="25"/>
      <c r="M64" s="25"/>
      <c r="N64" s="25"/>
      <c r="O64" s="25"/>
      <c r="P64" s="25"/>
      <c r="Q64" s="25"/>
      <c r="R64" s="25"/>
      <c r="S64" s="40" t="str">
        <f aca="false">IF($A64="","",IF(OR(UPPER($O64)="Y",UPPER($P64)="Y",UPPER($Q64)="Y",UPPER($R64)="Y"),"FAIL","PASS"))</f>
        <v/>
      </c>
      <c r="T64" s="39" t="str">
        <f aca="false">IF(OR($A64="",$C64=""),"",$C64*$B$6+$G64*$B$7+$H64*$B$8+$I64*$B$9)</f>
        <v/>
      </c>
      <c r="U64" s="39" t="str">
        <f aca="false">IF(OR($A64="",$K64=""),"",$K64*$B$13+$L64*$B$14+$M64*$B$15+$N64*$B$16)</f>
        <v/>
      </c>
      <c r="V64" s="39" t="str">
        <f aca="false">IF(OR($T64="",$U64=""),"",$T64*$B$19+$U64*(1-$B$19))</f>
        <v/>
      </c>
      <c r="W64" s="27"/>
      <c r="X64" s="22"/>
      <c r="Y64" s="42" t="str">
        <f aca="false">IF(OR($A64="",$W64=""),"",MAX(0,$W64-MAX($W64*Assumptions!$B$4,Assumptions!$B$5)))</f>
        <v/>
      </c>
      <c r="Z64" s="41" t="str">
        <f aca="false">IF($V64="","",Assumptions!$B$6*MAX(0.05,($V64/Assumptions!$B$11)^Assumptions!$B$12))</f>
        <v/>
      </c>
      <c r="AA64" s="41" t="str">
        <f aca="false">IF($Z64="","",1-(1-$Z64)^Assumptions!$B$7)</f>
        <v/>
      </c>
      <c r="AB64" s="42" t="str">
        <f aca="false">IF(OR($F64="",$AA64="",$AA64=0),"",($F64+$E64*Assumptions!$B$7)/($AA64*(1-Assumptions!$B$4)))</f>
        <v/>
      </c>
      <c r="AC64" s="43" t="str">
        <f aca="false">IF(OR($W64="",$AB64="",$AB64=0),"",$W64/$AB64)</f>
        <v/>
      </c>
      <c r="AD64" s="44" t="str">
        <f aca="false">IF(OR($Y64="",$E64="",$AA64=""),"",MAX(0,$Y64*$AA64-$E64*Assumptions!$B$7))</f>
        <v/>
      </c>
      <c r="AE64" s="44" t="str">
        <f aca="false">IF(OR($AD64="",$F64=""),"",$AD64-$F64)</f>
        <v/>
      </c>
      <c r="AF64" s="40" t="str">
        <f aca="false">IF($A64="","",IF($S64="FAIL","REJECT",IF($D64="","NEEDS PRICE",IF(OR($W64="",$X64=""),"NEEDS VALUATION",IF($AC64&lt;1,"OVERPRICED",IF(AND($AC64&gt;=Assumptions!$B$13,$V64&gt;=4),"BUY",IF($V64&gt;=3.4,"BUY CHEAPER",IF($V64&gt;=2.8,"FLOOR ONLY","SKIP"))))))))</f>
        <v/>
      </c>
      <c r="AG64" s="50" t="str">
        <f aca="false">IF($AF64="","",IF($AF64="REJECT","Do not buy at any price",IF($AF64="NEEDS PRICE","Enter the current closeout price",IF($AF64="NEEDS VALUATION","Enter a valuation AND its source before bidding",IF($AF64="OVERPRICED","Worth less than break-even - walk",IF($AF64="BUY","Take it on day 1 at $11 - will not reach the floor",IF($AF64="BUY CHEAPER","Wait to about $8 (day 3), walk if outbid",IF($AF64="FLOOR ONLY","Only at the $5 floor","Skip"))))))))</f>
        <v/>
      </c>
      <c r="AH64" s="35"/>
    </row>
    <row r="65" customFormat="false" ht="15" hidden="false" customHeight="false" outlineLevel="0" collapsed="false">
      <c r="A65" s="22"/>
      <c r="B65" s="36" t="str">
        <f aca="false">IF($A65="","",IF(ISERROR(FIND(".",$A65)),"",LOWER(MID($A65,FIND(CHAR(1),SUBSTITUTE($A65,".",CHAR(1),LEN($A65)-LEN(SUBSTITUTE($A65,".",""))))+1,LEN($A65)))))</f>
        <v/>
      </c>
      <c r="C65" s="37" t="str">
        <f aca="false">IF($B65="","",IFERROR(INDEX(Rubric!$B$14:$B$23,MATCH($B65,Rubric!$A$14:$A$23,0)),INDEX(Rubric!$B$14:$B$23,MATCH("other",Rubric!$A$14:$A$23,0))))</f>
        <v/>
      </c>
      <c r="D65" s="26"/>
      <c r="E65" s="38" t="str">
        <f aca="false">IF($B65="","",IFERROR(INDEX(Rubric!$C$14:$C$23,MATCH($B65,Rubric!$A$14:$A$23,0)),INDEX(Rubric!$C$14:$C$23,MATCH("other",Rubric!$A$14:$A$23,0))))</f>
        <v/>
      </c>
      <c r="F65" s="44" t="str">
        <f aca="false">IF(OR($A65="",$D65=""),"",$D65+$E65)</f>
        <v/>
      </c>
      <c r="G65" s="25"/>
      <c r="H65" s="25"/>
      <c r="I65" s="25"/>
      <c r="J65" s="25"/>
      <c r="K65" s="39" t="str">
        <f aca="false">IF($J65="","",IF($J65&gt;=15,5,IF($J65&gt;=10,4,IF($J65&gt;=5,3,IF($J65&gt;=2,2,1)))))</f>
        <v/>
      </c>
      <c r="L65" s="25"/>
      <c r="M65" s="25"/>
      <c r="N65" s="25"/>
      <c r="O65" s="25"/>
      <c r="P65" s="25"/>
      <c r="Q65" s="25"/>
      <c r="R65" s="25"/>
      <c r="S65" s="40" t="str">
        <f aca="false">IF($A65="","",IF(OR(UPPER($O65)="Y",UPPER($P65)="Y",UPPER($Q65)="Y",UPPER($R65)="Y"),"FAIL","PASS"))</f>
        <v/>
      </c>
      <c r="T65" s="39" t="str">
        <f aca="false">IF(OR($A65="",$C65=""),"",$C65*$B$6+$G65*$B$7+$H65*$B$8+$I65*$B$9)</f>
        <v/>
      </c>
      <c r="U65" s="39" t="str">
        <f aca="false">IF(OR($A65="",$K65=""),"",$K65*$B$13+$L65*$B$14+$M65*$B$15+$N65*$B$16)</f>
        <v/>
      </c>
      <c r="V65" s="39" t="str">
        <f aca="false">IF(OR($T65="",$U65=""),"",$T65*$B$19+$U65*(1-$B$19))</f>
        <v/>
      </c>
      <c r="W65" s="27"/>
      <c r="X65" s="22"/>
      <c r="Y65" s="42" t="str">
        <f aca="false">IF(OR($A65="",$W65=""),"",MAX(0,$W65-MAX($W65*Assumptions!$B$4,Assumptions!$B$5)))</f>
        <v/>
      </c>
      <c r="Z65" s="41" t="str">
        <f aca="false">IF($V65="","",Assumptions!$B$6*MAX(0.05,($V65/Assumptions!$B$11)^Assumptions!$B$12))</f>
        <v/>
      </c>
      <c r="AA65" s="41" t="str">
        <f aca="false">IF($Z65="","",1-(1-$Z65)^Assumptions!$B$7)</f>
        <v/>
      </c>
      <c r="AB65" s="42" t="str">
        <f aca="false">IF(OR($F65="",$AA65="",$AA65=0),"",($F65+$E65*Assumptions!$B$7)/($AA65*(1-Assumptions!$B$4)))</f>
        <v/>
      </c>
      <c r="AC65" s="43" t="str">
        <f aca="false">IF(OR($W65="",$AB65="",$AB65=0),"",$W65/$AB65)</f>
        <v/>
      </c>
      <c r="AD65" s="44" t="str">
        <f aca="false">IF(OR($Y65="",$E65="",$AA65=""),"",MAX(0,$Y65*$AA65-$E65*Assumptions!$B$7))</f>
        <v/>
      </c>
      <c r="AE65" s="44" t="str">
        <f aca="false">IF(OR($AD65="",$F65=""),"",$AD65-$F65)</f>
        <v/>
      </c>
      <c r="AF65" s="40" t="str">
        <f aca="false">IF($A65="","",IF($S65="FAIL","REJECT",IF($D65="","NEEDS PRICE",IF(OR($W65="",$X65=""),"NEEDS VALUATION",IF($AC65&lt;1,"OVERPRICED",IF(AND($AC65&gt;=Assumptions!$B$13,$V65&gt;=4),"BUY",IF($V65&gt;=3.4,"BUY CHEAPER",IF($V65&gt;=2.8,"FLOOR ONLY","SKIP"))))))))</f>
        <v/>
      </c>
      <c r="AG65" s="50" t="str">
        <f aca="false">IF($AF65="","",IF($AF65="REJECT","Do not buy at any price",IF($AF65="NEEDS PRICE","Enter the current closeout price",IF($AF65="NEEDS VALUATION","Enter a valuation AND its source before bidding",IF($AF65="OVERPRICED","Worth less than break-even - walk",IF($AF65="BUY","Take it on day 1 at $11 - will not reach the floor",IF($AF65="BUY CHEAPER","Wait to about $8 (day 3), walk if outbid",IF($AF65="FLOOR ONLY","Only at the $5 floor","Skip"))))))))</f>
        <v/>
      </c>
      <c r="AH65" s="35"/>
    </row>
    <row r="66" customFormat="false" ht="15" hidden="false" customHeight="false" outlineLevel="0" collapsed="false">
      <c r="A66" s="22"/>
      <c r="B66" s="36" t="str">
        <f aca="false">IF($A66="","",IF(ISERROR(FIND(".",$A66)),"",LOWER(MID($A66,FIND(CHAR(1),SUBSTITUTE($A66,".",CHAR(1),LEN($A66)-LEN(SUBSTITUTE($A66,".",""))))+1,LEN($A66)))))</f>
        <v/>
      </c>
      <c r="C66" s="37" t="str">
        <f aca="false">IF($B66="","",IFERROR(INDEX(Rubric!$B$14:$B$23,MATCH($B66,Rubric!$A$14:$A$23,0)),INDEX(Rubric!$B$14:$B$23,MATCH("other",Rubric!$A$14:$A$23,0))))</f>
        <v/>
      </c>
      <c r="D66" s="26"/>
      <c r="E66" s="38" t="str">
        <f aca="false">IF($B66="","",IFERROR(INDEX(Rubric!$C$14:$C$23,MATCH($B66,Rubric!$A$14:$A$23,0)),INDEX(Rubric!$C$14:$C$23,MATCH("other",Rubric!$A$14:$A$23,0))))</f>
        <v/>
      </c>
      <c r="F66" s="44" t="str">
        <f aca="false">IF(OR($A66="",$D66=""),"",$D66+$E66)</f>
        <v/>
      </c>
      <c r="G66" s="25"/>
      <c r="H66" s="25"/>
      <c r="I66" s="25"/>
      <c r="J66" s="25"/>
      <c r="K66" s="39" t="str">
        <f aca="false">IF($J66="","",IF($J66&gt;=15,5,IF($J66&gt;=10,4,IF($J66&gt;=5,3,IF($J66&gt;=2,2,1)))))</f>
        <v/>
      </c>
      <c r="L66" s="25"/>
      <c r="M66" s="25"/>
      <c r="N66" s="25"/>
      <c r="O66" s="25"/>
      <c r="P66" s="25"/>
      <c r="Q66" s="25"/>
      <c r="R66" s="25"/>
      <c r="S66" s="40" t="str">
        <f aca="false">IF($A66="","",IF(OR(UPPER($O66)="Y",UPPER($P66)="Y",UPPER($Q66)="Y",UPPER($R66)="Y"),"FAIL","PASS"))</f>
        <v/>
      </c>
      <c r="T66" s="39" t="str">
        <f aca="false">IF(OR($A66="",$C66=""),"",$C66*$B$6+$G66*$B$7+$H66*$B$8+$I66*$B$9)</f>
        <v/>
      </c>
      <c r="U66" s="39" t="str">
        <f aca="false">IF(OR($A66="",$K66=""),"",$K66*$B$13+$L66*$B$14+$M66*$B$15+$N66*$B$16)</f>
        <v/>
      </c>
      <c r="V66" s="39" t="str">
        <f aca="false">IF(OR($T66="",$U66=""),"",$T66*$B$19+$U66*(1-$B$19))</f>
        <v/>
      </c>
      <c r="W66" s="27"/>
      <c r="X66" s="22"/>
      <c r="Y66" s="42" t="str">
        <f aca="false">IF(OR($A66="",$W66=""),"",MAX(0,$W66-MAX($W66*Assumptions!$B$4,Assumptions!$B$5)))</f>
        <v/>
      </c>
      <c r="Z66" s="41" t="str">
        <f aca="false">IF($V66="","",Assumptions!$B$6*MAX(0.05,($V66/Assumptions!$B$11)^Assumptions!$B$12))</f>
        <v/>
      </c>
      <c r="AA66" s="41" t="str">
        <f aca="false">IF($Z66="","",1-(1-$Z66)^Assumptions!$B$7)</f>
        <v/>
      </c>
      <c r="AB66" s="42" t="str">
        <f aca="false">IF(OR($F66="",$AA66="",$AA66=0),"",($F66+$E66*Assumptions!$B$7)/($AA66*(1-Assumptions!$B$4)))</f>
        <v/>
      </c>
      <c r="AC66" s="43" t="str">
        <f aca="false">IF(OR($W66="",$AB66="",$AB66=0),"",$W66/$AB66)</f>
        <v/>
      </c>
      <c r="AD66" s="44" t="str">
        <f aca="false">IF(OR($Y66="",$E66="",$AA66=""),"",MAX(0,$Y66*$AA66-$E66*Assumptions!$B$7))</f>
        <v/>
      </c>
      <c r="AE66" s="44" t="str">
        <f aca="false">IF(OR($AD66="",$F66=""),"",$AD66-$F66)</f>
        <v/>
      </c>
      <c r="AF66" s="40" t="str">
        <f aca="false">IF($A66="","",IF($S66="FAIL","REJECT",IF($D66="","NEEDS PRICE",IF(OR($W66="",$X66=""),"NEEDS VALUATION",IF($AC66&lt;1,"OVERPRICED",IF(AND($AC66&gt;=Assumptions!$B$13,$V66&gt;=4),"BUY",IF($V66&gt;=3.4,"BUY CHEAPER",IF($V66&gt;=2.8,"FLOOR ONLY","SKIP"))))))))</f>
        <v/>
      </c>
      <c r="AG66" s="50" t="str">
        <f aca="false">IF($AF66="","",IF($AF66="REJECT","Do not buy at any price",IF($AF66="NEEDS PRICE","Enter the current closeout price",IF($AF66="NEEDS VALUATION","Enter a valuation AND its source before bidding",IF($AF66="OVERPRICED","Worth less than break-even - walk",IF($AF66="BUY","Take it on day 1 at $11 - will not reach the floor",IF($AF66="BUY CHEAPER","Wait to about $8 (day 3), walk if outbid",IF($AF66="FLOOR ONLY","Only at the $5 floor","Skip"))))))))</f>
        <v/>
      </c>
      <c r="AH66" s="35"/>
    </row>
    <row r="67" customFormat="false" ht="15" hidden="false" customHeight="false" outlineLevel="0" collapsed="false">
      <c r="A67" s="22"/>
      <c r="B67" s="36" t="str">
        <f aca="false">IF($A67="","",IF(ISERROR(FIND(".",$A67)),"",LOWER(MID($A67,FIND(CHAR(1),SUBSTITUTE($A67,".",CHAR(1),LEN($A67)-LEN(SUBSTITUTE($A67,".",""))))+1,LEN($A67)))))</f>
        <v/>
      </c>
      <c r="C67" s="37" t="str">
        <f aca="false">IF($B67="","",IFERROR(INDEX(Rubric!$B$14:$B$23,MATCH($B67,Rubric!$A$14:$A$23,0)),INDEX(Rubric!$B$14:$B$23,MATCH("other",Rubric!$A$14:$A$23,0))))</f>
        <v/>
      </c>
      <c r="D67" s="26"/>
      <c r="E67" s="38" t="str">
        <f aca="false">IF($B67="","",IFERROR(INDEX(Rubric!$C$14:$C$23,MATCH($B67,Rubric!$A$14:$A$23,0)),INDEX(Rubric!$C$14:$C$23,MATCH("other",Rubric!$A$14:$A$23,0))))</f>
        <v/>
      </c>
      <c r="F67" s="44" t="str">
        <f aca="false">IF(OR($A67="",$D67=""),"",$D67+$E67)</f>
        <v/>
      </c>
      <c r="G67" s="25"/>
      <c r="H67" s="25"/>
      <c r="I67" s="25"/>
      <c r="J67" s="25"/>
      <c r="K67" s="39" t="str">
        <f aca="false">IF($J67="","",IF($J67&gt;=15,5,IF($J67&gt;=10,4,IF($J67&gt;=5,3,IF($J67&gt;=2,2,1)))))</f>
        <v/>
      </c>
      <c r="L67" s="25"/>
      <c r="M67" s="25"/>
      <c r="N67" s="25"/>
      <c r="O67" s="25"/>
      <c r="P67" s="25"/>
      <c r="Q67" s="25"/>
      <c r="R67" s="25"/>
      <c r="S67" s="40" t="str">
        <f aca="false">IF($A67="","",IF(OR(UPPER($O67)="Y",UPPER($P67)="Y",UPPER($Q67)="Y",UPPER($R67)="Y"),"FAIL","PASS"))</f>
        <v/>
      </c>
      <c r="T67" s="39" t="str">
        <f aca="false">IF(OR($A67="",$C67=""),"",$C67*$B$6+$G67*$B$7+$H67*$B$8+$I67*$B$9)</f>
        <v/>
      </c>
      <c r="U67" s="39" t="str">
        <f aca="false">IF(OR($A67="",$K67=""),"",$K67*$B$13+$L67*$B$14+$M67*$B$15+$N67*$B$16)</f>
        <v/>
      </c>
      <c r="V67" s="39" t="str">
        <f aca="false">IF(OR($T67="",$U67=""),"",$T67*$B$19+$U67*(1-$B$19))</f>
        <v/>
      </c>
      <c r="W67" s="27"/>
      <c r="X67" s="22"/>
      <c r="Y67" s="42" t="str">
        <f aca="false">IF(OR($A67="",$W67=""),"",MAX(0,$W67-MAX($W67*Assumptions!$B$4,Assumptions!$B$5)))</f>
        <v/>
      </c>
      <c r="Z67" s="41" t="str">
        <f aca="false">IF($V67="","",Assumptions!$B$6*MAX(0.05,($V67/Assumptions!$B$11)^Assumptions!$B$12))</f>
        <v/>
      </c>
      <c r="AA67" s="41" t="str">
        <f aca="false">IF($Z67="","",1-(1-$Z67)^Assumptions!$B$7)</f>
        <v/>
      </c>
      <c r="AB67" s="42" t="str">
        <f aca="false">IF(OR($F67="",$AA67="",$AA67=0),"",($F67+$E67*Assumptions!$B$7)/($AA67*(1-Assumptions!$B$4)))</f>
        <v/>
      </c>
      <c r="AC67" s="43" t="str">
        <f aca="false">IF(OR($W67="",$AB67="",$AB67=0),"",$W67/$AB67)</f>
        <v/>
      </c>
      <c r="AD67" s="44" t="str">
        <f aca="false">IF(OR($Y67="",$E67="",$AA67=""),"",MAX(0,$Y67*$AA67-$E67*Assumptions!$B$7))</f>
        <v/>
      </c>
      <c r="AE67" s="44" t="str">
        <f aca="false">IF(OR($AD67="",$F67=""),"",$AD67-$F67)</f>
        <v/>
      </c>
      <c r="AF67" s="40" t="str">
        <f aca="false">IF($A67="","",IF($S67="FAIL","REJECT",IF($D67="","NEEDS PRICE",IF(OR($W67="",$X67=""),"NEEDS VALUATION",IF($AC67&lt;1,"OVERPRICED",IF(AND($AC67&gt;=Assumptions!$B$13,$V67&gt;=4),"BUY",IF($V67&gt;=3.4,"BUY CHEAPER",IF($V67&gt;=2.8,"FLOOR ONLY","SKIP"))))))))</f>
        <v/>
      </c>
      <c r="AG67" s="50" t="str">
        <f aca="false">IF($AF67="","",IF($AF67="REJECT","Do not buy at any price",IF($AF67="NEEDS PRICE","Enter the current closeout price",IF($AF67="NEEDS VALUATION","Enter a valuation AND its source before bidding",IF($AF67="OVERPRICED","Worth less than break-even - walk",IF($AF67="BUY","Take it on day 1 at $11 - will not reach the floor",IF($AF67="BUY CHEAPER","Wait to about $8 (day 3), walk if outbid",IF($AF67="FLOOR ONLY","Only at the $5 floor","Skip"))))))))</f>
        <v/>
      </c>
      <c r="AH67" s="35"/>
    </row>
    <row r="68" customFormat="false" ht="15" hidden="false" customHeight="false" outlineLevel="0" collapsed="false">
      <c r="A68" s="22"/>
      <c r="B68" s="36" t="str">
        <f aca="false">IF($A68="","",IF(ISERROR(FIND(".",$A68)),"",LOWER(MID($A68,FIND(CHAR(1),SUBSTITUTE($A68,".",CHAR(1),LEN($A68)-LEN(SUBSTITUTE($A68,".",""))))+1,LEN($A68)))))</f>
        <v/>
      </c>
      <c r="C68" s="37" t="str">
        <f aca="false">IF($B68="","",IFERROR(INDEX(Rubric!$B$14:$B$23,MATCH($B68,Rubric!$A$14:$A$23,0)),INDEX(Rubric!$B$14:$B$23,MATCH("other",Rubric!$A$14:$A$23,0))))</f>
        <v/>
      </c>
      <c r="D68" s="26"/>
      <c r="E68" s="38" t="str">
        <f aca="false">IF($B68="","",IFERROR(INDEX(Rubric!$C$14:$C$23,MATCH($B68,Rubric!$A$14:$A$23,0)),INDEX(Rubric!$C$14:$C$23,MATCH("other",Rubric!$A$14:$A$23,0))))</f>
        <v/>
      </c>
      <c r="F68" s="44" t="str">
        <f aca="false">IF(OR($A68="",$D68=""),"",$D68+$E68)</f>
        <v/>
      </c>
      <c r="G68" s="25"/>
      <c r="H68" s="25"/>
      <c r="I68" s="25"/>
      <c r="J68" s="25"/>
      <c r="K68" s="39" t="str">
        <f aca="false">IF($J68="","",IF($J68&gt;=15,5,IF($J68&gt;=10,4,IF($J68&gt;=5,3,IF($J68&gt;=2,2,1)))))</f>
        <v/>
      </c>
      <c r="L68" s="25"/>
      <c r="M68" s="25"/>
      <c r="N68" s="25"/>
      <c r="O68" s="25"/>
      <c r="P68" s="25"/>
      <c r="Q68" s="25"/>
      <c r="R68" s="25"/>
      <c r="S68" s="40" t="str">
        <f aca="false">IF($A68="","",IF(OR(UPPER($O68)="Y",UPPER($P68)="Y",UPPER($Q68)="Y",UPPER($R68)="Y"),"FAIL","PASS"))</f>
        <v/>
      </c>
      <c r="T68" s="39" t="str">
        <f aca="false">IF(OR($A68="",$C68=""),"",$C68*$B$6+$G68*$B$7+$H68*$B$8+$I68*$B$9)</f>
        <v/>
      </c>
      <c r="U68" s="39" t="str">
        <f aca="false">IF(OR($A68="",$K68=""),"",$K68*$B$13+$L68*$B$14+$M68*$B$15+$N68*$B$16)</f>
        <v/>
      </c>
      <c r="V68" s="39" t="str">
        <f aca="false">IF(OR($T68="",$U68=""),"",$T68*$B$19+$U68*(1-$B$19))</f>
        <v/>
      </c>
      <c r="W68" s="27"/>
      <c r="X68" s="22"/>
      <c r="Y68" s="42" t="str">
        <f aca="false">IF(OR($A68="",$W68=""),"",MAX(0,$W68-MAX($W68*Assumptions!$B$4,Assumptions!$B$5)))</f>
        <v/>
      </c>
      <c r="Z68" s="41" t="str">
        <f aca="false">IF($V68="","",Assumptions!$B$6*MAX(0.05,($V68/Assumptions!$B$11)^Assumptions!$B$12))</f>
        <v/>
      </c>
      <c r="AA68" s="41" t="str">
        <f aca="false">IF($Z68="","",1-(1-$Z68)^Assumptions!$B$7)</f>
        <v/>
      </c>
      <c r="AB68" s="42" t="str">
        <f aca="false">IF(OR($F68="",$AA68="",$AA68=0),"",($F68+$E68*Assumptions!$B$7)/($AA68*(1-Assumptions!$B$4)))</f>
        <v/>
      </c>
      <c r="AC68" s="43" t="str">
        <f aca="false">IF(OR($W68="",$AB68="",$AB68=0),"",$W68/$AB68)</f>
        <v/>
      </c>
      <c r="AD68" s="44" t="str">
        <f aca="false">IF(OR($Y68="",$E68="",$AA68=""),"",MAX(0,$Y68*$AA68-$E68*Assumptions!$B$7))</f>
        <v/>
      </c>
      <c r="AE68" s="44" t="str">
        <f aca="false">IF(OR($AD68="",$F68=""),"",$AD68-$F68)</f>
        <v/>
      </c>
      <c r="AF68" s="40" t="str">
        <f aca="false">IF($A68="","",IF($S68="FAIL","REJECT",IF($D68="","NEEDS PRICE",IF(OR($W68="",$X68=""),"NEEDS VALUATION",IF($AC68&lt;1,"OVERPRICED",IF(AND($AC68&gt;=Assumptions!$B$13,$V68&gt;=4),"BUY",IF($V68&gt;=3.4,"BUY CHEAPER",IF($V68&gt;=2.8,"FLOOR ONLY","SKIP"))))))))</f>
        <v/>
      </c>
      <c r="AG68" s="50" t="str">
        <f aca="false">IF($AF68="","",IF($AF68="REJECT","Do not buy at any price",IF($AF68="NEEDS PRICE","Enter the current closeout price",IF($AF68="NEEDS VALUATION","Enter a valuation AND its source before bidding",IF($AF68="OVERPRICED","Worth less than break-even - walk",IF($AF68="BUY","Take it on day 1 at $11 - will not reach the floor",IF($AF68="BUY CHEAPER","Wait to about $8 (day 3), walk if outbid",IF($AF68="FLOOR ONLY","Only at the $5 floor","Skip"))))))))</f>
        <v/>
      </c>
      <c r="AH68" s="35"/>
    </row>
    <row r="69" customFormat="false" ht="15" hidden="false" customHeight="false" outlineLevel="0" collapsed="false">
      <c r="A69" s="22"/>
      <c r="B69" s="36" t="str">
        <f aca="false">IF($A69="","",IF(ISERROR(FIND(".",$A69)),"",LOWER(MID($A69,FIND(CHAR(1),SUBSTITUTE($A69,".",CHAR(1),LEN($A69)-LEN(SUBSTITUTE($A69,".",""))))+1,LEN($A69)))))</f>
        <v/>
      </c>
      <c r="C69" s="37" t="str">
        <f aca="false">IF($B69="","",IFERROR(INDEX(Rubric!$B$14:$B$23,MATCH($B69,Rubric!$A$14:$A$23,0)),INDEX(Rubric!$B$14:$B$23,MATCH("other",Rubric!$A$14:$A$23,0))))</f>
        <v/>
      </c>
      <c r="D69" s="26"/>
      <c r="E69" s="38" t="str">
        <f aca="false">IF($B69="","",IFERROR(INDEX(Rubric!$C$14:$C$23,MATCH($B69,Rubric!$A$14:$A$23,0)),INDEX(Rubric!$C$14:$C$23,MATCH("other",Rubric!$A$14:$A$23,0))))</f>
        <v/>
      </c>
      <c r="F69" s="44" t="str">
        <f aca="false">IF(OR($A69="",$D69=""),"",$D69+$E69)</f>
        <v/>
      </c>
      <c r="G69" s="25"/>
      <c r="H69" s="25"/>
      <c r="I69" s="25"/>
      <c r="J69" s="25"/>
      <c r="K69" s="39" t="str">
        <f aca="false">IF($J69="","",IF($J69&gt;=15,5,IF($J69&gt;=10,4,IF($J69&gt;=5,3,IF($J69&gt;=2,2,1)))))</f>
        <v/>
      </c>
      <c r="L69" s="25"/>
      <c r="M69" s="25"/>
      <c r="N69" s="25"/>
      <c r="O69" s="25"/>
      <c r="P69" s="25"/>
      <c r="Q69" s="25"/>
      <c r="R69" s="25"/>
      <c r="S69" s="40" t="str">
        <f aca="false">IF($A69="","",IF(OR(UPPER($O69)="Y",UPPER($P69)="Y",UPPER($Q69)="Y",UPPER($R69)="Y"),"FAIL","PASS"))</f>
        <v/>
      </c>
      <c r="T69" s="39" t="str">
        <f aca="false">IF(OR($A69="",$C69=""),"",$C69*$B$6+$G69*$B$7+$H69*$B$8+$I69*$B$9)</f>
        <v/>
      </c>
      <c r="U69" s="39" t="str">
        <f aca="false">IF(OR($A69="",$K69=""),"",$K69*$B$13+$L69*$B$14+$M69*$B$15+$N69*$B$16)</f>
        <v/>
      </c>
      <c r="V69" s="39" t="str">
        <f aca="false">IF(OR($T69="",$U69=""),"",$T69*$B$19+$U69*(1-$B$19))</f>
        <v/>
      </c>
      <c r="W69" s="27"/>
      <c r="X69" s="22"/>
      <c r="Y69" s="42" t="str">
        <f aca="false">IF(OR($A69="",$W69=""),"",MAX(0,$W69-MAX($W69*Assumptions!$B$4,Assumptions!$B$5)))</f>
        <v/>
      </c>
      <c r="Z69" s="41" t="str">
        <f aca="false">IF($V69="","",Assumptions!$B$6*MAX(0.05,($V69/Assumptions!$B$11)^Assumptions!$B$12))</f>
        <v/>
      </c>
      <c r="AA69" s="41" t="str">
        <f aca="false">IF($Z69="","",1-(1-$Z69)^Assumptions!$B$7)</f>
        <v/>
      </c>
      <c r="AB69" s="42" t="str">
        <f aca="false">IF(OR($F69="",$AA69="",$AA69=0),"",($F69+$E69*Assumptions!$B$7)/($AA69*(1-Assumptions!$B$4)))</f>
        <v/>
      </c>
      <c r="AC69" s="43" t="str">
        <f aca="false">IF(OR($W69="",$AB69="",$AB69=0),"",$W69/$AB69)</f>
        <v/>
      </c>
      <c r="AD69" s="44" t="str">
        <f aca="false">IF(OR($Y69="",$E69="",$AA69=""),"",MAX(0,$Y69*$AA69-$E69*Assumptions!$B$7))</f>
        <v/>
      </c>
      <c r="AE69" s="44" t="str">
        <f aca="false">IF(OR($AD69="",$F69=""),"",$AD69-$F69)</f>
        <v/>
      </c>
      <c r="AF69" s="40" t="str">
        <f aca="false">IF($A69="","",IF($S69="FAIL","REJECT",IF($D69="","NEEDS PRICE",IF(OR($W69="",$X69=""),"NEEDS VALUATION",IF($AC69&lt;1,"OVERPRICED",IF(AND($AC69&gt;=Assumptions!$B$13,$V69&gt;=4),"BUY",IF($V69&gt;=3.4,"BUY CHEAPER",IF($V69&gt;=2.8,"FLOOR ONLY","SKIP"))))))))</f>
        <v/>
      </c>
      <c r="AG69" s="50" t="str">
        <f aca="false">IF($AF69="","",IF($AF69="REJECT","Do not buy at any price",IF($AF69="NEEDS PRICE","Enter the current closeout price",IF($AF69="NEEDS VALUATION","Enter a valuation AND its source before bidding",IF($AF69="OVERPRICED","Worth less than break-even - walk",IF($AF69="BUY","Take it on day 1 at $11 - will not reach the floor",IF($AF69="BUY CHEAPER","Wait to about $8 (day 3), walk if outbid",IF($AF69="FLOOR ONLY","Only at the $5 floor","Skip"))))))))</f>
        <v/>
      </c>
      <c r="AH69" s="35"/>
    </row>
    <row r="70" customFormat="false" ht="15" hidden="false" customHeight="false" outlineLevel="0" collapsed="false">
      <c r="A70" s="22"/>
      <c r="B70" s="36" t="str">
        <f aca="false">IF($A70="","",IF(ISERROR(FIND(".",$A70)),"",LOWER(MID($A70,FIND(CHAR(1),SUBSTITUTE($A70,".",CHAR(1),LEN($A70)-LEN(SUBSTITUTE($A70,".",""))))+1,LEN($A70)))))</f>
        <v/>
      </c>
      <c r="C70" s="37" t="str">
        <f aca="false">IF($B70="","",IFERROR(INDEX(Rubric!$B$14:$B$23,MATCH($B70,Rubric!$A$14:$A$23,0)),INDEX(Rubric!$B$14:$B$23,MATCH("other",Rubric!$A$14:$A$23,0))))</f>
        <v/>
      </c>
      <c r="D70" s="26"/>
      <c r="E70" s="38" t="str">
        <f aca="false">IF($B70="","",IFERROR(INDEX(Rubric!$C$14:$C$23,MATCH($B70,Rubric!$A$14:$A$23,0)),INDEX(Rubric!$C$14:$C$23,MATCH("other",Rubric!$A$14:$A$23,0))))</f>
        <v/>
      </c>
      <c r="F70" s="44" t="str">
        <f aca="false">IF(OR($A70="",$D70=""),"",$D70+$E70)</f>
        <v/>
      </c>
      <c r="G70" s="25"/>
      <c r="H70" s="25"/>
      <c r="I70" s="25"/>
      <c r="J70" s="25"/>
      <c r="K70" s="39" t="str">
        <f aca="false">IF($J70="","",IF($J70&gt;=15,5,IF($J70&gt;=10,4,IF($J70&gt;=5,3,IF($J70&gt;=2,2,1)))))</f>
        <v/>
      </c>
      <c r="L70" s="25"/>
      <c r="M70" s="25"/>
      <c r="N70" s="25"/>
      <c r="O70" s="25"/>
      <c r="P70" s="25"/>
      <c r="Q70" s="25"/>
      <c r="R70" s="25"/>
      <c r="S70" s="40" t="str">
        <f aca="false">IF($A70="","",IF(OR(UPPER($O70)="Y",UPPER($P70)="Y",UPPER($Q70)="Y",UPPER($R70)="Y"),"FAIL","PASS"))</f>
        <v/>
      </c>
      <c r="T70" s="39" t="str">
        <f aca="false">IF(OR($A70="",$C70=""),"",$C70*$B$6+$G70*$B$7+$H70*$B$8+$I70*$B$9)</f>
        <v/>
      </c>
      <c r="U70" s="39" t="str">
        <f aca="false">IF(OR($A70="",$K70=""),"",$K70*$B$13+$L70*$B$14+$M70*$B$15+$N70*$B$16)</f>
        <v/>
      </c>
      <c r="V70" s="39" t="str">
        <f aca="false">IF(OR($T70="",$U70=""),"",$T70*$B$19+$U70*(1-$B$19))</f>
        <v/>
      </c>
      <c r="W70" s="27"/>
      <c r="X70" s="22"/>
      <c r="Y70" s="42" t="str">
        <f aca="false">IF(OR($A70="",$W70=""),"",MAX(0,$W70-MAX($W70*Assumptions!$B$4,Assumptions!$B$5)))</f>
        <v/>
      </c>
      <c r="Z70" s="41" t="str">
        <f aca="false">IF($V70="","",Assumptions!$B$6*MAX(0.05,($V70/Assumptions!$B$11)^Assumptions!$B$12))</f>
        <v/>
      </c>
      <c r="AA70" s="41" t="str">
        <f aca="false">IF($Z70="","",1-(1-$Z70)^Assumptions!$B$7)</f>
        <v/>
      </c>
      <c r="AB70" s="42" t="str">
        <f aca="false">IF(OR($F70="",$AA70="",$AA70=0),"",($F70+$E70*Assumptions!$B$7)/($AA70*(1-Assumptions!$B$4)))</f>
        <v/>
      </c>
      <c r="AC70" s="43" t="str">
        <f aca="false">IF(OR($W70="",$AB70="",$AB70=0),"",$W70/$AB70)</f>
        <v/>
      </c>
      <c r="AD70" s="44" t="str">
        <f aca="false">IF(OR($Y70="",$E70="",$AA70=""),"",MAX(0,$Y70*$AA70-$E70*Assumptions!$B$7))</f>
        <v/>
      </c>
      <c r="AE70" s="44" t="str">
        <f aca="false">IF(OR($AD70="",$F70=""),"",$AD70-$F70)</f>
        <v/>
      </c>
      <c r="AF70" s="40" t="str">
        <f aca="false">IF($A70="","",IF($S70="FAIL","REJECT",IF($D70="","NEEDS PRICE",IF(OR($W70="",$X70=""),"NEEDS VALUATION",IF($AC70&lt;1,"OVERPRICED",IF(AND($AC70&gt;=Assumptions!$B$13,$V70&gt;=4),"BUY",IF($V70&gt;=3.4,"BUY CHEAPER",IF($V70&gt;=2.8,"FLOOR ONLY","SKIP"))))))))</f>
        <v/>
      </c>
      <c r="AG70" s="50" t="str">
        <f aca="false">IF($AF70="","",IF($AF70="REJECT","Do not buy at any price",IF($AF70="NEEDS PRICE","Enter the current closeout price",IF($AF70="NEEDS VALUATION","Enter a valuation AND its source before bidding",IF($AF70="OVERPRICED","Worth less than break-even - walk",IF($AF70="BUY","Take it on day 1 at $11 - will not reach the floor",IF($AF70="BUY CHEAPER","Wait to about $8 (day 3), walk if outbid",IF($AF70="FLOOR ONLY","Only at the $5 floor","Skip"))))))))</f>
        <v/>
      </c>
      <c r="AH70" s="35"/>
    </row>
    <row r="71" customFormat="false" ht="15" hidden="false" customHeight="false" outlineLevel="0" collapsed="false">
      <c r="A71" s="22"/>
      <c r="B71" s="36" t="str">
        <f aca="false">IF($A71="","",IF(ISERROR(FIND(".",$A71)),"",LOWER(MID($A71,FIND(CHAR(1),SUBSTITUTE($A71,".",CHAR(1),LEN($A71)-LEN(SUBSTITUTE($A71,".",""))))+1,LEN($A71)))))</f>
        <v/>
      </c>
      <c r="C71" s="37" t="str">
        <f aca="false">IF($B71="","",IFERROR(INDEX(Rubric!$B$14:$B$23,MATCH($B71,Rubric!$A$14:$A$23,0)),INDEX(Rubric!$B$14:$B$23,MATCH("other",Rubric!$A$14:$A$23,0))))</f>
        <v/>
      </c>
      <c r="D71" s="26"/>
      <c r="E71" s="38" t="str">
        <f aca="false">IF($B71="","",IFERROR(INDEX(Rubric!$C$14:$C$23,MATCH($B71,Rubric!$A$14:$A$23,0)),INDEX(Rubric!$C$14:$C$23,MATCH("other",Rubric!$A$14:$A$23,0))))</f>
        <v/>
      </c>
      <c r="F71" s="44" t="str">
        <f aca="false">IF(OR($A71="",$D71=""),"",$D71+$E71)</f>
        <v/>
      </c>
      <c r="G71" s="25"/>
      <c r="H71" s="25"/>
      <c r="I71" s="25"/>
      <c r="J71" s="25"/>
      <c r="K71" s="39" t="str">
        <f aca="false">IF($J71="","",IF($J71&gt;=15,5,IF($J71&gt;=10,4,IF($J71&gt;=5,3,IF($J71&gt;=2,2,1)))))</f>
        <v/>
      </c>
      <c r="L71" s="25"/>
      <c r="M71" s="25"/>
      <c r="N71" s="25"/>
      <c r="O71" s="25"/>
      <c r="P71" s="25"/>
      <c r="Q71" s="25"/>
      <c r="R71" s="25"/>
      <c r="S71" s="40" t="str">
        <f aca="false">IF($A71="","",IF(OR(UPPER($O71)="Y",UPPER($P71)="Y",UPPER($Q71)="Y",UPPER($R71)="Y"),"FAIL","PASS"))</f>
        <v/>
      </c>
      <c r="T71" s="39" t="str">
        <f aca="false">IF(OR($A71="",$C71=""),"",$C71*$B$6+$G71*$B$7+$H71*$B$8+$I71*$B$9)</f>
        <v/>
      </c>
      <c r="U71" s="39" t="str">
        <f aca="false">IF(OR($A71="",$K71=""),"",$K71*$B$13+$L71*$B$14+$M71*$B$15+$N71*$B$16)</f>
        <v/>
      </c>
      <c r="V71" s="39" t="str">
        <f aca="false">IF(OR($T71="",$U71=""),"",$T71*$B$19+$U71*(1-$B$19))</f>
        <v/>
      </c>
      <c r="W71" s="27"/>
      <c r="X71" s="22"/>
      <c r="Y71" s="42" t="str">
        <f aca="false">IF(OR($A71="",$W71=""),"",MAX(0,$W71-MAX($W71*Assumptions!$B$4,Assumptions!$B$5)))</f>
        <v/>
      </c>
      <c r="Z71" s="41" t="str">
        <f aca="false">IF($V71="","",Assumptions!$B$6*MAX(0.05,($V71/Assumptions!$B$11)^Assumptions!$B$12))</f>
        <v/>
      </c>
      <c r="AA71" s="41" t="str">
        <f aca="false">IF($Z71="","",1-(1-$Z71)^Assumptions!$B$7)</f>
        <v/>
      </c>
      <c r="AB71" s="42" t="str">
        <f aca="false">IF(OR($F71="",$AA71="",$AA71=0),"",($F71+$E71*Assumptions!$B$7)/($AA71*(1-Assumptions!$B$4)))</f>
        <v/>
      </c>
      <c r="AC71" s="43" t="str">
        <f aca="false">IF(OR($W71="",$AB71="",$AB71=0),"",$W71/$AB71)</f>
        <v/>
      </c>
      <c r="AD71" s="44" t="str">
        <f aca="false">IF(OR($Y71="",$E71="",$AA71=""),"",MAX(0,$Y71*$AA71-$E71*Assumptions!$B$7))</f>
        <v/>
      </c>
      <c r="AE71" s="44" t="str">
        <f aca="false">IF(OR($AD71="",$F71=""),"",$AD71-$F71)</f>
        <v/>
      </c>
      <c r="AF71" s="40" t="str">
        <f aca="false">IF($A71="","",IF($S71="FAIL","REJECT",IF($D71="","NEEDS PRICE",IF(OR($W71="",$X71=""),"NEEDS VALUATION",IF($AC71&lt;1,"OVERPRICED",IF(AND($AC71&gt;=Assumptions!$B$13,$V71&gt;=4),"BUY",IF($V71&gt;=3.4,"BUY CHEAPER",IF($V71&gt;=2.8,"FLOOR ONLY","SKIP"))))))))</f>
        <v/>
      </c>
      <c r="AG71" s="50" t="str">
        <f aca="false">IF($AF71="","",IF($AF71="REJECT","Do not buy at any price",IF($AF71="NEEDS PRICE","Enter the current closeout price",IF($AF71="NEEDS VALUATION","Enter a valuation AND its source before bidding",IF($AF71="OVERPRICED","Worth less than break-even - walk",IF($AF71="BUY","Take it on day 1 at $11 - will not reach the floor",IF($AF71="BUY CHEAPER","Wait to about $8 (day 3), walk if outbid",IF($AF71="FLOOR ONLY","Only at the $5 floor","Skip"))))))))</f>
        <v/>
      </c>
      <c r="AH71" s="35"/>
    </row>
    <row r="72" customFormat="false" ht="15" hidden="false" customHeight="false" outlineLevel="0" collapsed="false">
      <c r="A72" s="22"/>
      <c r="B72" s="36" t="str">
        <f aca="false">IF($A72="","",IF(ISERROR(FIND(".",$A72)),"",LOWER(MID($A72,FIND(CHAR(1),SUBSTITUTE($A72,".",CHAR(1),LEN($A72)-LEN(SUBSTITUTE($A72,".",""))))+1,LEN($A72)))))</f>
        <v/>
      </c>
      <c r="C72" s="37" t="str">
        <f aca="false">IF($B72="","",IFERROR(INDEX(Rubric!$B$14:$B$23,MATCH($B72,Rubric!$A$14:$A$23,0)),INDEX(Rubric!$B$14:$B$23,MATCH("other",Rubric!$A$14:$A$23,0))))</f>
        <v/>
      </c>
      <c r="D72" s="26"/>
      <c r="E72" s="38" t="str">
        <f aca="false">IF($B72="","",IFERROR(INDEX(Rubric!$C$14:$C$23,MATCH($B72,Rubric!$A$14:$A$23,0)),INDEX(Rubric!$C$14:$C$23,MATCH("other",Rubric!$A$14:$A$23,0))))</f>
        <v/>
      </c>
      <c r="F72" s="44" t="str">
        <f aca="false">IF(OR($A72="",$D72=""),"",$D72+$E72)</f>
        <v/>
      </c>
      <c r="G72" s="25"/>
      <c r="H72" s="25"/>
      <c r="I72" s="25"/>
      <c r="J72" s="25"/>
      <c r="K72" s="39" t="str">
        <f aca="false">IF($J72="","",IF($J72&gt;=15,5,IF($J72&gt;=10,4,IF($J72&gt;=5,3,IF($J72&gt;=2,2,1)))))</f>
        <v/>
      </c>
      <c r="L72" s="25"/>
      <c r="M72" s="25"/>
      <c r="N72" s="25"/>
      <c r="O72" s="25"/>
      <c r="P72" s="25"/>
      <c r="Q72" s="25"/>
      <c r="R72" s="25"/>
      <c r="S72" s="40" t="str">
        <f aca="false">IF($A72="","",IF(OR(UPPER($O72)="Y",UPPER($P72)="Y",UPPER($Q72)="Y",UPPER($R72)="Y"),"FAIL","PASS"))</f>
        <v/>
      </c>
      <c r="T72" s="39" t="str">
        <f aca="false">IF(OR($A72="",$C72=""),"",$C72*$B$6+$G72*$B$7+$H72*$B$8+$I72*$B$9)</f>
        <v/>
      </c>
      <c r="U72" s="39" t="str">
        <f aca="false">IF(OR($A72="",$K72=""),"",$K72*$B$13+$L72*$B$14+$M72*$B$15+$N72*$B$16)</f>
        <v/>
      </c>
      <c r="V72" s="39" t="str">
        <f aca="false">IF(OR($T72="",$U72=""),"",$T72*$B$19+$U72*(1-$B$19))</f>
        <v/>
      </c>
      <c r="W72" s="27"/>
      <c r="X72" s="22"/>
      <c r="Y72" s="42" t="str">
        <f aca="false">IF(OR($A72="",$W72=""),"",MAX(0,$W72-MAX($W72*Assumptions!$B$4,Assumptions!$B$5)))</f>
        <v/>
      </c>
      <c r="Z72" s="41" t="str">
        <f aca="false">IF($V72="","",Assumptions!$B$6*MAX(0.05,($V72/Assumptions!$B$11)^Assumptions!$B$12))</f>
        <v/>
      </c>
      <c r="AA72" s="41" t="str">
        <f aca="false">IF($Z72="","",1-(1-$Z72)^Assumptions!$B$7)</f>
        <v/>
      </c>
      <c r="AB72" s="42" t="str">
        <f aca="false">IF(OR($F72="",$AA72="",$AA72=0),"",($F72+$E72*Assumptions!$B$7)/($AA72*(1-Assumptions!$B$4)))</f>
        <v/>
      </c>
      <c r="AC72" s="43" t="str">
        <f aca="false">IF(OR($W72="",$AB72="",$AB72=0),"",$W72/$AB72)</f>
        <v/>
      </c>
      <c r="AD72" s="44" t="str">
        <f aca="false">IF(OR($Y72="",$E72="",$AA72=""),"",MAX(0,$Y72*$AA72-$E72*Assumptions!$B$7))</f>
        <v/>
      </c>
      <c r="AE72" s="44" t="str">
        <f aca="false">IF(OR($AD72="",$F72=""),"",$AD72-$F72)</f>
        <v/>
      </c>
      <c r="AF72" s="40" t="str">
        <f aca="false">IF($A72="","",IF($S72="FAIL","REJECT",IF($D72="","NEEDS PRICE",IF(OR($W72="",$X72=""),"NEEDS VALUATION",IF($AC72&lt;1,"OVERPRICED",IF(AND($AC72&gt;=Assumptions!$B$13,$V72&gt;=4),"BUY",IF($V72&gt;=3.4,"BUY CHEAPER",IF($V72&gt;=2.8,"FLOOR ONLY","SKIP"))))))))</f>
        <v/>
      </c>
      <c r="AG72" s="50" t="str">
        <f aca="false">IF($AF72="","",IF($AF72="REJECT","Do not buy at any price",IF($AF72="NEEDS PRICE","Enter the current closeout price",IF($AF72="NEEDS VALUATION","Enter a valuation AND its source before bidding",IF($AF72="OVERPRICED","Worth less than break-even - walk",IF($AF72="BUY","Take it on day 1 at $11 - will not reach the floor",IF($AF72="BUY CHEAPER","Wait to about $8 (day 3), walk if outbid",IF($AF72="FLOOR ONLY","Only at the $5 floor","Skip"))))))))</f>
        <v/>
      </c>
      <c r="AH72" s="35"/>
    </row>
    <row r="73" customFormat="false" ht="15" hidden="false" customHeight="false" outlineLevel="0" collapsed="false">
      <c r="A73" s="22"/>
      <c r="B73" s="36" t="str">
        <f aca="false">IF($A73="","",IF(ISERROR(FIND(".",$A73)),"",LOWER(MID($A73,FIND(CHAR(1),SUBSTITUTE($A73,".",CHAR(1),LEN($A73)-LEN(SUBSTITUTE($A73,".",""))))+1,LEN($A73)))))</f>
        <v/>
      </c>
      <c r="C73" s="37" t="str">
        <f aca="false">IF($B73="","",IFERROR(INDEX(Rubric!$B$14:$B$23,MATCH($B73,Rubric!$A$14:$A$23,0)),INDEX(Rubric!$B$14:$B$23,MATCH("other",Rubric!$A$14:$A$23,0))))</f>
        <v/>
      </c>
      <c r="D73" s="26"/>
      <c r="E73" s="38" t="str">
        <f aca="false">IF($B73="","",IFERROR(INDEX(Rubric!$C$14:$C$23,MATCH($B73,Rubric!$A$14:$A$23,0)),INDEX(Rubric!$C$14:$C$23,MATCH("other",Rubric!$A$14:$A$23,0))))</f>
        <v/>
      </c>
      <c r="F73" s="44" t="str">
        <f aca="false">IF(OR($A73="",$D73=""),"",$D73+$E73)</f>
        <v/>
      </c>
      <c r="G73" s="25"/>
      <c r="H73" s="25"/>
      <c r="I73" s="25"/>
      <c r="J73" s="25"/>
      <c r="K73" s="39" t="str">
        <f aca="false">IF($J73="","",IF($J73&gt;=15,5,IF($J73&gt;=10,4,IF($J73&gt;=5,3,IF($J73&gt;=2,2,1)))))</f>
        <v/>
      </c>
      <c r="L73" s="25"/>
      <c r="M73" s="25"/>
      <c r="N73" s="25"/>
      <c r="O73" s="25"/>
      <c r="P73" s="25"/>
      <c r="Q73" s="25"/>
      <c r="R73" s="25"/>
      <c r="S73" s="40" t="str">
        <f aca="false">IF($A73="","",IF(OR(UPPER($O73)="Y",UPPER($P73)="Y",UPPER($Q73)="Y",UPPER($R73)="Y"),"FAIL","PASS"))</f>
        <v/>
      </c>
      <c r="T73" s="39" t="str">
        <f aca="false">IF(OR($A73="",$C73=""),"",$C73*$B$6+$G73*$B$7+$H73*$B$8+$I73*$B$9)</f>
        <v/>
      </c>
      <c r="U73" s="39" t="str">
        <f aca="false">IF(OR($A73="",$K73=""),"",$K73*$B$13+$L73*$B$14+$M73*$B$15+$N73*$B$16)</f>
        <v/>
      </c>
      <c r="V73" s="39" t="str">
        <f aca="false">IF(OR($T73="",$U73=""),"",$T73*$B$19+$U73*(1-$B$19))</f>
        <v/>
      </c>
      <c r="W73" s="27"/>
      <c r="X73" s="22"/>
      <c r="Y73" s="42" t="str">
        <f aca="false">IF(OR($A73="",$W73=""),"",MAX(0,$W73-MAX($W73*Assumptions!$B$4,Assumptions!$B$5)))</f>
        <v/>
      </c>
      <c r="Z73" s="41" t="str">
        <f aca="false">IF($V73="","",Assumptions!$B$6*MAX(0.05,($V73/Assumptions!$B$11)^Assumptions!$B$12))</f>
        <v/>
      </c>
      <c r="AA73" s="41" t="str">
        <f aca="false">IF($Z73="","",1-(1-$Z73)^Assumptions!$B$7)</f>
        <v/>
      </c>
      <c r="AB73" s="42" t="str">
        <f aca="false">IF(OR($F73="",$AA73="",$AA73=0),"",($F73+$E73*Assumptions!$B$7)/($AA73*(1-Assumptions!$B$4)))</f>
        <v/>
      </c>
      <c r="AC73" s="43" t="str">
        <f aca="false">IF(OR($W73="",$AB73="",$AB73=0),"",$W73/$AB73)</f>
        <v/>
      </c>
      <c r="AD73" s="44" t="str">
        <f aca="false">IF(OR($Y73="",$E73="",$AA73=""),"",MAX(0,$Y73*$AA73-$E73*Assumptions!$B$7))</f>
        <v/>
      </c>
      <c r="AE73" s="44" t="str">
        <f aca="false">IF(OR($AD73="",$F73=""),"",$AD73-$F73)</f>
        <v/>
      </c>
      <c r="AF73" s="40" t="str">
        <f aca="false">IF($A73="","",IF($S73="FAIL","REJECT",IF($D73="","NEEDS PRICE",IF(OR($W73="",$X73=""),"NEEDS VALUATION",IF($AC73&lt;1,"OVERPRICED",IF(AND($AC73&gt;=Assumptions!$B$13,$V73&gt;=4),"BUY",IF($V73&gt;=3.4,"BUY CHEAPER",IF($V73&gt;=2.8,"FLOOR ONLY","SKIP"))))))))</f>
        <v/>
      </c>
      <c r="AG73" s="50" t="str">
        <f aca="false">IF($AF73="","",IF($AF73="REJECT","Do not buy at any price",IF($AF73="NEEDS PRICE","Enter the current closeout price",IF($AF73="NEEDS VALUATION","Enter a valuation AND its source before bidding",IF($AF73="OVERPRICED","Worth less than break-even - walk",IF($AF73="BUY","Take it on day 1 at $11 - will not reach the floor",IF($AF73="BUY CHEAPER","Wait to about $8 (day 3), walk if outbid",IF($AF73="FLOOR ONLY","Only at the $5 floor","Skip"))))))))</f>
        <v/>
      </c>
      <c r="AH73" s="35"/>
    </row>
    <row r="74" customFormat="false" ht="15" hidden="false" customHeight="false" outlineLevel="0" collapsed="false">
      <c r="A74" s="22"/>
      <c r="B74" s="36" t="str">
        <f aca="false">IF($A74="","",IF(ISERROR(FIND(".",$A74)),"",LOWER(MID($A74,FIND(CHAR(1),SUBSTITUTE($A74,".",CHAR(1),LEN($A74)-LEN(SUBSTITUTE($A74,".",""))))+1,LEN($A74)))))</f>
        <v/>
      </c>
      <c r="C74" s="37" t="str">
        <f aca="false">IF($B74="","",IFERROR(INDEX(Rubric!$B$14:$B$23,MATCH($B74,Rubric!$A$14:$A$23,0)),INDEX(Rubric!$B$14:$B$23,MATCH("other",Rubric!$A$14:$A$23,0))))</f>
        <v/>
      </c>
      <c r="D74" s="26"/>
      <c r="E74" s="38" t="str">
        <f aca="false">IF($B74="","",IFERROR(INDEX(Rubric!$C$14:$C$23,MATCH($B74,Rubric!$A$14:$A$23,0)),INDEX(Rubric!$C$14:$C$23,MATCH("other",Rubric!$A$14:$A$23,0))))</f>
        <v/>
      </c>
      <c r="F74" s="44" t="str">
        <f aca="false">IF(OR($A74="",$D74=""),"",$D74+$E74)</f>
        <v/>
      </c>
      <c r="G74" s="25"/>
      <c r="H74" s="25"/>
      <c r="I74" s="25"/>
      <c r="J74" s="25"/>
      <c r="K74" s="39" t="str">
        <f aca="false">IF($J74="","",IF($J74&gt;=15,5,IF($J74&gt;=10,4,IF($J74&gt;=5,3,IF($J74&gt;=2,2,1)))))</f>
        <v/>
      </c>
      <c r="L74" s="25"/>
      <c r="M74" s="25"/>
      <c r="N74" s="25"/>
      <c r="O74" s="25"/>
      <c r="P74" s="25"/>
      <c r="Q74" s="25"/>
      <c r="R74" s="25"/>
      <c r="S74" s="40" t="str">
        <f aca="false">IF($A74="","",IF(OR(UPPER($O74)="Y",UPPER($P74)="Y",UPPER($Q74)="Y",UPPER($R74)="Y"),"FAIL","PASS"))</f>
        <v/>
      </c>
      <c r="T74" s="39" t="str">
        <f aca="false">IF(OR($A74="",$C74=""),"",$C74*$B$6+$G74*$B$7+$H74*$B$8+$I74*$B$9)</f>
        <v/>
      </c>
      <c r="U74" s="39" t="str">
        <f aca="false">IF(OR($A74="",$K74=""),"",$K74*$B$13+$L74*$B$14+$M74*$B$15+$N74*$B$16)</f>
        <v/>
      </c>
      <c r="V74" s="39" t="str">
        <f aca="false">IF(OR($T74="",$U74=""),"",$T74*$B$19+$U74*(1-$B$19))</f>
        <v/>
      </c>
      <c r="W74" s="27"/>
      <c r="X74" s="22"/>
      <c r="Y74" s="42" t="str">
        <f aca="false">IF(OR($A74="",$W74=""),"",MAX(0,$W74-MAX($W74*Assumptions!$B$4,Assumptions!$B$5)))</f>
        <v/>
      </c>
      <c r="Z74" s="41" t="str">
        <f aca="false">IF($V74="","",Assumptions!$B$6*MAX(0.05,($V74/Assumptions!$B$11)^Assumptions!$B$12))</f>
        <v/>
      </c>
      <c r="AA74" s="41" t="str">
        <f aca="false">IF($Z74="","",1-(1-$Z74)^Assumptions!$B$7)</f>
        <v/>
      </c>
      <c r="AB74" s="42" t="str">
        <f aca="false">IF(OR($F74="",$AA74="",$AA74=0),"",($F74+$E74*Assumptions!$B$7)/($AA74*(1-Assumptions!$B$4)))</f>
        <v/>
      </c>
      <c r="AC74" s="43" t="str">
        <f aca="false">IF(OR($W74="",$AB74="",$AB74=0),"",$W74/$AB74)</f>
        <v/>
      </c>
      <c r="AD74" s="44" t="str">
        <f aca="false">IF(OR($Y74="",$E74="",$AA74=""),"",MAX(0,$Y74*$AA74-$E74*Assumptions!$B$7))</f>
        <v/>
      </c>
      <c r="AE74" s="44" t="str">
        <f aca="false">IF(OR($AD74="",$F74=""),"",$AD74-$F74)</f>
        <v/>
      </c>
      <c r="AF74" s="40" t="str">
        <f aca="false">IF($A74="","",IF($S74="FAIL","REJECT",IF($D74="","NEEDS PRICE",IF(OR($W74="",$X74=""),"NEEDS VALUATION",IF($AC74&lt;1,"OVERPRICED",IF(AND($AC74&gt;=Assumptions!$B$13,$V74&gt;=4),"BUY",IF($V74&gt;=3.4,"BUY CHEAPER",IF($V74&gt;=2.8,"FLOOR ONLY","SKIP"))))))))</f>
        <v/>
      </c>
      <c r="AG74" s="50" t="str">
        <f aca="false">IF($AF74="","",IF($AF74="REJECT","Do not buy at any price",IF($AF74="NEEDS PRICE","Enter the current closeout price",IF($AF74="NEEDS VALUATION","Enter a valuation AND its source before bidding",IF($AF74="OVERPRICED","Worth less than break-even - walk",IF($AF74="BUY","Take it on day 1 at $11 - will not reach the floor",IF($AF74="BUY CHEAPER","Wait to about $8 (day 3), walk if outbid",IF($AF74="FLOOR ONLY","Only at the $5 floor","Skip"))))))))</f>
        <v/>
      </c>
      <c r="AH74" s="35"/>
    </row>
    <row r="75" customFormat="false" ht="15" hidden="false" customHeight="false" outlineLevel="0" collapsed="false">
      <c r="A75" s="22"/>
      <c r="B75" s="36" t="str">
        <f aca="false">IF($A75="","",IF(ISERROR(FIND(".",$A75)),"",LOWER(MID($A75,FIND(CHAR(1),SUBSTITUTE($A75,".",CHAR(1),LEN($A75)-LEN(SUBSTITUTE($A75,".",""))))+1,LEN($A75)))))</f>
        <v/>
      </c>
      <c r="C75" s="37" t="str">
        <f aca="false">IF($B75="","",IFERROR(INDEX(Rubric!$B$14:$B$23,MATCH($B75,Rubric!$A$14:$A$23,0)),INDEX(Rubric!$B$14:$B$23,MATCH("other",Rubric!$A$14:$A$23,0))))</f>
        <v/>
      </c>
      <c r="D75" s="26"/>
      <c r="E75" s="38" t="str">
        <f aca="false">IF($B75="","",IFERROR(INDEX(Rubric!$C$14:$C$23,MATCH($B75,Rubric!$A$14:$A$23,0)),INDEX(Rubric!$C$14:$C$23,MATCH("other",Rubric!$A$14:$A$23,0))))</f>
        <v/>
      </c>
      <c r="F75" s="44" t="str">
        <f aca="false">IF(OR($A75="",$D75=""),"",$D75+$E75)</f>
        <v/>
      </c>
      <c r="G75" s="25"/>
      <c r="H75" s="25"/>
      <c r="I75" s="25"/>
      <c r="J75" s="25"/>
      <c r="K75" s="39" t="str">
        <f aca="false">IF($J75="","",IF($J75&gt;=15,5,IF($J75&gt;=10,4,IF($J75&gt;=5,3,IF($J75&gt;=2,2,1)))))</f>
        <v/>
      </c>
      <c r="L75" s="25"/>
      <c r="M75" s="25"/>
      <c r="N75" s="25"/>
      <c r="O75" s="25"/>
      <c r="P75" s="25"/>
      <c r="Q75" s="25"/>
      <c r="R75" s="25"/>
      <c r="S75" s="40" t="str">
        <f aca="false">IF($A75="","",IF(OR(UPPER($O75)="Y",UPPER($P75)="Y",UPPER($Q75)="Y",UPPER($R75)="Y"),"FAIL","PASS"))</f>
        <v/>
      </c>
      <c r="T75" s="39" t="str">
        <f aca="false">IF(OR($A75="",$C75=""),"",$C75*$B$6+$G75*$B$7+$H75*$B$8+$I75*$B$9)</f>
        <v/>
      </c>
      <c r="U75" s="39" t="str">
        <f aca="false">IF(OR($A75="",$K75=""),"",$K75*$B$13+$L75*$B$14+$M75*$B$15+$N75*$B$16)</f>
        <v/>
      </c>
      <c r="V75" s="39" t="str">
        <f aca="false">IF(OR($T75="",$U75=""),"",$T75*$B$19+$U75*(1-$B$19))</f>
        <v/>
      </c>
      <c r="W75" s="27"/>
      <c r="X75" s="22"/>
      <c r="Y75" s="42" t="str">
        <f aca="false">IF(OR($A75="",$W75=""),"",MAX(0,$W75-MAX($W75*Assumptions!$B$4,Assumptions!$B$5)))</f>
        <v/>
      </c>
      <c r="Z75" s="41" t="str">
        <f aca="false">IF($V75="","",Assumptions!$B$6*MAX(0.05,($V75/Assumptions!$B$11)^Assumptions!$B$12))</f>
        <v/>
      </c>
      <c r="AA75" s="41" t="str">
        <f aca="false">IF($Z75="","",1-(1-$Z75)^Assumptions!$B$7)</f>
        <v/>
      </c>
      <c r="AB75" s="42" t="str">
        <f aca="false">IF(OR($F75="",$AA75="",$AA75=0),"",($F75+$E75*Assumptions!$B$7)/($AA75*(1-Assumptions!$B$4)))</f>
        <v/>
      </c>
      <c r="AC75" s="43" t="str">
        <f aca="false">IF(OR($W75="",$AB75="",$AB75=0),"",$W75/$AB75)</f>
        <v/>
      </c>
      <c r="AD75" s="44" t="str">
        <f aca="false">IF(OR($Y75="",$E75="",$AA75=""),"",MAX(0,$Y75*$AA75-$E75*Assumptions!$B$7))</f>
        <v/>
      </c>
      <c r="AE75" s="44" t="str">
        <f aca="false">IF(OR($AD75="",$F75=""),"",$AD75-$F75)</f>
        <v/>
      </c>
      <c r="AF75" s="40" t="str">
        <f aca="false">IF($A75="","",IF($S75="FAIL","REJECT",IF($D75="","NEEDS PRICE",IF(OR($W75="",$X75=""),"NEEDS VALUATION",IF($AC75&lt;1,"OVERPRICED",IF(AND($AC75&gt;=Assumptions!$B$13,$V75&gt;=4),"BUY",IF($V75&gt;=3.4,"BUY CHEAPER",IF($V75&gt;=2.8,"FLOOR ONLY","SKIP"))))))))</f>
        <v/>
      </c>
      <c r="AG75" s="50" t="str">
        <f aca="false">IF($AF75="","",IF($AF75="REJECT","Do not buy at any price",IF($AF75="NEEDS PRICE","Enter the current closeout price",IF($AF75="NEEDS VALUATION","Enter a valuation AND its source before bidding",IF($AF75="OVERPRICED","Worth less than break-even - walk",IF($AF75="BUY","Take it on day 1 at $11 - will not reach the floor",IF($AF75="BUY CHEAPER","Wait to about $8 (day 3), walk if outbid",IF($AF75="FLOOR ONLY","Only at the $5 floor","Skip"))))))))</f>
        <v/>
      </c>
      <c r="AH75" s="35"/>
    </row>
    <row r="76" customFormat="false" ht="15" hidden="false" customHeight="false" outlineLevel="0" collapsed="false">
      <c r="A76" s="22"/>
      <c r="B76" s="36" t="str">
        <f aca="false">IF($A76="","",IF(ISERROR(FIND(".",$A76)),"",LOWER(MID($A76,FIND(CHAR(1),SUBSTITUTE($A76,".",CHAR(1),LEN($A76)-LEN(SUBSTITUTE($A76,".",""))))+1,LEN($A76)))))</f>
        <v/>
      </c>
      <c r="C76" s="37" t="str">
        <f aca="false">IF($B76="","",IFERROR(INDEX(Rubric!$B$14:$B$23,MATCH($B76,Rubric!$A$14:$A$23,0)),INDEX(Rubric!$B$14:$B$23,MATCH("other",Rubric!$A$14:$A$23,0))))</f>
        <v/>
      </c>
      <c r="D76" s="26"/>
      <c r="E76" s="38" t="str">
        <f aca="false">IF($B76="","",IFERROR(INDEX(Rubric!$C$14:$C$23,MATCH($B76,Rubric!$A$14:$A$23,0)),INDEX(Rubric!$C$14:$C$23,MATCH("other",Rubric!$A$14:$A$23,0))))</f>
        <v/>
      </c>
      <c r="F76" s="44" t="str">
        <f aca="false">IF(OR($A76="",$D76=""),"",$D76+$E76)</f>
        <v/>
      </c>
      <c r="G76" s="25"/>
      <c r="H76" s="25"/>
      <c r="I76" s="25"/>
      <c r="J76" s="25"/>
      <c r="K76" s="39" t="str">
        <f aca="false">IF($J76="","",IF($J76&gt;=15,5,IF($J76&gt;=10,4,IF($J76&gt;=5,3,IF($J76&gt;=2,2,1)))))</f>
        <v/>
      </c>
      <c r="L76" s="25"/>
      <c r="M76" s="25"/>
      <c r="N76" s="25"/>
      <c r="O76" s="25"/>
      <c r="P76" s="25"/>
      <c r="Q76" s="25"/>
      <c r="R76" s="25"/>
      <c r="S76" s="40" t="str">
        <f aca="false">IF($A76="","",IF(OR(UPPER($O76)="Y",UPPER($P76)="Y",UPPER($Q76)="Y",UPPER($R76)="Y"),"FAIL","PASS"))</f>
        <v/>
      </c>
      <c r="T76" s="39" t="str">
        <f aca="false">IF(OR($A76="",$C76=""),"",$C76*$B$6+$G76*$B$7+$H76*$B$8+$I76*$B$9)</f>
        <v/>
      </c>
      <c r="U76" s="39" t="str">
        <f aca="false">IF(OR($A76="",$K76=""),"",$K76*$B$13+$L76*$B$14+$M76*$B$15+$N76*$B$16)</f>
        <v/>
      </c>
      <c r="V76" s="39" t="str">
        <f aca="false">IF(OR($T76="",$U76=""),"",$T76*$B$19+$U76*(1-$B$19))</f>
        <v/>
      </c>
      <c r="W76" s="27"/>
      <c r="X76" s="22"/>
      <c r="Y76" s="42" t="str">
        <f aca="false">IF(OR($A76="",$W76=""),"",MAX(0,$W76-MAX($W76*Assumptions!$B$4,Assumptions!$B$5)))</f>
        <v/>
      </c>
      <c r="Z76" s="41" t="str">
        <f aca="false">IF($V76="","",Assumptions!$B$6*MAX(0.05,($V76/Assumptions!$B$11)^Assumptions!$B$12))</f>
        <v/>
      </c>
      <c r="AA76" s="41" t="str">
        <f aca="false">IF($Z76="","",1-(1-$Z76)^Assumptions!$B$7)</f>
        <v/>
      </c>
      <c r="AB76" s="42" t="str">
        <f aca="false">IF(OR($F76="",$AA76="",$AA76=0),"",($F76+$E76*Assumptions!$B$7)/($AA76*(1-Assumptions!$B$4)))</f>
        <v/>
      </c>
      <c r="AC76" s="43" t="str">
        <f aca="false">IF(OR($W76="",$AB76="",$AB76=0),"",$W76/$AB76)</f>
        <v/>
      </c>
      <c r="AD76" s="44" t="str">
        <f aca="false">IF(OR($Y76="",$E76="",$AA76=""),"",MAX(0,$Y76*$AA76-$E76*Assumptions!$B$7))</f>
        <v/>
      </c>
      <c r="AE76" s="44" t="str">
        <f aca="false">IF(OR($AD76="",$F76=""),"",$AD76-$F76)</f>
        <v/>
      </c>
      <c r="AF76" s="40" t="str">
        <f aca="false">IF($A76="","",IF($S76="FAIL","REJECT",IF($D76="","NEEDS PRICE",IF(OR($W76="",$X76=""),"NEEDS VALUATION",IF($AC76&lt;1,"OVERPRICED",IF(AND($AC76&gt;=Assumptions!$B$13,$V76&gt;=4),"BUY",IF($V76&gt;=3.4,"BUY CHEAPER",IF($V76&gt;=2.8,"FLOOR ONLY","SKIP"))))))))</f>
        <v/>
      </c>
      <c r="AG76" s="50" t="str">
        <f aca="false">IF($AF76="","",IF($AF76="REJECT","Do not buy at any price",IF($AF76="NEEDS PRICE","Enter the current closeout price",IF($AF76="NEEDS VALUATION","Enter a valuation AND its source before bidding",IF($AF76="OVERPRICED","Worth less than break-even - walk",IF($AF76="BUY","Take it on day 1 at $11 - will not reach the floor",IF($AF76="BUY CHEAPER","Wait to about $8 (day 3), walk if outbid",IF($AF76="FLOOR ONLY","Only at the $5 floor","Skip"))))))))</f>
        <v/>
      </c>
      <c r="AH76" s="35"/>
    </row>
    <row r="77" customFormat="false" ht="15" hidden="false" customHeight="false" outlineLevel="0" collapsed="false">
      <c r="A77" s="22"/>
      <c r="B77" s="36" t="str">
        <f aca="false">IF($A77="","",IF(ISERROR(FIND(".",$A77)),"",LOWER(MID($A77,FIND(CHAR(1),SUBSTITUTE($A77,".",CHAR(1),LEN($A77)-LEN(SUBSTITUTE($A77,".",""))))+1,LEN($A77)))))</f>
        <v/>
      </c>
      <c r="C77" s="37" t="str">
        <f aca="false">IF($B77="","",IFERROR(INDEX(Rubric!$B$14:$B$23,MATCH($B77,Rubric!$A$14:$A$23,0)),INDEX(Rubric!$B$14:$B$23,MATCH("other",Rubric!$A$14:$A$23,0))))</f>
        <v/>
      </c>
      <c r="D77" s="26"/>
      <c r="E77" s="38" t="str">
        <f aca="false">IF($B77="","",IFERROR(INDEX(Rubric!$C$14:$C$23,MATCH($B77,Rubric!$A$14:$A$23,0)),INDEX(Rubric!$C$14:$C$23,MATCH("other",Rubric!$A$14:$A$23,0))))</f>
        <v/>
      </c>
      <c r="F77" s="44" t="str">
        <f aca="false">IF(OR($A77="",$D77=""),"",$D77+$E77)</f>
        <v/>
      </c>
      <c r="G77" s="25"/>
      <c r="H77" s="25"/>
      <c r="I77" s="25"/>
      <c r="J77" s="25"/>
      <c r="K77" s="39" t="str">
        <f aca="false">IF($J77="","",IF($J77&gt;=15,5,IF($J77&gt;=10,4,IF($J77&gt;=5,3,IF($J77&gt;=2,2,1)))))</f>
        <v/>
      </c>
      <c r="L77" s="25"/>
      <c r="M77" s="25"/>
      <c r="N77" s="25"/>
      <c r="O77" s="25"/>
      <c r="P77" s="25"/>
      <c r="Q77" s="25"/>
      <c r="R77" s="25"/>
      <c r="S77" s="40" t="str">
        <f aca="false">IF($A77="","",IF(OR(UPPER($O77)="Y",UPPER($P77)="Y",UPPER($Q77)="Y",UPPER($R77)="Y"),"FAIL","PASS"))</f>
        <v/>
      </c>
      <c r="T77" s="39" t="str">
        <f aca="false">IF(OR($A77="",$C77=""),"",$C77*$B$6+$G77*$B$7+$H77*$B$8+$I77*$B$9)</f>
        <v/>
      </c>
      <c r="U77" s="39" t="str">
        <f aca="false">IF(OR($A77="",$K77=""),"",$K77*$B$13+$L77*$B$14+$M77*$B$15+$N77*$B$16)</f>
        <v/>
      </c>
      <c r="V77" s="39" t="str">
        <f aca="false">IF(OR($T77="",$U77=""),"",$T77*$B$19+$U77*(1-$B$19))</f>
        <v/>
      </c>
      <c r="W77" s="27"/>
      <c r="X77" s="22"/>
      <c r="Y77" s="42" t="str">
        <f aca="false">IF(OR($A77="",$W77=""),"",MAX(0,$W77-MAX($W77*Assumptions!$B$4,Assumptions!$B$5)))</f>
        <v/>
      </c>
      <c r="Z77" s="41" t="str">
        <f aca="false">IF($V77="","",Assumptions!$B$6*MAX(0.05,($V77/Assumptions!$B$11)^Assumptions!$B$12))</f>
        <v/>
      </c>
      <c r="AA77" s="41" t="str">
        <f aca="false">IF($Z77="","",1-(1-$Z77)^Assumptions!$B$7)</f>
        <v/>
      </c>
      <c r="AB77" s="42" t="str">
        <f aca="false">IF(OR($F77="",$AA77="",$AA77=0),"",($F77+$E77*Assumptions!$B$7)/($AA77*(1-Assumptions!$B$4)))</f>
        <v/>
      </c>
      <c r="AC77" s="43" t="str">
        <f aca="false">IF(OR($W77="",$AB77="",$AB77=0),"",$W77/$AB77)</f>
        <v/>
      </c>
      <c r="AD77" s="44" t="str">
        <f aca="false">IF(OR($Y77="",$E77="",$AA77=""),"",MAX(0,$Y77*$AA77-$E77*Assumptions!$B$7))</f>
        <v/>
      </c>
      <c r="AE77" s="44" t="str">
        <f aca="false">IF(OR($AD77="",$F77=""),"",$AD77-$F77)</f>
        <v/>
      </c>
      <c r="AF77" s="40" t="str">
        <f aca="false">IF($A77="","",IF($S77="FAIL","REJECT",IF($D77="","NEEDS PRICE",IF(OR($W77="",$X77=""),"NEEDS VALUATION",IF($AC77&lt;1,"OVERPRICED",IF(AND($AC77&gt;=Assumptions!$B$13,$V77&gt;=4),"BUY",IF($V77&gt;=3.4,"BUY CHEAPER",IF($V77&gt;=2.8,"FLOOR ONLY","SKIP"))))))))</f>
        <v/>
      </c>
      <c r="AG77" s="50" t="str">
        <f aca="false">IF($AF77="","",IF($AF77="REJECT","Do not buy at any price",IF($AF77="NEEDS PRICE","Enter the current closeout price",IF($AF77="NEEDS VALUATION","Enter a valuation AND its source before bidding",IF($AF77="OVERPRICED","Worth less than break-even - walk",IF($AF77="BUY","Take it on day 1 at $11 - will not reach the floor",IF($AF77="BUY CHEAPER","Wait to about $8 (day 3), walk if outbid",IF($AF77="FLOOR ONLY","Only at the $5 floor","Skip"))))))))</f>
        <v/>
      </c>
      <c r="AH77" s="35"/>
    </row>
    <row r="78" customFormat="false" ht="15" hidden="false" customHeight="false" outlineLevel="0" collapsed="false">
      <c r="A78" s="22"/>
      <c r="B78" s="36" t="str">
        <f aca="false">IF($A78="","",IF(ISERROR(FIND(".",$A78)),"",LOWER(MID($A78,FIND(CHAR(1),SUBSTITUTE($A78,".",CHAR(1),LEN($A78)-LEN(SUBSTITUTE($A78,".",""))))+1,LEN($A78)))))</f>
        <v/>
      </c>
      <c r="C78" s="37" t="str">
        <f aca="false">IF($B78="","",IFERROR(INDEX(Rubric!$B$14:$B$23,MATCH($B78,Rubric!$A$14:$A$23,0)),INDEX(Rubric!$B$14:$B$23,MATCH("other",Rubric!$A$14:$A$23,0))))</f>
        <v/>
      </c>
      <c r="D78" s="26"/>
      <c r="E78" s="38" t="str">
        <f aca="false">IF($B78="","",IFERROR(INDEX(Rubric!$C$14:$C$23,MATCH($B78,Rubric!$A$14:$A$23,0)),INDEX(Rubric!$C$14:$C$23,MATCH("other",Rubric!$A$14:$A$23,0))))</f>
        <v/>
      </c>
      <c r="F78" s="44" t="str">
        <f aca="false">IF(OR($A78="",$D78=""),"",$D78+$E78)</f>
        <v/>
      </c>
      <c r="G78" s="25"/>
      <c r="H78" s="25"/>
      <c r="I78" s="25"/>
      <c r="J78" s="25"/>
      <c r="K78" s="39" t="str">
        <f aca="false">IF($J78="","",IF($J78&gt;=15,5,IF($J78&gt;=10,4,IF($J78&gt;=5,3,IF($J78&gt;=2,2,1)))))</f>
        <v/>
      </c>
      <c r="L78" s="25"/>
      <c r="M78" s="25"/>
      <c r="N78" s="25"/>
      <c r="O78" s="25"/>
      <c r="P78" s="25"/>
      <c r="Q78" s="25"/>
      <c r="R78" s="25"/>
      <c r="S78" s="40" t="str">
        <f aca="false">IF($A78="","",IF(OR(UPPER($O78)="Y",UPPER($P78)="Y",UPPER($Q78)="Y",UPPER($R78)="Y"),"FAIL","PASS"))</f>
        <v/>
      </c>
      <c r="T78" s="39" t="str">
        <f aca="false">IF(OR($A78="",$C78=""),"",$C78*$B$6+$G78*$B$7+$H78*$B$8+$I78*$B$9)</f>
        <v/>
      </c>
      <c r="U78" s="39" t="str">
        <f aca="false">IF(OR($A78="",$K78=""),"",$K78*$B$13+$L78*$B$14+$M78*$B$15+$N78*$B$16)</f>
        <v/>
      </c>
      <c r="V78" s="39" t="str">
        <f aca="false">IF(OR($T78="",$U78=""),"",$T78*$B$19+$U78*(1-$B$19))</f>
        <v/>
      </c>
      <c r="W78" s="27"/>
      <c r="X78" s="22"/>
      <c r="Y78" s="42" t="str">
        <f aca="false">IF(OR($A78="",$W78=""),"",MAX(0,$W78-MAX($W78*Assumptions!$B$4,Assumptions!$B$5)))</f>
        <v/>
      </c>
      <c r="Z78" s="41" t="str">
        <f aca="false">IF($V78="","",Assumptions!$B$6*MAX(0.05,($V78/Assumptions!$B$11)^Assumptions!$B$12))</f>
        <v/>
      </c>
      <c r="AA78" s="41" t="str">
        <f aca="false">IF($Z78="","",1-(1-$Z78)^Assumptions!$B$7)</f>
        <v/>
      </c>
      <c r="AB78" s="42" t="str">
        <f aca="false">IF(OR($F78="",$AA78="",$AA78=0),"",($F78+$E78*Assumptions!$B$7)/($AA78*(1-Assumptions!$B$4)))</f>
        <v/>
      </c>
      <c r="AC78" s="43" t="str">
        <f aca="false">IF(OR($W78="",$AB78="",$AB78=0),"",$W78/$AB78)</f>
        <v/>
      </c>
      <c r="AD78" s="44" t="str">
        <f aca="false">IF(OR($Y78="",$E78="",$AA78=""),"",MAX(0,$Y78*$AA78-$E78*Assumptions!$B$7))</f>
        <v/>
      </c>
      <c r="AE78" s="44" t="str">
        <f aca="false">IF(OR($AD78="",$F78=""),"",$AD78-$F78)</f>
        <v/>
      </c>
      <c r="AF78" s="40" t="str">
        <f aca="false">IF($A78="","",IF($S78="FAIL","REJECT",IF($D78="","NEEDS PRICE",IF(OR($W78="",$X78=""),"NEEDS VALUATION",IF($AC78&lt;1,"OVERPRICED",IF(AND($AC78&gt;=Assumptions!$B$13,$V78&gt;=4),"BUY",IF($V78&gt;=3.4,"BUY CHEAPER",IF($V78&gt;=2.8,"FLOOR ONLY","SKIP"))))))))</f>
        <v/>
      </c>
      <c r="AG78" s="50" t="str">
        <f aca="false">IF($AF78="","",IF($AF78="REJECT","Do not buy at any price",IF($AF78="NEEDS PRICE","Enter the current closeout price",IF($AF78="NEEDS VALUATION","Enter a valuation AND its source before bidding",IF($AF78="OVERPRICED","Worth less than break-even - walk",IF($AF78="BUY","Take it on day 1 at $11 - will not reach the floor",IF($AF78="BUY CHEAPER","Wait to about $8 (day 3), walk if outbid",IF($AF78="FLOOR ONLY","Only at the $5 floor","Skip"))))))))</f>
        <v/>
      </c>
      <c r="AH78" s="35"/>
    </row>
    <row r="79" customFormat="false" ht="15" hidden="false" customHeight="false" outlineLevel="0" collapsed="false">
      <c r="A79" s="22"/>
      <c r="B79" s="36" t="str">
        <f aca="false">IF($A79="","",IF(ISERROR(FIND(".",$A79)),"",LOWER(MID($A79,FIND(CHAR(1),SUBSTITUTE($A79,".",CHAR(1),LEN($A79)-LEN(SUBSTITUTE($A79,".",""))))+1,LEN($A79)))))</f>
        <v/>
      </c>
      <c r="C79" s="37" t="str">
        <f aca="false">IF($B79="","",IFERROR(INDEX(Rubric!$B$14:$B$23,MATCH($B79,Rubric!$A$14:$A$23,0)),INDEX(Rubric!$B$14:$B$23,MATCH("other",Rubric!$A$14:$A$23,0))))</f>
        <v/>
      </c>
      <c r="D79" s="26"/>
      <c r="E79" s="38" t="str">
        <f aca="false">IF($B79="","",IFERROR(INDEX(Rubric!$C$14:$C$23,MATCH($B79,Rubric!$A$14:$A$23,0)),INDEX(Rubric!$C$14:$C$23,MATCH("other",Rubric!$A$14:$A$23,0))))</f>
        <v/>
      </c>
      <c r="F79" s="44" t="str">
        <f aca="false">IF(OR($A79="",$D79=""),"",$D79+$E79)</f>
        <v/>
      </c>
      <c r="G79" s="25"/>
      <c r="H79" s="25"/>
      <c r="I79" s="25"/>
      <c r="J79" s="25"/>
      <c r="K79" s="39" t="str">
        <f aca="false">IF($J79="","",IF($J79&gt;=15,5,IF($J79&gt;=10,4,IF($J79&gt;=5,3,IF($J79&gt;=2,2,1)))))</f>
        <v/>
      </c>
      <c r="L79" s="25"/>
      <c r="M79" s="25"/>
      <c r="N79" s="25"/>
      <c r="O79" s="25"/>
      <c r="P79" s="25"/>
      <c r="Q79" s="25"/>
      <c r="R79" s="25"/>
      <c r="S79" s="40" t="str">
        <f aca="false">IF($A79="","",IF(OR(UPPER($O79)="Y",UPPER($P79)="Y",UPPER($Q79)="Y",UPPER($R79)="Y"),"FAIL","PASS"))</f>
        <v/>
      </c>
      <c r="T79" s="39" t="str">
        <f aca="false">IF(OR($A79="",$C79=""),"",$C79*$B$6+$G79*$B$7+$H79*$B$8+$I79*$B$9)</f>
        <v/>
      </c>
      <c r="U79" s="39" t="str">
        <f aca="false">IF(OR($A79="",$K79=""),"",$K79*$B$13+$L79*$B$14+$M79*$B$15+$N79*$B$16)</f>
        <v/>
      </c>
      <c r="V79" s="39" t="str">
        <f aca="false">IF(OR($T79="",$U79=""),"",$T79*$B$19+$U79*(1-$B$19))</f>
        <v/>
      </c>
      <c r="W79" s="27"/>
      <c r="X79" s="22"/>
      <c r="Y79" s="42" t="str">
        <f aca="false">IF(OR($A79="",$W79=""),"",MAX(0,$W79-MAX($W79*Assumptions!$B$4,Assumptions!$B$5)))</f>
        <v/>
      </c>
      <c r="Z79" s="41" t="str">
        <f aca="false">IF($V79="","",Assumptions!$B$6*MAX(0.05,($V79/Assumptions!$B$11)^Assumptions!$B$12))</f>
        <v/>
      </c>
      <c r="AA79" s="41" t="str">
        <f aca="false">IF($Z79="","",1-(1-$Z79)^Assumptions!$B$7)</f>
        <v/>
      </c>
      <c r="AB79" s="42" t="str">
        <f aca="false">IF(OR($F79="",$AA79="",$AA79=0),"",($F79+$E79*Assumptions!$B$7)/($AA79*(1-Assumptions!$B$4)))</f>
        <v/>
      </c>
      <c r="AC79" s="43" t="str">
        <f aca="false">IF(OR($W79="",$AB79="",$AB79=0),"",$W79/$AB79)</f>
        <v/>
      </c>
      <c r="AD79" s="44" t="str">
        <f aca="false">IF(OR($Y79="",$E79="",$AA79=""),"",MAX(0,$Y79*$AA79-$E79*Assumptions!$B$7))</f>
        <v/>
      </c>
      <c r="AE79" s="44" t="str">
        <f aca="false">IF(OR($AD79="",$F79=""),"",$AD79-$F79)</f>
        <v/>
      </c>
      <c r="AF79" s="40" t="str">
        <f aca="false">IF($A79="","",IF($S79="FAIL","REJECT",IF($D79="","NEEDS PRICE",IF(OR($W79="",$X79=""),"NEEDS VALUATION",IF($AC79&lt;1,"OVERPRICED",IF(AND($AC79&gt;=Assumptions!$B$13,$V79&gt;=4),"BUY",IF($V79&gt;=3.4,"BUY CHEAPER",IF($V79&gt;=2.8,"FLOOR ONLY","SKIP"))))))))</f>
        <v/>
      </c>
      <c r="AG79" s="50" t="str">
        <f aca="false">IF($AF79="","",IF($AF79="REJECT","Do not buy at any price",IF($AF79="NEEDS PRICE","Enter the current closeout price",IF($AF79="NEEDS VALUATION","Enter a valuation AND its source before bidding",IF($AF79="OVERPRICED","Worth less than break-even - walk",IF($AF79="BUY","Take it on day 1 at $11 - will not reach the floor",IF($AF79="BUY CHEAPER","Wait to about $8 (day 3), walk if outbid",IF($AF79="FLOOR ONLY","Only at the $5 floor","Skip"))))))))</f>
        <v/>
      </c>
      <c r="AH79" s="35"/>
    </row>
    <row r="80" customFormat="false" ht="15" hidden="false" customHeight="false" outlineLevel="0" collapsed="false">
      <c r="A80" s="22"/>
      <c r="B80" s="36" t="str">
        <f aca="false">IF($A80="","",IF(ISERROR(FIND(".",$A80)),"",LOWER(MID($A80,FIND(CHAR(1),SUBSTITUTE($A80,".",CHAR(1),LEN($A80)-LEN(SUBSTITUTE($A80,".",""))))+1,LEN($A80)))))</f>
        <v/>
      </c>
      <c r="C80" s="37" t="str">
        <f aca="false">IF($B80="","",IFERROR(INDEX(Rubric!$B$14:$B$23,MATCH($B80,Rubric!$A$14:$A$23,0)),INDEX(Rubric!$B$14:$B$23,MATCH("other",Rubric!$A$14:$A$23,0))))</f>
        <v/>
      </c>
      <c r="D80" s="26"/>
      <c r="E80" s="38" t="str">
        <f aca="false">IF($B80="","",IFERROR(INDEX(Rubric!$C$14:$C$23,MATCH($B80,Rubric!$A$14:$A$23,0)),INDEX(Rubric!$C$14:$C$23,MATCH("other",Rubric!$A$14:$A$23,0))))</f>
        <v/>
      </c>
      <c r="F80" s="44" t="str">
        <f aca="false">IF(OR($A80="",$D80=""),"",$D80+$E80)</f>
        <v/>
      </c>
      <c r="G80" s="25"/>
      <c r="H80" s="25"/>
      <c r="I80" s="25"/>
      <c r="J80" s="25"/>
      <c r="K80" s="39" t="str">
        <f aca="false">IF($J80="","",IF($J80&gt;=15,5,IF($J80&gt;=10,4,IF($J80&gt;=5,3,IF($J80&gt;=2,2,1)))))</f>
        <v/>
      </c>
      <c r="L80" s="25"/>
      <c r="M80" s="25"/>
      <c r="N80" s="25"/>
      <c r="O80" s="25"/>
      <c r="P80" s="25"/>
      <c r="Q80" s="25"/>
      <c r="R80" s="25"/>
      <c r="S80" s="40" t="str">
        <f aca="false">IF($A80="","",IF(OR(UPPER($O80)="Y",UPPER($P80)="Y",UPPER($Q80)="Y",UPPER($R80)="Y"),"FAIL","PASS"))</f>
        <v/>
      </c>
      <c r="T80" s="39" t="str">
        <f aca="false">IF(OR($A80="",$C80=""),"",$C80*$B$6+$G80*$B$7+$H80*$B$8+$I80*$B$9)</f>
        <v/>
      </c>
      <c r="U80" s="39" t="str">
        <f aca="false">IF(OR($A80="",$K80=""),"",$K80*$B$13+$L80*$B$14+$M80*$B$15+$N80*$B$16)</f>
        <v/>
      </c>
      <c r="V80" s="39" t="str">
        <f aca="false">IF(OR($T80="",$U80=""),"",$T80*$B$19+$U80*(1-$B$19))</f>
        <v/>
      </c>
      <c r="W80" s="27"/>
      <c r="X80" s="22"/>
      <c r="Y80" s="42" t="str">
        <f aca="false">IF(OR($A80="",$W80=""),"",MAX(0,$W80-MAX($W80*Assumptions!$B$4,Assumptions!$B$5)))</f>
        <v/>
      </c>
      <c r="Z80" s="41" t="str">
        <f aca="false">IF($V80="","",Assumptions!$B$6*MAX(0.05,($V80/Assumptions!$B$11)^Assumptions!$B$12))</f>
        <v/>
      </c>
      <c r="AA80" s="41" t="str">
        <f aca="false">IF($Z80="","",1-(1-$Z80)^Assumptions!$B$7)</f>
        <v/>
      </c>
      <c r="AB80" s="42" t="str">
        <f aca="false">IF(OR($F80="",$AA80="",$AA80=0),"",($F80+$E80*Assumptions!$B$7)/($AA80*(1-Assumptions!$B$4)))</f>
        <v/>
      </c>
      <c r="AC80" s="43" t="str">
        <f aca="false">IF(OR($W80="",$AB80="",$AB80=0),"",$W80/$AB80)</f>
        <v/>
      </c>
      <c r="AD80" s="44" t="str">
        <f aca="false">IF(OR($Y80="",$E80="",$AA80=""),"",MAX(0,$Y80*$AA80-$E80*Assumptions!$B$7))</f>
        <v/>
      </c>
      <c r="AE80" s="44" t="str">
        <f aca="false">IF(OR($AD80="",$F80=""),"",$AD80-$F80)</f>
        <v/>
      </c>
      <c r="AF80" s="40" t="str">
        <f aca="false">IF($A80="","",IF($S80="FAIL","REJECT",IF($D80="","NEEDS PRICE",IF(OR($W80="",$X80=""),"NEEDS VALUATION",IF($AC80&lt;1,"OVERPRICED",IF(AND($AC80&gt;=Assumptions!$B$13,$V80&gt;=4),"BUY",IF($V80&gt;=3.4,"BUY CHEAPER",IF($V80&gt;=2.8,"FLOOR ONLY","SKIP"))))))))</f>
        <v/>
      </c>
      <c r="AG80" s="50" t="str">
        <f aca="false">IF($AF80="","",IF($AF80="REJECT","Do not buy at any price",IF($AF80="NEEDS PRICE","Enter the current closeout price",IF($AF80="NEEDS VALUATION","Enter a valuation AND its source before bidding",IF($AF80="OVERPRICED","Worth less than break-even - walk",IF($AF80="BUY","Take it on day 1 at $11 - will not reach the floor",IF($AF80="BUY CHEAPER","Wait to about $8 (day 3), walk if outbid",IF($AF80="FLOOR ONLY","Only at the $5 floor","Skip"))))))))</f>
        <v/>
      </c>
      <c r="AH80" s="35"/>
    </row>
    <row r="81" customFormat="false" ht="15" hidden="false" customHeight="false" outlineLevel="0" collapsed="false">
      <c r="A81" s="22"/>
      <c r="B81" s="36" t="str">
        <f aca="false">IF($A81="","",IF(ISERROR(FIND(".",$A81)),"",LOWER(MID($A81,FIND(CHAR(1),SUBSTITUTE($A81,".",CHAR(1),LEN($A81)-LEN(SUBSTITUTE($A81,".",""))))+1,LEN($A81)))))</f>
        <v/>
      </c>
      <c r="C81" s="37" t="str">
        <f aca="false">IF($B81="","",IFERROR(INDEX(Rubric!$B$14:$B$23,MATCH($B81,Rubric!$A$14:$A$23,0)),INDEX(Rubric!$B$14:$B$23,MATCH("other",Rubric!$A$14:$A$23,0))))</f>
        <v/>
      </c>
      <c r="D81" s="26"/>
      <c r="E81" s="38" t="str">
        <f aca="false">IF($B81="","",IFERROR(INDEX(Rubric!$C$14:$C$23,MATCH($B81,Rubric!$A$14:$A$23,0)),INDEX(Rubric!$C$14:$C$23,MATCH("other",Rubric!$A$14:$A$23,0))))</f>
        <v/>
      </c>
      <c r="F81" s="44" t="str">
        <f aca="false">IF(OR($A81="",$D81=""),"",$D81+$E81)</f>
        <v/>
      </c>
      <c r="G81" s="25"/>
      <c r="H81" s="25"/>
      <c r="I81" s="25"/>
      <c r="J81" s="25"/>
      <c r="K81" s="39" t="str">
        <f aca="false">IF($J81="","",IF($J81&gt;=15,5,IF($J81&gt;=10,4,IF($J81&gt;=5,3,IF($J81&gt;=2,2,1)))))</f>
        <v/>
      </c>
      <c r="L81" s="25"/>
      <c r="M81" s="25"/>
      <c r="N81" s="25"/>
      <c r="O81" s="25"/>
      <c r="P81" s="25"/>
      <c r="Q81" s="25"/>
      <c r="R81" s="25"/>
      <c r="S81" s="40" t="str">
        <f aca="false">IF($A81="","",IF(OR(UPPER($O81)="Y",UPPER($P81)="Y",UPPER($Q81)="Y",UPPER($R81)="Y"),"FAIL","PASS"))</f>
        <v/>
      </c>
      <c r="T81" s="39" t="str">
        <f aca="false">IF(OR($A81="",$C81=""),"",$C81*$B$6+$G81*$B$7+$H81*$B$8+$I81*$B$9)</f>
        <v/>
      </c>
      <c r="U81" s="39" t="str">
        <f aca="false">IF(OR($A81="",$K81=""),"",$K81*$B$13+$L81*$B$14+$M81*$B$15+$N81*$B$16)</f>
        <v/>
      </c>
      <c r="V81" s="39" t="str">
        <f aca="false">IF(OR($T81="",$U81=""),"",$T81*$B$19+$U81*(1-$B$19))</f>
        <v/>
      </c>
      <c r="W81" s="27"/>
      <c r="X81" s="22"/>
      <c r="Y81" s="42" t="str">
        <f aca="false">IF(OR($A81="",$W81=""),"",MAX(0,$W81-MAX($W81*Assumptions!$B$4,Assumptions!$B$5)))</f>
        <v/>
      </c>
      <c r="Z81" s="41" t="str">
        <f aca="false">IF($V81="","",Assumptions!$B$6*MAX(0.05,($V81/Assumptions!$B$11)^Assumptions!$B$12))</f>
        <v/>
      </c>
      <c r="AA81" s="41" t="str">
        <f aca="false">IF($Z81="","",1-(1-$Z81)^Assumptions!$B$7)</f>
        <v/>
      </c>
      <c r="AB81" s="42" t="str">
        <f aca="false">IF(OR($F81="",$AA81="",$AA81=0),"",($F81+$E81*Assumptions!$B$7)/($AA81*(1-Assumptions!$B$4)))</f>
        <v/>
      </c>
      <c r="AC81" s="43" t="str">
        <f aca="false">IF(OR($W81="",$AB81="",$AB81=0),"",$W81/$AB81)</f>
        <v/>
      </c>
      <c r="AD81" s="44" t="str">
        <f aca="false">IF(OR($Y81="",$E81="",$AA81=""),"",MAX(0,$Y81*$AA81-$E81*Assumptions!$B$7))</f>
        <v/>
      </c>
      <c r="AE81" s="44" t="str">
        <f aca="false">IF(OR($AD81="",$F81=""),"",$AD81-$F81)</f>
        <v/>
      </c>
      <c r="AF81" s="40" t="str">
        <f aca="false">IF($A81="","",IF($S81="FAIL","REJECT",IF($D81="","NEEDS PRICE",IF(OR($W81="",$X81=""),"NEEDS VALUATION",IF($AC81&lt;1,"OVERPRICED",IF(AND($AC81&gt;=Assumptions!$B$13,$V81&gt;=4),"BUY",IF($V81&gt;=3.4,"BUY CHEAPER",IF($V81&gt;=2.8,"FLOOR ONLY","SKIP"))))))))</f>
        <v/>
      </c>
      <c r="AG81" s="50" t="str">
        <f aca="false">IF($AF81="","",IF($AF81="REJECT","Do not buy at any price",IF($AF81="NEEDS PRICE","Enter the current closeout price",IF($AF81="NEEDS VALUATION","Enter a valuation AND its source before bidding",IF($AF81="OVERPRICED","Worth less than break-even - walk",IF($AF81="BUY","Take it on day 1 at $11 - will not reach the floor",IF($AF81="BUY CHEAPER","Wait to about $8 (day 3), walk if outbid",IF($AF81="FLOOR ONLY","Only at the $5 floor","Skip"))))))))</f>
        <v/>
      </c>
      <c r="AH81" s="35"/>
    </row>
    <row r="82" customFormat="false" ht="15" hidden="false" customHeight="false" outlineLevel="0" collapsed="false">
      <c r="A82" s="22"/>
      <c r="B82" s="36" t="str">
        <f aca="false">IF($A82="","",IF(ISERROR(FIND(".",$A82)),"",LOWER(MID($A82,FIND(CHAR(1),SUBSTITUTE($A82,".",CHAR(1),LEN($A82)-LEN(SUBSTITUTE($A82,".",""))))+1,LEN($A82)))))</f>
        <v/>
      </c>
      <c r="C82" s="37" t="str">
        <f aca="false">IF($B82="","",IFERROR(INDEX(Rubric!$B$14:$B$23,MATCH($B82,Rubric!$A$14:$A$23,0)),INDEX(Rubric!$B$14:$B$23,MATCH("other",Rubric!$A$14:$A$23,0))))</f>
        <v/>
      </c>
      <c r="D82" s="26"/>
      <c r="E82" s="38" t="str">
        <f aca="false">IF($B82="","",IFERROR(INDEX(Rubric!$C$14:$C$23,MATCH($B82,Rubric!$A$14:$A$23,0)),INDEX(Rubric!$C$14:$C$23,MATCH("other",Rubric!$A$14:$A$23,0))))</f>
        <v/>
      </c>
      <c r="F82" s="44" t="str">
        <f aca="false">IF(OR($A82="",$D82=""),"",$D82+$E82)</f>
        <v/>
      </c>
      <c r="G82" s="25"/>
      <c r="H82" s="25"/>
      <c r="I82" s="25"/>
      <c r="J82" s="25"/>
      <c r="K82" s="39" t="str">
        <f aca="false">IF($J82="","",IF($J82&gt;=15,5,IF($J82&gt;=10,4,IF($J82&gt;=5,3,IF($J82&gt;=2,2,1)))))</f>
        <v/>
      </c>
      <c r="L82" s="25"/>
      <c r="M82" s="25"/>
      <c r="N82" s="25"/>
      <c r="O82" s="25"/>
      <c r="P82" s="25"/>
      <c r="Q82" s="25"/>
      <c r="R82" s="25"/>
      <c r="S82" s="40" t="str">
        <f aca="false">IF($A82="","",IF(OR(UPPER($O82)="Y",UPPER($P82)="Y",UPPER($Q82)="Y",UPPER($R82)="Y"),"FAIL","PASS"))</f>
        <v/>
      </c>
      <c r="T82" s="39" t="str">
        <f aca="false">IF(OR($A82="",$C82=""),"",$C82*$B$6+$G82*$B$7+$H82*$B$8+$I82*$B$9)</f>
        <v/>
      </c>
      <c r="U82" s="39" t="str">
        <f aca="false">IF(OR($A82="",$K82=""),"",$K82*$B$13+$L82*$B$14+$M82*$B$15+$N82*$B$16)</f>
        <v/>
      </c>
      <c r="V82" s="39" t="str">
        <f aca="false">IF(OR($T82="",$U82=""),"",$T82*$B$19+$U82*(1-$B$19))</f>
        <v/>
      </c>
      <c r="W82" s="27"/>
      <c r="X82" s="22"/>
      <c r="Y82" s="42" t="str">
        <f aca="false">IF(OR($A82="",$W82=""),"",MAX(0,$W82-MAX($W82*Assumptions!$B$4,Assumptions!$B$5)))</f>
        <v/>
      </c>
      <c r="Z82" s="41" t="str">
        <f aca="false">IF($V82="","",Assumptions!$B$6*MAX(0.05,($V82/Assumptions!$B$11)^Assumptions!$B$12))</f>
        <v/>
      </c>
      <c r="AA82" s="41" t="str">
        <f aca="false">IF($Z82="","",1-(1-$Z82)^Assumptions!$B$7)</f>
        <v/>
      </c>
      <c r="AB82" s="42" t="str">
        <f aca="false">IF(OR($F82="",$AA82="",$AA82=0),"",($F82+$E82*Assumptions!$B$7)/($AA82*(1-Assumptions!$B$4)))</f>
        <v/>
      </c>
      <c r="AC82" s="43" t="str">
        <f aca="false">IF(OR($W82="",$AB82="",$AB82=0),"",$W82/$AB82)</f>
        <v/>
      </c>
      <c r="AD82" s="44" t="str">
        <f aca="false">IF(OR($Y82="",$E82="",$AA82=""),"",MAX(0,$Y82*$AA82-$E82*Assumptions!$B$7))</f>
        <v/>
      </c>
      <c r="AE82" s="44" t="str">
        <f aca="false">IF(OR($AD82="",$F82=""),"",$AD82-$F82)</f>
        <v/>
      </c>
      <c r="AF82" s="40" t="str">
        <f aca="false">IF($A82="","",IF($S82="FAIL","REJECT",IF($D82="","NEEDS PRICE",IF(OR($W82="",$X82=""),"NEEDS VALUATION",IF($AC82&lt;1,"OVERPRICED",IF(AND($AC82&gt;=Assumptions!$B$13,$V82&gt;=4),"BUY",IF($V82&gt;=3.4,"BUY CHEAPER",IF($V82&gt;=2.8,"FLOOR ONLY","SKIP"))))))))</f>
        <v/>
      </c>
      <c r="AG82" s="50" t="str">
        <f aca="false">IF($AF82="","",IF($AF82="REJECT","Do not buy at any price",IF($AF82="NEEDS PRICE","Enter the current closeout price",IF($AF82="NEEDS VALUATION","Enter a valuation AND its source before bidding",IF($AF82="OVERPRICED","Worth less than break-even - walk",IF($AF82="BUY","Take it on day 1 at $11 - will not reach the floor",IF($AF82="BUY CHEAPER","Wait to about $8 (day 3), walk if outbid",IF($AF82="FLOOR ONLY","Only at the $5 floor","Skip"))))))))</f>
        <v/>
      </c>
      <c r="AH82" s="35"/>
    </row>
    <row r="83" customFormat="false" ht="15" hidden="false" customHeight="false" outlineLevel="0" collapsed="false">
      <c r="A83" s="22"/>
      <c r="B83" s="36" t="str">
        <f aca="false">IF($A83="","",IF(ISERROR(FIND(".",$A83)),"",LOWER(MID($A83,FIND(CHAR(1),SUBSTITUTE($A83,".",CHAR(1),LEN($A83)-LEN(SUBSTITUTE($A83,".",""))))+1,LEN($A83)))))</f>
        <v/>
      </c>
      <c r="C83" s="37" t="str">
        <f aca="false">IF($B83="","",IFERROR(INDEX(Rubric!$B$14:$B$23,MATCH($B83,Rubric!$A$14:$A$23,0)),INDEX(Rubric!$B$14:$B$23,MATCH("other",Rubric!$A$14:$A$23,0))))</f>
        <v/>
      </c>
      <c r="D83" s="26"/>
      <c r="E83" s="38" t="str">
        <f aca="false">IF($B83="","",IFERROR(INDEX(Rubric!$C$14:$C$23,MATCH($B83,Rubric!$A$14:$A$23,0)),INDEX(Rubric!$C$14:$C$23,MATCH("other",Rubric!$A$14:$A$23,0))))</f>
        <v/>
      </c>
      <c r="F83" s="44" t="str">
        <f aca="false">IF(OR($A83="",$D83=""),"",$D83+$E83)</f>
        <v/>
      </c>
      <c r="G83" s="25"/>
      <c r="H83" s="25"/>
      <c r="I83" s="25"/>
      <c r="J83" s="25"/>
      <c r="K83" s="39" t="str">
        <f aca="false">IF($J83="","",IF($J83&gt;=15,5,IF($J83&gt;=10,4,IF($J83&gt;=5,3,IF($J83&gt;=2,2,1)))))</f>
        <v/>
      </c>
      <c r="L83" s="25"/>
      <c r="M83" s="25"/>
      <c r="N83" s="25"/>
      <c r="O83" s="25"/>
      <c r="P83" s="25"/>
      <c r="Q83" s="25"/>
      <c r="R83" s="25"/>
      <c r="S83" s="40" t="str">
        <f aca="false">IF($A83="","",IF(OR(UPPER($O83)="Y",UPPER($P83)="Y",UPPER($Q83)="Y",UPPER($R83)="Y"),"FAIL","PASS"))</f>
        <v/>
      </c>
      <c r="T83" s="39" t="str">
        <f aca="false">IF(OR($A83="",$C83=""),"",$C83*$B$6+$G83*$B$7+$H83*$B$8+$I83*$B$9)</f>
        <v/>
      </c>
      <c r="U83" s="39" t="str">
        <f aca="false">IF(OR($A83="",$K83=""),"",$K83*$B$13+$L83*$B$14+$M83*$B$15+$N83*$B$16)</f>
        <v/>
      </c>
      <c r="V83" s="39" t="str">
        <f aca="false">IF(OR($T83="",$U83=""),"",$T83*$B$19+$U83*(1-$B$19))</f>
        <v/>
      </c>
      <c r="W83" s="27"/>
      <c r="X83" s="22"/>
      <c r="Y83" s="42" t="str">
        <f aca="false">IF(OR($A83="",$W83=""),"",MAX(0,$W83-MAX($W83*Assumptions!$B$4,Assumptions!$B$5)))</f>
        <v/>
      </c>
      <c r="Z83" s="41" t="str">
        <f aca="false">IF($V83="","",Assumptions!$B$6*MAX(0.05,($V83/Assumptions!$B$11)^Assumptions!$B$12))</f>
        <v/>
      </c>
      <c r="AA83" s="41" t="str">
        <f aca="false">IF($Z83="","",1-(1-$Z83)^Assumptions!$B$7)</f>
        <v/>
      </c>
      <c r="AB83" s="42" t="str">
        <f aca="false">IF(OR($F83="",$AA83="",$AA83=0),"",($F83+$E83*Assumptions!$B$7)/($AA83*(1-Assumptions!$B$4)))</f>
        <v/>
      </c>
      <c r="AC83" s="43" t="str">
        <f aca="false">IF(OR($W83="",$AB83="",$AB83=0),"",$W83/$AB83)</f>
        <v/>
      </c>
      <c r="AD83" s="44" t="str">
        <f aca="false">IF(OR($Y83="",$E83="",$AA83=""),"",MAX(0,$Y83*$AA83-$E83*Assumptions!$B$7))</f>
        <v/>
      </c>
      <c r="AE83" s="44" t="str">
        <f aca="false">IF(OR($AD83="",$F83=""),"",$AD83-$F83)</f>
        <v/>
      </c>
      <c r="AF83" s="40" t="str">
        <f aca="false">IF($A83="","",IF($S83="FAIL","REJECT",IF($D83="","NEEDS PRICE",IF(OR($W83="",$X83=""),"NEEDS VALUATION",IF($AC83&lt;1,"OVERPRICED",IF(AND($AC83&gt;=Assumptions!$B$13,$V83&gt;=4),"BUY",IF($V83&gt;=3.4,"BUY CHEAPER",IF($V83&gt;=2.8,"FLOOR ONLY","SKIP"))))))))</f>
        <v/>
      </c>
      <c r="AG83" s="50" t="str">
        <f aca="false">IF($AF83="","",IF($AF83="REJECT","Do not buy at any price",IF($AF83="NEEDS PRICE","Enter the current closeout price",IF($AF83="NEEDS VALUATION","Enter a valuation AND its source before bidding",IF($AF83="OVERPRICED","Worth less than break-even - walk",IF($AF83="BUY","Take it on day 1 at $11 - will not reach the floor",IF($AF83="BUY CHEAPER","Wait to about $8 (day 3), walk if outbid",IF($AF83="FLOOR ONLY","Only at the $5 floor","Skip"))))))))</f>
        <v/>
      </c>
      <c r="AH83" s="35"/>
    </row>
    <row r="84" customFormat="false" ht="15" hidden="false" customHeight="false" outlineLevel="0" collapsed="false">
      <c r="A84" s="22"/>
      <c r="B84" s="36" t="str">
        <f aca="false">IF($A84="","",IF(ISERROR(FIND(".",$A84)),"",LOWER(MID($A84,FIND(CHAR(1),SUBSTITUTE($A84,".",CHAR(1),LEN($A84)-LEN(SUBSTITUTE($A84,".",""))))+1,LEN($A84)))))</f>
        <v/>
      </c>
      <c r="C84" s="37" t="str">
        <f aca="false">IF($B84="","",IFERROR(INDEX(Rubric!$B$14:$B$23,MATCH($B84,Rubric!$A$14:$A$23,0)),INDEX(Rubric!$B$14:$B$23,MATCH("other",Rubric!$A$14:$A$23,0))))</f>
        <v/>
      </c>
      <c r="D84" s="26"/>
      <c r="E84" s="38" t="str">
        <f aca="false">IF($B84="","",IFERROR(INDEX(Rubric!$C$14:$C$23,MATCH($B84,Rubric!$A$14:$A$23,0)),INDEX(Rubric!$C$14:$C$23,MATCH("other",Rubric!$A$14:$A$23,0))))</f>
        <v/>
      </c>
      <c r="F84" s="44" t="str">
        <f aca="false">IF(OR($A84="",$D84=""),"",$D84+$E84)</f>
        <v/>
      </c>
      <c r="G84" s="25"/>
      <c r="H84" s="25"/>
      <c r="I84" s="25"/>
      <c r="J84" s="25"/>
      <c r="K84" s="39" t="str">
        <f aca="false">IF($J84="","",IF($J84&gt;=15,5,IF($J84&gt;=10,4,IF($J84&gt;=5,3,IF($J84&gt;=2,2,1)))))</f>
        <v/>
      </c>
      <c r="L84" s="25"/>
      <c r="M84" s="25"/>
      <c r="N84" s="25"/>
      <c r="O84" s="25"/>
      <c r="P84" s="25"/>
      <c r="Q84" s="25"/>
      <c r="R84" s="25"/>
      <c r="S84" s="40" t="str">
        <f aca="false">IF($A84="","",IF(OR(UPPER($O84)="Y",UPPER($P84)="Y",UPPER($Q84)="Y",UPPER($R84)="Y"),"FAIL","PASS"))</f>
        <v/>
      </c>
      <c r="T84" s="39" t="str">
        <f aca="false">IF(OR($A84="",$C84=""),"",$C84*$B$6+$G84*$B$7+$H84*$B$8+$I84*$B$9)</f>
        <v/>
      </c>
      <c r="U84" s="39" t="str">
        <f aca="false">IF(OR($A84="",$K84=""),"",$K84*$B$13+$L84*$B$14+$M84*$B$15+$N84*$B$16)</f>
        <v/>
      </c>
      <c r="V84" s="39" t="str">
        <f aca="false">IF(OR($T84="",$U84=""),"",$T84*$B$19+$U84*(1-$B$19))</f>
        <v/>
      </c>
      <c r="W84" s="27"/>
      <c r="X84" s="22"/>
      <c r="Y84" s="42" t="str">
        <f aca="false">IF(OR($A84="",$W84=""),"",MAX(0,$W84-MAX($W84*Assumptions!$B$4,Assumptions!$B$5)))</f>
        <v/>
      </c>
      <c r="Z84" s="41" t="str">
        <f aca="false">IF($V84="","",Assumptions!$B$6*MAX(0.05,($V84/Assumptions!$B$11)^Assumptions!$B$12))</f>
        <v/>
      </c>
      <c r="AA84" s="41" t="str">
        <f aca="false">IF($Z84="","",1-(1-$Z84)^Assumptions!$B$7)</f>
        <v/>
      </c>
      <c r="AB84" s="42" t="str">
        <f aca="false">IF(OR($F84="",$AA84="",$AA84=0),"",($F84+$E84*Assumptions!$B$7)/($AA84*(1-Assumptions!$B$4)))</f>
        <v/>
      </c>
      <c r="AC84" s="43" t="str">
        <f aca="false">IF(OR($W84="",$AB84="",$AB84=0),"",$W84/$AB84)</f>
        <v/>
      </c>
      <c r="AD84" s="44" t="str">
        <f aca="false">IF(OR($Y84="",$E84="",$AA84=""),"",MAX(0,$Y84*$AA84-$E84*Assumptions!$B$7))</f>
        <v/>
      </c>
      <c r="AE84" s="44" t="str">
        <f aca="false">IF(OR($AD84="",$F84=""),"",$AD84-$F84)</f>
        <v/>
      </c>
      <c r="AF84" s="40" t="str">
        <f aca="false">IF($A84="","",IF($S84="FAIL","REJECT",IF($D84="","NEEDS PRICE",IF(OR($W84="",$X84=""),"NEEDS VALUATION",IF($AC84&lt;1,"OVERPRICED",IF(AND($AC84&gt;=Assumptions!$B$13,$V84&gt;=4),"BUY",IF($V84&gt;=3.4,"BUY CHEAPER",IF($V84&gt;=2.8,"FLOOR ONLY","SKIP"))))))))</f>
        <v/>
      </c>
      <c r="AG84" s="50" t="str">
        <f aca="false">IF($AF84="","",IF($AF84="REJECT","Do not buy at any price",IF($AF84="NEEDS PRICE","Enter the current closeout price",IF($AF84="NEEDS VALUATION","Enter a valuation AND its source before bidding",IF($AF84="OVERPRICED","Worth less than break-even - walk",IF($AF84="BUY","Take it on day 1 at $11 - will not reach the floor",IF($AF84="BUY CHEAPER","Wait to about $8 (day 3), walk if outbid",IF($AF84="FLOOR ONLY","Only at the $5 floor","Skip"))))))))</f>
        <v/>
      </c>
      <c r="AH84" s="35"/>
    </row>
    <row r="85" customFormat="false" ht="15" hidden="false" customHeight="false" outlineLevel="0" collapsed="false">
      <c r="A85" s="22"/>
      <c r="B85" s="36" t="str">
        <f aca="false">IF($A85="","",IF(ISERROR(FIND(".",$A85)),"",LOWER(MID($A85,FIND(CHAR(1),SUBSTITUTE($A85,".",CHAR(1),LEN($A85)-LEN(SUBSTITUTE($A85,".",""))))+1,LEN($A85)))))</f>
        <v/>
      </c>
      <c r="C85" s="37" t="str">
        <f aca="false">IF($B85="","",IFERROR(INDEX(Rubric!$B$14:$B$23,MATCH($B85,Rubric!$A$14:$A$23,0)),INDEX(Rubric!$B$14:$B$23,MATCH("other",Rubric!$A$14:$A$23,0))))</f>
        <v/>
      </c>
      <c r="D85" s="26"/>
      <c r="E85" s="38" t="str">
        <f aca="false">IF($B85="","",IFERROR(INDEX(Rubric!$C$14:$C$23,MATCH($B85,Rubric!$A$14:$A$23,0)),INDEX(Rubric!$C$14:$C$23,MATCH("other",Rubric!$A$14:$A$23,0))))</f>
        <v/>
      </c>
      <c r="F85" s="44" t="str">
        <f aca="false">IF(OR($A85="",$D85=""),"",$D85+$E85)</f>
        <v/>
      </c>
      <c r="G85" s="25"/>
      <c r="H85" s="25"/>
      <c r="I85" s="25"/>
      <c r="J85" s="25"/>
      <c r="K85" s="39" t="str">
        <f aca="false">IF($J85="","",IF($J85&gt;=15,5,IF($J85&gt;=10,4,IF($J85&gt;=5,3,IF($J85&gt;=2,2,1)))))</f>
        <v/>
      </c>
      <c r="L85" s="25"/>
      <c r="M85" s="25"/>
      <c r="N85" s="25"/>
      <c r="O85" s="25"/>
      <c r="P85" s="25"/>
      <c r="Q85" s="25"/>
      <c r="R85" s="25"/>
      <c r="S85" s="40" t="str">
        <f aca="false">IF($A85="","",IF(OR(UPPER($O85)="Y",UPPER($P85)="Y",UPPER($Q85)="Y",UPPER($R85)="Y"),"FAIL","PASS"))</f>
        <v/>
      </c>
      <c r="T85" s="39" t="str">
        <f aca="false">IF(OR($A85="",$C85=""),"",$C85*$B$6+$G85*$B$7+$H85*$B$8+$I85*$B$9)</f>
        <v/>
      </c>
      <c r="U85" s="39" t="str">
        <f aca="false">IF(OR($A85="",$K85=""),"",$K85*$B$13+$L85*$B$14+$M85*$B$15+$N85*$B$16)</f>
        <v/>
      </c>
      <c r="V85" s="39" t="str">
        <f aca="false">IF(OR($T85="",$U85=""),"",$T85*$B$19+$U85*(1-$B$19))</f>
        <v/>
      </c>
      <c r="W85" s="27"/>
      <c r="X85" s="22"/>
      <c r="Y85" s="42" t="str">
        <f aca="false">IF(OR($A85="",$W85=""),"",MAX(0,$W85-MAX($W85*Assumptions!$B$4,Assumptions!$B$5)))</f>
        <v/>
      </c>
      <c r="Z85" s="41" t="str">
        <f aca="false">IF($V85="","",Assumptions!$B$6*MAX(0.05,($V85/Assumptions!$B$11)^Assumptions!$B$12))</f>
        <v/>
      </c>
      <c r="AA85" s="41" t="str">
        <f aca="false">IF($Z85="","",1-(1-$Z85)^Assumptions!$B$7)</f>
        <v/>
      </c>
      <c r="AB85" s="42" t="str">
        <f aca="false">IF(OR($F85="",$AA85="",$AA85=0),"",($F85+$E85*Assumptions!$B$7)/($AA85*(1-Assumptions!$B$4)))</f>
        <v/>
      </c>
      <c r="AC85" s="43" t="str">
        <f aca="false">IF(OR($W85="",$AB85="",$AB85=0),"",$W85/$AB85)</f>
        <v/>
      </c>
      <c r="AD85" s="44" t="str">
        <f aca="false">IF(OR($Y85="",$E85="",$AA85=""),"",MAX(0,$Y85*$AA85-$E85*Assumptions!$B$7))</f>
        <v/>
      </c>
      <c r="AE85" s="44" t="str">
        <f aca="false">IF(OR($AD85="",$F85=""),"",$AD85-$F85)</f>
        <v/>
      </c>
      <c r="AF85" s="40" t="str">
        <f aca="false">IF($A85="","",IF($S85="FAIL","REJECT",IF($D85="","NEEDS PRICE",IF(OR($W85="",$X85=""),"NEEDS VALUATION",IF($AC85&lt;1,"OVERPRICED",IF(AND($AC85&gt;=Assumptions!$B$13,$V85&gt;=4),"BUY",IF($V85&gt;=3.4,"BUY CHEAPER",IF($V85&gt;=2.8,"FLOOR ONLY","SKIP"))))))))</f>
        <v/>
      </c>
      <c r="AG85" s="50" t="str">
        <f aca="false">IF($AF85="","",IF($AF85="REJECT","Do not buy at any price",IF($AF85="NEEDS PRICE","Enter the current closeout price",IF($AF85="NEEDS VALUATION","Enter a valuation AND its source before bidding",IF($AF85="OVERPRICED","Worth less than break-even - walk",IF($AF85="BUY","Take it on day 1 at $11 - will not reach the floor",IF($AF85="BUY CHEAPER","Wait to about $8 (day 3), walk if outbid",IF($AF85="FLOOR ONLY","Only at the $5 floor","Skip"))))))))</f>
        <v/>
      </c>
      <c r="AH85" s="35"/>
    </row>
    <row r="86" customFormat="false" ht="15" hidden="false" customHeight="false" outlineLevel="0" collapsed="false">
      <c r="A86" s="22"/>
      <c r="B86" s="36" t="str">
        <f aca="false">IF($A86="","",IF(ISERROR(FIND(".",$A86)),"",LOWER(MID($A86,FIND(CHAR(1),SUBSTITUTE($A86,".",CHAR(1),LEN($A86)-LEN(SUBSTITUTE($A86,".",""))))+1,LEN($A86)))))</f>
        <v/>
      </c>
      <c r="C86" s="37" t="str">
        <f aca="false">IF($B86="","",IFERROR(INDEX(Rubric!$B$14:$B$23,MATCH($B86,Rubric!$A$14:$A$23,0)),INDEX(Rubric!$B$14:$B$23,MATCH("other",Rubric!$A$14:$A$23,0))))</f>
        <v/>
      </c>
      <c r="D86" s="26"/>
      <c r="E86" s="38" t="str">
        <f aca="false">IF($B86="","",IFERROR(INDEX(Rubric!$C$14:$C$23,MATCH($B86,Rubric!$A$14:$A$23,0)),INDEX(Rubric!$C$14:$C$23,MATCH("other",Rubric!$A$14:$A$23,0))))</f>
        <v/>
      </c>
      <c r="F86" s="44" t="str">
        <f aca="false">IF(OR($A86="",$D86=""),"",$D86+$E86)</f>
        <v/>
      </c>
      <c r="G86" s="25"/>
      <c r="H86" s="25"/>
      <c r="I86" s="25"/>
      <c r="J86" s="25"/>
      <c r="K86" s="39" t="str">
        <f aca="false">IF($J86="","",IF($J86&gt;=15,5,IF($J86&gt;=10,4,IF($J86&gt;=5,3,IF($J86&gt;=2,2,1)))))</f>
        <v/>
      </c>
      <c r="L86" s="25"/>
      <c r="M86" s="25"/>
      <c r="N86" s="25"/>
      <c r="O86" s="25"/>
      <c r="P86" s="25"/>
      <c r="Q86" s="25"/>
      <c r="R86" s="25"/>
      <c r="S86" s="40" t="str">
        <f aca="false">IF($A86="","",IF(OR(UPPER($O86)="Y",UPPER($P86)="Y",UPPER($Q86)="Y",UPPER($R86)="Y"),"FAIL","PASS"))</f>
        <v/>
      </c>
      <c r="T86" s="39" t="str">
        <f aca="false">IF(OR($A86="",$C86=""),"",$C86*$B$6+$G86*$B$7+$H86*$B$8+$I86*$B$9)</f>
        <v/>
      </c>
      <c r="U86" s="39" t="str">
        <f aca="false">IF(OR($A86="",$K86=""),"",$K86*$B$13+$L86*$B$14+$M86*$B$15+$N86*$B$16)</f>
        <v/>
      </c>
      <c r="V86" s="39" t="str">
        <f aca="false">IF(OR($T86="",$U86=""),"",$T86*$B$19+$U86*(1-$B$19))</f>
        <v/>
      </c>
      <c r="W86" s="27"/>
      <c r="X86" s="22"/>
      <c r="Y86" s="42" t="str">
        <f aca="false">IF(OR($A86="",$W86=""),"",MAX(0,$W86-MAX($W86*Assumptions!$B$4,Assumptions!$B$5)))</f>
        <v/>
      </c>
      <c r="Z86" s="41" t="str">
        <f aca="false">IF($V86="","",Assumptions!$B$6*MAX(0.05,($V86/Assumptions!$B$11)^Assumptions!$B$12))</f>
        <v/>
      </c>
      <c r="AA86" s="41" t="str">
        <f aca="false">IF($Z86="","",1-(1-$Z86)^Assumptions!$B$7)</f>
        <v/>
      </c>
      <c r="AB86" s="42" t="str">
        <f aca="false">IF(OR($F86="",$AA86="",$AA86=0),"",($F86+$E86*Assumptions!$B$7)/($AA86*(1-Assumptions!$B$4)))</f>
        <v/>
      </c>
      <c r="AC86" s="43" t="str">
        <f aca="false">IF(OR($W86="",$AB86="",$AB86=0),"",$W86/$AB86)</f>
        <v/>
      </c>
      <c r="AD86" s="44" t="str">
        <f aca="false">IF(OR($Y86="",$E86="",$AA86=""),"",MAX(0,$Y86*$AA86-$E86*Assumptions!$B$7))</f>
        <v/>
      </c>
      <c r="AE86" s="44" t="str">
        <f aca="false">IF(OR($AD86="",$F86=""),"",$AD86-$F86)</f>
        <v/>
      </c>
      <c r="AF86" s="40" t="str">
        <f aca="false">IF($A86="","",IF($S86="FAIL","REJECT",IF($D86="","NEEDS PRICE",IF(OR($W86="",$X86=""),"NEEDS VALUATION",IF($AC86&lt;1,"OVERPRICED",IF(AND($AC86&gt;=Assumptions!$B$13,$V86&gt;=4),"BUY",IF($V86&gt;=3.4,"BUY CHEAPER",IF($V86&gt;=2.8,"FLOOR ONLY","SKIP"))))))))</f>
        <v/>
      </c>
      <c r="AG86" s="50" t="str">
        <f aca="false">IF($AF86="","",IF($AF86="REJECT","Do not buy at any price",IF($AF86="NEEDS PRICE","Enter the current closeout price",IF($AF86="NEEDS VALUATION","Enter a valuation AND its source before bidding",IF($AF86="OVERPRICED","Worth less than break-even - walk",IF($AF86="BUY","Take it on day 1 at $11 - will not reach the floor",IF($AF86="BUY CHEAPER","Wait to about $8 (day 3), walk if outbid",IF($AF86="FLOOR ONLY","Only at the $5 floor","Skip"))))))))</f>
        <v/>
      </c>
      <c r="AH86" s="35"/>
    </row>
    <row r="87" customFormat="false" ht="15" hidden="false" customHeight="false" outlineLevel="0" collapsed="false">
      <c r="A87" s="22"/>
      <c r="B87" s="36" t="str">
        <f aca="false">IF($A87="","",IF(ISERROR(FIND(".",$A87)),"",LOWER(MID($A87,FIND(CHAR(1),SUBSTITUTE($A87,".",CHAR(1),LEN($A87)-LEN(SUBSTITUTE($A87,".",""))))+1,LEN($A87)))))</f>
        <v/>
      </c>
      <c r="C87" s="37" t="str">
        <f aca="false">IF($B87="","",IFERROR(INDEX(Rubric!$B$14:$B$23,MATCH($B87,Rubric!$A$14:$A$23,0)),INDEX(Rubric!$B$14:$B$23,MATCH("other",Rubric!$A$14:$A$23,0))))</f>
        <v/>
      </c>
      <c r="D87" s="26"/>
      <c r="E87" s="38" t="str">
        <f aca="false">IF($B87="","",IFERROR(INDEX(Rubric!$C$14:$C$23,MATCH($B87,Rubric!$A$14:$A$23,0)),INDEX(Rubric!$C$14:$C$23,MATCH("other",Rubric!$A$14:$A$23,0))))</f>
        <v/>
      </c>
      <c r="F87" s="44" t="str">
        <f aca="false">IF(OR($A87="",$D87=""),"",$D87+$E87)</f>
        <v/>
      </c>
      <c r="G87" s="25"/>
      <c r="H87" s="25"/>
      <c r="I87" s="25"/>
      <c r="J87" s="25"/>
      <c r="K87" s="39" t="str">
        <f aca="false">IF($J87="","",IF($J87&gt;=15,5,IF($J87&gt;=10,4,IF($J87&gt;=5,3,IF($J87&gt;=2,2,1)))))</f>
        <v/>
      </c>
      <c r="L87" s="25"/>
      <c r="M87" s="25"/>
      <c r="N87" s="25"/>
      <c r="O87" s="25"/>
      <c r="P87" s="25"/>
      <c r="Q87" s="25"/>
      <c r="R87" s="25"/>
      <c r="S87" s="40" t="str">
        <f aca="false">IF($A87="","",IF(OR(UPPER($O87)="Y",UPPER($P87)="Y",UPPER($Q87)="Y",UPPER($R87)="Y"),"FAIL","PASS"))</f>
        <v/>
      </c>
      <c r="T87" s="39" t="str">
        <f aca="false">IF(OR($A87="",$C87=""),"",$C87*$B$6+$G87*$B$7+$H87*$B$8+$I87*$B$9)</f>
        <v/>
      </c>
      <c r="U87" s="39" t="str">
        <f aca="false">IF(OR($A87="",$K87=""),"",$K87*$B$13+$L87*$B$14+$M87*$B$15+$N87*$B$16)</f>
        <v/>
      </c>
      <c r="V87" s="39" t="str">
        <f aca="false">IF(OR($T87="",$U87=""),"",$T87*$B$19+$U87*(1-$B$19))</f>
        <v/>
      </c>
      <c r="W87" s="27"/>
      <c r="X87" s="22"/>
      <c r="Y87" s="42" t="str">
        <f aca="false">IF(OR($A87="",$W87=""),"",MAX(0,$W87-MAX($W87*Assumptions!$B$4,Assumptions!$B$5)))</f>
        <v/>
      </c>
      <c r="Z87" s="41" t="str">
        <f aca="false">IF($V87="","",Assumptions!$B$6*MAX(0.05,($V87/Assumptions!$B$11)^Assumptions!$B$12))</f>
        <v/>
      </c>
      <c r="AA87" s="41" t="str">
        <f aca="false">IF($Z87="","",1-(1-$Z87)^Assumptions!$B$7)</f>
        <v/>
      </c>
      <c r="AB87" s="42" t="str">
        <f aca="false">IF(OR($F87="",$AA87="",$AA87=0),"",($F87+$E87*Assumptions!$B$7)/($AA87*(1-Assumptions!$B$4)))</f>
        <v/>
      </c>
      <c r="AC87" s="43" t="str">
        <f aca="false">IF(OR($W87="",$AB87="",$AB87=0),"",$W87/$AB87)</f>
        <v/>
      </c>
      <c r="AD87" s="44" t="str">
        <f aca="false">IF(OR($Y87="",$E87="",$AA87=""),"",MAX(0,$Y87*$AA87-$E87*Assumptions!$B$7))</f>
        <v/>
      </c>
      <c r="AE87" s="44" t="str">
        <f aca="false">IF(OR($AD87="",$F87=""),"",$AD87-$F87)</f>
        <v/>
      </c>
      <c r="AF87" s="40" t="str">
        <f aca="false">IF($A87="","",IF($S87="FAIL","REJECT",IF($D87="","NEEDS PRICE",IF(OR($W87="",$X87=""),"NEEDS VALUATION",IF($AC87&lt;1,"OVERPRICED",IF(AND($AC87&gt;=Assumptions!$B$13,$V87&gt;=4),"BUY",IF($V87&gt;=3.4,"BUY CHEAPER",IF($V87&gt;=2.8,"FLOOR ONLY","SKIP"))))))))</f>
        <v/>
      </c>
      <c r="AG87" s="50" t="str">
        <f aca="false">IF($AF87="","",IF($AF87="REJECT","Do not buy at any price",IF($AF87="NEEDS PRICE","Enter the current closeout price",IF($AF87="NEEDS VALUATION","Enter a valuation AND its source before bidding",IF($AF87="OVERPRICED","Worth less than break-even - walk",IF($AF87="BUY","Take it on day 1 at $11 - will not reach the floor",IF($AF87="BUY CHEAPER","Wait to about $8 (day 3), walk if outbid",IF($AF87="FLOOR ONLY","Only at the $5 floor","Skip"))))))))</f>
        <v/>
      </c>
      <c r="AH87" s="35"/>
    </row>
    <row r="88" customFormat="false" ht="15" hidden="false" customHeight="false" outlineLevel="0" collapsed="false">
      <c r="A88" s="22"/>
      <c r="B88" s="36" t="str">
        <f aca="false">IF($A88="","",IF(ISERROR(FIND(".",$A88)),"",LOWER(MID($A88,FIND(CHAR(1),SUBSTITUTE($A88,".",CHAR(1),LEN($A88)-LEN(SUBSTITUTE($A88,".",""))))+1,LEN($A88)))))</f>
        <v/>
      </c>
      <c r="C88" s="37" t="str">
        <f aca="false">IF($B88="","",IFERROR(INDEX(Rubric!$B$14:$B$23,MATCH($B88,Rubric!$A$14:$A$23,0)),INDEX(Rubric!$B$14:$B$23,MATCH("other",Rubric!$A$14:$A$23,0))))</f>
        <v/>
      </c>
      <c r="D88" s="26"/>
      <c r="E88" s="38" t="str">
        <f aca="false">IF($B88="","",IFERROR(INDEX(Rubric!$C$14:$C$23,MATCH($B88,Rubric!$A$14:$A$23,0)),INDEX(Rubric!$C$14:$C$23,MATCH("other",Rubric!$A$14:$A$23,0))))</f>
        <v/>
      </c>
      <c r="F88" s="44" t="str">
        <f aca="false">IF(OR($A88="",$D88=""),"",$D88+$E88)</f>
        <v/>
      </c>
      <c r="G88" s="25"/>
      <c r="H88" s="25"/>
      <c r="I88" s="25"/>
      <c r="J88" s="25"/>
      <c r="K88" s="39" t="str">
        <f aca="false">IF($J88="","",IF($J88&gt;=15,5,IF($J88&gt;=10,4,IF($J88&gt;=5,3,IF($J88&gt;=2,2,1)))))</f>
        <v/>
      </c>
      <c r="L88" s="25"/>
      <c r="M88" s="25"/>
      <c r="N88" s="25"/>
      <c r="O88" s="25"/>
      <c r="P88" s="25"/>
      <c r="Q88" s="25"/>
      <c r="R88" s="25"/>
      <c r="S88" s="40" t="str">
        <f aca="false">IF($A88="","",IF(OR(UPPER($O88)="Y",UPPER($P88)="Y",UPPER($Q88)="Y",UPPER($R88)="Y"),"FAIL","PASS"))</f>
        <v/>
      </c>
      <c r="T88" s="39" t="str">
        <f aca="false">IF(OR($A88="",$C88=""),"",$C88*$B$6+$G88*$B$7+$H88*$B$8+$I88*$B$9)</f>
        <v/>
      </c>
      <c r="U88" s="39" t="str">
        <f aca="false">IF(OR($A88="",$K88=""),"",$K88*$B$13+$L88*$B$14+$M88*$B$15+$N88*$B$16)</f>
        <v/>
      </c>
      <c r="V88" s="39" t="str">
        <f aca="false">IF(OR($T88="",$U88=""),"",$T88*$B$19+$U88*(1-$B$19))</f>
        <v/>
      </c>
      <c r="W88" s="27"/>
      <c r="X88" s="22"/>
      <c r="Y88" s="42" t="str">
        <f aca="false">IF(OR($A88="",$W88=""),"",MAX(0,$W88-MAX($W88*Assumptions!$B$4,Assumptions!$B$5)))</f>
        <v/>
      </c>
      <c r="Z88" s="41" t="str">
        <f aca="false">IF($V88="","",Assumptions!$B$6*MAX(0.05,($V88/Assumptions!$B$11)^Assumptions!$B$12))</f>
        <v/>
      </c>
      <c r="AA88" s="41" t="str">
        <f aca="false">IF($Z88="","",1-(1-$Z88)^Assumptions!$B$7)</f>
        <v/>
      </c>
      <c r="AB88" s="42" t="str">
        <f aca="false">IF(OR($F88="",$AA88="",$AA88=0),"",($F88+$E88*Assumptions!$B$7)/($AA88*(1-Assumptions!$B$4)))</f>
        <v/>
      </c>
      <c r="AC88" s="43" t="str">
        <f aca="false">IF(OR($W88="",$AB88="",$AB88=0),"",$W88/$AB88)</f>
        <v/>
      </c>
      <c r="AD88" s="44" t="str">
        <f aca="false">IF(OR($Y88="",$E88="",$AA88=""),"",MAX(0,$Y88*$AA88-$E88*Assumptions!$B$7))</f>
        <v/>
      </c>
      <c r="AE88" s="44" t="str">
        <f aca="false">IF(OR($AD88="",$F88=""),"",$AD88-$F88)</f>
        <v/>
      </c>
      <c r="AF88" s="40" t="str">
        <f aca="false">IF($A88="","",IF($S88="FAIL","REJECT",IF($D88="","NEEDS PRICE",IF(OR($W88="",$X88=""),"NEEDS VALUATION",IF($AC88&lt;1,"OVERPRICED",IF(AND($AC88&gt;=Assumptions!$B$13,$V88&gt;=4),"BUY",IF($V88&gt;=3.4,"BUY CHEAPER",IF($V88&gt;=2.8,"FLOOR ONLY","SKIP"))))))))</f>
        <v/>
      </c>
      <c r="AG88" s="50" t="str">
        <f aca="false">IF($AF88="","",IF($AF88="REJECT","Do not buy at any price",IF($AF88="NEEDS PRICE","Enter the current closeout price",IF($AF88="NEEDS VALUATION","Enter a valuation AND its source before bidding",IF($AF88="OVERPRICED","Worth less than break-even - walk",IF($AF88="BUY","Take it on day 1 at $11 - will not reach the floor",IF($AF88="BUY CHEAPER","Wait to about $8 (day 3), walk if outbid",IF($AF88="FLOOR ONLY","Only at the $5 floor","Skip"))))))))</f>
        <v/>
      </c>
      <c r="AH88" s="35"/>
    </row>
    <row r="89" customFormat="false" ht="15" hidden="false" customHeight="false" outlineLevel="0" collapsed="false">
      <c r="A89" s="22"/>
      <c r="B89" s="36" t="str">
        <f aca="false">IF($A89="","",IF(ISERROR(FIND(".",$A89)),"",LOWER(MID($A89,FIND(CHAR(1),SUBSTITUTE($A89,".",CHAR(1),LEN($A89)-LEN(SUBSTITUTE($A89,".",""))))+1,LEN($A89)))))</f>
        <v/>
      </c>
      <c r="C89" s="37" t="str">
        <f aca="false">IF($B89="","",IFERROR(INDEX(Rubric!$B$14:$B$23,MATCH($B89,Rubric!$A$14:$A$23,0)),INDEX(Rubric!$B$14:$B$23,MATCH("other",Rubric!$A$14:$A$23,0))))</f>
        <v/>
      </c>
      <c r="D89" s="26"/>
      <c r="E89" s="38" t="str">
        <f aca="false">IF($B89="","",IFERROR(INDEX(Rubric!$C$14:$C$23,MATCH($B89,Rubric!$A$14:$A$23,0)),INDEX(Rubric!$C$14:$C$23,MATCH("other",Rubric!$A$14:$A$23,0))))</f>
        <v/>
      </c>
      <c r="F89" s="44" t="str">
        <f aca="false">IF(OR($A89="",$D89=""),"",$D89+$E89)</f>
        <v/>
      </c>
      <c r="G89" s="25"/>
      <c r="H89" s="25"/>
      <c r="I89" s="25"/>
      <c r="J89" s="25"/>
      <c r="K89" s="39" t="str">
        <f aca="false">IF($J89="","",IF($J89&gt;=15,5,IF($J89&gt;=10,4,IF($J89&gt;=5,3,IF($J89&gt;=2,2,1)))))</f>
        <v/>
      </c>
      <c r="L89" s="25"/>
      <c r="M89" s="25"/>
      <c r="N89" s="25"/>
      <c r="O89" s="25"/>
      <c r="P89" s="25"/>
      <c r="Q89" s="25"/>
      <c r="R89" s="25"/>
      <c r="S89" s="40" t="str">
        <f aca="false">IF($A89="","",IF(OR(UPPER($O89)="Y",UPPER($P89)="Y",UPPER($Q89)="Y",UPPER($R89)="Y"),"FAIL","PASS"))</f>
        <v/>
      </c>
      <c r="T89" s="39" t="str">
        <f aca="false">IF(OR($A89="",$C89=""),"",$C89*$B$6+$G89*$B$7+$H89*$B$8+$I89*$B$9)</f>
        <v/>
      </c>
      <c r="U89" s="39" t="str">
        <f aca="false">IF(OR($A89="",$K89=""),"",$K89*$B$13+$L89*$B$14+$M89*$B$15+$N89*$B$16)</f>
        <v/>
      </c>
      <c r="V89" s="39" t="str">
        <f aca="false">IF(OR($T89="",$U89=""),"",$T89*$B$19+$U89*(1-$B$19))</f>
        <v/>
      </c>
      <c r="W89" s="27"/>
      <c r="X89" s="22"/>
      <c r="Y89" s="42" t="str">
        <f aca="false">IF(OR($A89="",$W89=""),"",MAX(0,$W89-MAX($W89*Assumptions!$B$4,Assumptions!$B$5)))</f>
        <v/>
      </c>
      <c r="Z89" s="41" t="str">
        <f aca="false">IF($V89="","",Assumptions!$B$6*MAX(0.05,($V89/Assumptions!$B$11)^Assumptions!$B$12))</f>
        <v/>
      </c>
      <c r="AA89" s="41" t="str">
        <f aca="false">IF($Z89="","",1-(1-$Z89)^Assumptions!$B$7)</f>
        <v/>
      </c>
      <c r="AB89" s="42" t="str">
        <f aca="false">IF(OR($F89="",$AA89="",$AA89=0),"",($F89+$E89*Assumptions!$B$7)/($AA89*(1-Assumptions!$B$4)))</f>
        <v/>
      </c>
      <c r="AC89" s="43" t="str">
        <f aca="false">IF(OR($W89="",$AB89="",$AB89=0),"",$W89/$AB89)</f>
        <v/>
      </c>
      <c r="AD89" s="44" t="str">
        <f aca="false">IF(OR($Y89="",$E89="",$AA89=""),"",MAX(0,$Y89*$AA89-$E89*Assumptions!$B$7))</f>
        <v/>
      </c>
      <c r="AE89" s="44" t="str">
        <f aca="false">IF(OR($AD89="",$F89=""),"",$AD89-$F89)</f>
        <v/>
      </c>
      <c r="AF89" s="40" t="str">
        <f aca="false">IF($A89="","",IF($S89="FAIL","REJECT",IF($D89="","NEEDS PRICE",IF(OR($W89="",$X89=""),"NEEDS VALUATION",IF($AC89&lt;1,"OVERPRICED",IF(AND($AC89&gt;=Assumptions!$B$13,$V89&gt;=4),"BUY",IF($V89&gt;=3.4,"BUY CHEAPER",IF($V89&gt;=2.8,"FLOOR ONLY","SKIP"))))))))</f>
        <v/>
      </c>
      <c r="AG89" s="50" t="str">
        <f aca="false">IF($AF89="","",IF($AF89="REJECT","Do not buy at any price",IF($AF89="NEEDS PRICE","Enter the current closeout price",IF($AF89="NEEDS VALUATION","Enter a valuation AND its source before bidding",IF($AF89="OVERPRICED","Worth less than break-even - walk",IF($AF89="BUY","Take it on day 1 at $11 - will not reach the floor",IF($AF89="BUY CHEAPER","Wait to about $8 (day 3), walk if outbid",IF($AF89="FLOOR ONLY","Only at the $5 floor","Skip"))))))))</f>
        <v/>
      </c>
      <c r="AH89" s="35"/>
    </row>
    <row r="90" customFormat="false" ht="15" hidden="false" customHeight="false" outlineLevel="0" collapsed="false">
      <c r="A90" s="22"/>
      <c r="B90" s="36" t="str">
        <f aca="false">IF($A90="","",IF(ISERROR(FIND(".",$A90)),"",LOWER(MID($A90,FIND(CHAR(1),SUBSTITUTE($A90,".",CHAR(1),LEN($A90)-LEN(SUBSTITUTE($A90,".",""))))+1,LEN($A90)))))</f>
        <v/>
      </c>
      <c r="C90" s="37" t="str">
        <f aca="false">IF($B90="","",IFERROR(INDEX(Rubric!$B$14:$B$23,MATCH($B90,Rubric!$A$14:$A$23,0)),INDEX(Rubric!$B$14:$B$23,MATCH("other",Rubric!$A$14:$A$23,0))))</f>
        <v/>
      </c>
      <c r="D90" s="26"/>
      <c r="E90" s="38" t="str">
        <f aca="false">IF($B90="","",IFERROR(INDEX(Rubric!$C$14:$C$23,MATCH($B90,Rubric!$A$14:$A$23,0)),INDEX(Rubric!$C$14:$C$23,MATCH("other",Rubric!$A$14:$A$23,0))))</f>
        <v/>
      </c>
      <c r="F90" s="44" t="str">
        <f aca="false">IF(OR($A90="",$D90=""),"",$D90+$E90)</f>
        <v/>
      </c>
      <c r="G90" s="25"/>
      <c r="H90" s="25"/>
      <c r="I90" s="25"/>
      <c r="J90" s="25"/>
      <c r="K90" s="39" t="str">
        <f aca="false">IF($J90="","",IF($J90&gt;=15,5,IF($J90&gt;=10,4,IF($J90&gt;=5,3,IF($J90&gt;=2,2,1)))))</f>
        <v/>
      </c>
      <c r="L90" s="25"/>
      <c r="M90" s="25"/>
      <c r="N90" s="25"/>
      <c r="O90" s="25"/>
      <c r="P90" s="25"/>
      <c r="Q90" s="25"/>
      <c r="R90" s="25"/>
      <c r="S90" s="40" t="str">
        <f aca="false">IF($A90="","",IF(OR(UPPER($O90)="Y",UPPER($P90)="Y",UPPER($Q90)="Y",UPPER($R90)="Y"),"FAIL","PASS"))</f>
        <v/>
      </c>
      <c r="T90" s="39" t="str">
        <f aca="false">IF(OR($A90="",$C90=""),"",$C90*$B$6+$G90*$B$7+$H90*$B$8+$I90*$B$9)</f>
        <v/>
      </c>
      <c r="U90" s="39" t="str">
        <f aca="false">IF(OR($A90="",$K90=""),"",$K90*$B$13+$L90*$B$14+$M90*$B$15+$N90*$B$16)</f>
        <v/>
      </c>
      <c r="V90" s="39" t="str">
        <f aca="false">IF(OR($T90="",$U90=""),"",$T90*$B$19+$U90*(1-$B$19))</f>
        <v/>
      </c>
      <c r="W90" s="27"/>
      <c r="X90" s="22"/>
      <c r="Y90" s="42" t="str">
        <f aca="false">IF(OR($A90="",$W90=""),"",MAX(0,$W90-MAX($W90*Assumptions!$B$4,Assumptions!$B$5)))</f>
        <v/>
      </c>
      <c r="Z90" s="41" t="str">
        <f aca="false">IF($V90="","",Assumptions!$B$6*MAX(0.05,($V90/Assumptions!$B$11)^Assumptions!$B$12))</f>
        <v/>
      </c>
      <c r="AA90" s="41" t="str">
        <f aca="false">IF($Z90="","",1-(1-$Z90)^Assumptions!$B$7)</f>
        <v/>
      </c>
      <c r="AB90" s="42" t="str">
        <f aca="false">IF(OR($F90="",$AA90="",$AA90=0),"",($F90+$E90*Assumptions!$B$7)/($AA90*(1-Assumptions!$B$4)))</f>
        <v/>
      </c>
      <c r="AC90" s="43" t="str">
        <f aca="false">IF(OR($W90="",$AB90="",$AB90=0),"",$W90/$AB90)</f>
        <v/>
      </c>
      <c r="AD90" s="44" t="str">
        <f aca="false">IF(OR($Y90="",$E90="",$AA90=""),"",MAX(0,$Y90*$AA90-$E90*Assumptions!$B$7))</f>
        <v/>
      </c>
      <c r="AE90" s="44" t="str">
        <f aca="false">IF(OR($AD90="",$F90=""),"",$AD90-$F90)</f>
        <v/>
      </c>
      <c r="AF90" s="40" t="str">
        <f aca="false">IF($A90="","",IF($S90="FAIL","REJECT",IF($D90="","NEEDS PRICE",IF(OR($W90="",$X90=""),"NEEDS VALUATION",IF($AC90&lt;1,"OVERPRICED",IF(AND($AC90&gt;=Assumptions!$B$13,$V90&gt;=4),"BUY",IF($V90&gt;=3.4,"BUY CHEAPER",IF($V90&gt;=2.8,"FLOOR ONLY","SKIP"))))))))</f>
        <v/>
      </c>
      <c r="AG90" s="50" t="str">
        <f aca="false">IF($AF90="","",IF($AF90="REJECT","Do not buy at any price",IF($AF90="NEEDS PRICE","Enter the current closeout price",IF($AF90="NEEDS VALUATION","Enter a valuation AND its source before bidding",IF($AF90="OVERPRICED","Worth less than break-even - walk",IF($AF90="BUY","Take it on day 1 at $11 - will not reach the floor",IF($AF90="BUY CHEAPER","Wait to about $8 (day 3), walk if outbid",IF($AF90="FLOOR ONLY","Only at the $5 floor","Skip"))))))))</f>
        <v/>
      </c>
      <c r="AH90" s="35"/>
    </row>
    <row r="91" customFormat="false" ht="15" hidden="false" customHeight="false" outlineLevel="0" collapsed="false">
      <c r="A91" s="22"/>
      <c r="B91" s="36" t="str">
        <f aca="false">IF($A91="","",IF(ISERROR(FIND(".",$A91)),"",LOWER(MID($A91,FIND(CHAR(1),SUBSTITUTE($A91,".",CHAR(1),LEN($A91)-LEN(SUBSTITUTE($A91,".",""))))+1,LEN($A91)))))</f>
        <v/>
      </c>
      <c r="C91" s="37" t="str">
        <f aca="false">IF($B91="","",IFERROR(INDEX(Rubric!$B$14:$B$23,MATCH($B91,Rubric!$A$14:$A$23,0)),INDEX(Rubric!$B$14:$B$23,MATCH("other",Rubric!$A$14:$A$23,0))))</f>
        <v/>
      </c>
      <c r="D91" s="26"/>
      <c r="E91" s="38" t="str">
        <f aca="false">IF($B91="","",IFERROR(INDEX(Rubric!$C$14:$C$23,MATCH($B91,Rubric!$A$14:$A$23,0)),INDEX(Rubric!$C$14:$C$23,MATCH("other",Rubric!$A$14:$A$23,0))))</f>
        <v/>
      </c>
      <c r="F91" s="44" t="str">
        <f aca="false">IF(OR($A91="",$D91=""),"",$D91+$E91)</f>
        <v/>
      </c>
      <c r="G91" s="25"/>
      <c r="H91" s="25"/>
      <c r="I91" s="25"/>
      <c r="J91" s="25"/>
      <c r="K91" s="39" t="str">
        <f aca="false">IF($J91="","",IF($J91&gt;=15,5,IF($J91&gt;=10,4,IF($J91&gt;=5,3,IF($J91&gt;=2,2,1)))))</f>
        <v/>
      </c>
      <c r="L91" s="25"/>
      <c r="M91" s="25"/>
      <c r="N91" s="25"/>
      <c r="O91" s="25"/>
      <c r="P91" s="25"/>
      <c r="Q91" s="25"/>
      <c r="R91" s="25"/>
      <c r="S91" s="40" t="str">
        <f aca="false">IF($A91="","",IF(OR(UPPER($O91)="Y",UPPER($P91)="Y",UPPER($Q91)="Y",UPPER($R91)="Y"),"FAIL","PASS"))</f>
        <v/>
      </c>
      <c r="T91" s="39" t="str">
        <f aca="false">IF(OR($A91="",$C91=""),"",$C91*$B$6+$G91*$B$7+$H91*$B$8+$I91*$B$9)</f>
        <v/>
      </c>
      <c r="U91" s="39" t="str">
        <f aca="false">IF(OR($A91="",$K91=""),"",$K91*$B$13+$L91*$B$14+$M91*$B$15+$N91*$B$16)</f>
        <v/>
      </c>
      <c r="V91" s="39" t="str">
        <f aca="false">IF(OR($T91="",$U91=""),"",$T91*$B$19+$U91*(1-$B$19))</f>
        <v/>
      </c>
      <c r="W91" s="27"/>
      <c r="X91" s="22"/>
      <c r="Y91" s="42" t="str">
        <f aca="false">IF(OR($A91="",$W91=""),"",MAX(0,$W91-MAX($W91*Assumptions!$B$4,Assumptions!$B$5)))</f>
        <v/>
      </c>
      <c r="Z91" s="41" t="str">
        <f aca="false">IF($V91="","",Assumptions!$B$6*MAX(0.05,($V91/Assumptions!$B$11)^Assumptions!$B$12))</f>
        <v/>
      </c>
      <c r="AA91" s="41" t="str">
        <f aca="false">IF($Z91="","",1-(1-$Z91)^Assumptions!$B$7)</f>
        <v/>
      </c>
      <c r="AB91" s="42" t="str">
        <f aca="false">IF(OR($F91="",$AA91="",$AA91=0),"",($F91+$E91*Assumptions!$B$7)/($AA91*(1-Assumptions!$B$4)))</f>
        <v/>
      </c>
      <c r="AC91" s="43" t="str">
        <f aca="false">IF(OR($W91="",$AB91="",$AB91=0),"",$W91/$AB91)</f>
        <v/>
      </c>
      <c r="AD91" s="44" t="str">
        <f aca="false">IF(OR($Y91="",$E91="",$AA91=""),"",MAX(0,$Y91*$AA91-$E91*Assumptions!$B$7))</f>
        <v/>
      </c>
      <c r="AE91" s="44" t="str">
        <f aca="false">IF(OR($AD91="",$F91=""),"",$AD91-$F91)</f>
        <v/>
      </c>
      <c r="AF91" s="40" t="str">
        <f aca="false">IF($A91="","",IF($S91="FAIL","REJECT",IF($D91="","NEEDS PRICE",IF(OR($W91="",$X91=""),"NEEDS VALUATION",IF($AC91&lt;1,"OVERPRICED",IF(AND($AC91&gt;=Assumptions!$B$13,$V91&gt;=4),"BUY",IF($V91&gt;=3.4,"BUY CHEAPER",IF($V91&gt;=2.8,"FLOOR ONLY","SKIP"))))))))</f>
        <v/>
      </c>
      <c r="AG91" s="50" t="str">
        <f aca="false">IF($AF91="","",IF($AF91="REJECT","Do not buy at any price",IF($AF91="NEEDS PRICE","Enter the current closeout price",IF($AF91="NEEDS VALUATION","Enter a valuation AND its source before bidding",IF($AF91="OVERPRICED","Worth less than break-even - walk",IF($AF91="BUY","Take it on day 1 at $11 - will not reach the floor",IF($AF91="BUY CHEAPER","Wait to about $8 (day 3), walk if outbid",IF($AF91="FLOOR ONLY","Only at the $5 floor","Skip"))))))))</f>
        <v/>
      </c>
      <c r="AH91" s="35"/>
    </row>
    <row r="92" customFormat="false" ht="15" hidden="false" customHeight="false" outlineLevel="0" collapsed="false">
      <c r="A92" s="22"/>
      <c r="B92" s="36" t="str">
        <f aca="false">IF($A92="","",IF(ISERROR(FIND(".",$A92)),"",LOWER(MID($A92,FIND(CHAR(1),SUBSTITUTE($A92,".",CHAR(1),LEN($A92)-LEN(SUBSTITUTE($A92,".",""))))+1,LEN($A92)))))</f>
        <v/>
      </c>
      <c r="C92" s="37" t="str">
        <f aca="false">IF($B92="","",IFERROR(INDEX(Rubric!$B$14:$B$23,MATCH($B92,Rubric!$A$14:$A$23,0)),INDEX(Rubric!$B$14:$B$23,MATCH("other",Rubric!$A$14:$A$23,0))))</f>
        <v/>
      </c>
      <c r="D92" s="26"/>
      <c r="E92" s="38" t="str">
        <f aca="false">IF($B92="","",IFERROR(INDEX(Rubric!$C$14:$C$23,MATCH($B92,Rubric!$A$14:$A$23,0)),INDEX(Rubric!$C$14:$C$23,MATCH("other",Rubric!$A$14:$A$23,0))))</f>
        <v/>
      </c>
      <c r="F92" s="44" t="str">
        <f aca="false">IF(OR($A92="",$D92=""),"",$D92+$E92)</f>
        <v/>
      </c>
      <c r="G92" s="25"/>
      <c r="H92" s="25"/>
      <c r="I92" s="25"/>
      <c r="J92" s="25"/>
      <c r="K92" s="39" t="str">
        <f aca="false">IF($J92="","",IF($J92&gt;=15,5,IF($J92&gt;=10,4,IF($J92&gt;=5,3,IF($J92&gt;=2,2,1)))))</f>
        <v/>
      </c>
      <c r="L92" s="25"/>
      <c r="M92" s="25"/>
      <c r="N92" s="25"/>
      <c r="O92" s="25"/>
      <c r="P92" s="25"/>
      <c r="Q92" s="25"/>
      <c r="R92" s="25"/>
      <c r="S92" s="40" t="str">
        <f aca="false">IF($A92="","",IF(OR(UPPER($O92)="Y",UPPER($P92)="Y",UPPER($Q92)="Y",UPPER($R92)="Y"),"FAIL","PASS"))</f>
        <v/>
      </c>
      <c r="T92" s="39" t="str">
        <f aca="false">IF(OR($A92="",$C92=""),"",$C92*$B$6+$G92*$B$7+$H92*$B$8+$I92*$B$9)</f>
        <v/>
      </c>
      <c r="U92" s="39" t="str">
        <f aca="false">IF(OR($A92="",$K92=""),"",$K92*$B$13+$L92*$B$14+$M92*$B$15+$N92*$B$16)</f>
        <v/>
      </c>
      <c r="V92" s="39" t="str">
        <f aca="false">IF(OR($T92="",$U92=""),"",$T92*$B$19+$U92*(1-$B$19))</f>
        <v/>
      </c>
      <c r="W92" s="27"/>
      <c r="X92" s="22"/>
      <c r="Y92" s="42" t="str">
        <f aca="false">IF(OR($A92="",$W92=""),"",MAX(0,$W92-MAX($W92*Assumptions!$B$4,Assumptions!$B$5)))</f>
        <v/>
      </c>
      <c r="Z92" s="41" t="str">
        <f aca="false">IF($V92="","",Assumptions!$B$6*MAX(0.05,($V92/Assumptions!$B$11)^Assumptions!$B$12))</f>
        <v/>
      </c>
      <c r="AA92" s="41" t="str">
        <f aca="false">IF($Z92="","",1-(1-$Z92)^Assumptions!$B$7)</f>
        <v/>
      </c>
      <c r="AB92" s="42" t="str">
        <f aca="false">IF(OR($F92="",$AA92="",$AA92=0),"",($F92+$E92*Assumptions!$B$7)/($AA92*(1-Assumptions!$B$4)))</f>
        <v/>
      </c>
      <c r="AC92" s="43" t="str">
        <f aca="false">IF(OR($W92="",$AB92="",$AB92=0),"",$W92/$AB92)</f>
        <v/>
      </c>
      <c r="AD92" s="44" t="str">
        <f aca="false">IF(OR($Y92="",$E92="",$AA92=""),"",MAX(0,$Y92*$AA92-$E92*Assumptions!$B$7))</f>
        <v/>
      </c>
      <c r="AE92" s="44" t="str">
        <f aca="false">IF(OR($AD92="",$F92=""),"",$AD92-$F92)</f>
        <v/>
      </c>
      <c r="AF92" s="40" t="str">
        <f aca="false">IF($A92="","",IF($S92="FAIL","REJECT",IF($D92="","NEEDS PRICE",IF(OR($W92="",$X92=""),"NEEDS VALUATION",IF($AC92&lt;1,"OVERPRICED",IF(AND($AC92&gt;=Assumptions!$B$13,$V92&gt;=4),"BUY",IF($V92&gt;=3.4,"BUY CHEAPER",IF($V92&gt;=2.8,"FLOOR ONLY","SKIP"))))))))</f>
        <v/>
      </c>
      <c r="AG92" s="50" t="str">
        <f aca="false">IF($AF92="","",IF($AF92="REJECT","Do not buy at any price",IF($AF92="NEEDS PRICE","Enter the current closeout price",IF($AF92="NEEDS VALUATION","Enter a valuation AND its source before bidding",IF($AF92="OVERPRICED","Worth less than break-even - walk",IF($AF92="BUY","Take it on day 1 at $11 - will not reach the floor",IF($AF92="BUY CHEAPER","Wait to about $8 (day 3), walk if outbid",IF($AF92="FLOOR ONLY","Only at the $5 floor","Skip"))))))))</f>
        <v/>
      </c>
      <c r="AH92" s="35"/>
    </row>
    <row r="93" customFormat="false" ht="15" hidden="false" customHeight="false" outlineLevel="0" collapsed="false">
      <c r="A93" s="22"/>
      <c r="B93" s="36" t="str">
        <f aca="false">IF($A93="","",IF(ISERROR(FIND(".",$A93)),"",LOWER(MID($A93,FIND(CHAR(1),SUBSTITUTE($A93,".",CHAR(1),LEN($A93)-LEN(SUBSTITUTE($A93,".",""))))+1,LEN($A93)))))</f>
        <v/>
      </c>
      <c r="C93" s="37" t="str">
        <f aca="false">IF($B93="","",IFERROR(INDEX(Rubric!$B$14:$B$23,MATCH($B93,Rubric!$A$14:$A$23,0)),INDEX(Rubric!$B$14:$B$23,MATCH("other",Rubric!$A$14:$A$23,0))))</f>
        <v/>
      </c>
      <c r="D93" s="26"/>
      <c r="E93" s="38" t="str">
        <f aca="false">IF($B93="","",IFERROR(INDEX(Rubric!$C$14:$C$23,MATCH($B93,Rubric!$A$14:$A$23,0)),INDEX(Rubric!$C$14:$C$23,MATCH("other",Rubric!$A$14:$A$23,0))))</f>
        <v/>
      </c>
      <c r="F93" s="44" t="str">
        <f aca="false">IF(OR($A93="",$D93=""),"",$D93+$E93)</f>
        <v/>
      </c>
      <c r="G93" s="25"/>
      <c r="H93" s="25"/>
      <c r="I93" s="25"/>
      <c r="J93" s="25"/>
      <c r="K93" s="39" t="str">
        <f aca="false">IF($J93="","",IF($J93&gt;=15,5,IF($J93&gt;=10,4,IF($J93&gt;=5,3,IF($J93&gt;=2,2,1)))))</f>
        <v/>
      </c>
      <c r="L93" s="25"/>
      <c r="M93" s="25"/>
      <c r="N93" s="25"/>
      <c r="O93" s="25"/>
      <c r="P93" s="25"/>
      <c r="Q93" s="25"/>
      <c r="R93" s="25"/>
      <c r="S93" s="40" t="str">
        <f aca="false">IF($A93="","",IF(OR(UPPER($O93)="Y",UPPER($P93)="Y",UPPER($Q93)="Y",UPPER($R93)="Y"),"FAIL","PASS"))</f>
        <v/>
      </c>
      <c r="T93" s="39" t="str">
        <f aca="false">IF(OR($A93="",$C93=""),"",$C93*$B$6+$G93*$B$7+$H93*$B$8+$I93*$B$9)</f>
        <v/>
      </c>
      <c r="U93" s="39" t="str">
        <f aca="false">IF(OR($A93="",$K93=""),"",$K93*$B$13+$L93*$B$14+$M93*$B$15+$N93*$B$16)</f>
        <v/>
      </c>
      <c r="V93" s="39" t="str">
        <f aca="false">IF(OR($T93="",$U93=""),"",$T93*$B$19+$U93*(1-$B$19))</f>
        <v/>
      </c>
      <c r="W93" s="27"/>
      <c r="X93" s="22"/>
      <c r="Y93" s="42" t="str">
        <f aca="false">IF(OR($A93="",$W93=""),"",MAX(0,$W93-MAX($W93*Assumptions!$B$4,Assumptions!$B$5)))</f>
        <v/>
      </c>
      <c r="Z93" s="41" t="str">
        <f aca="false">IF($V93="","",Assumptions!$B$6*MAX(0.05,($V93/Assumptions!$B$11)^Assumptions!$B$12))</f>
        <v/>
      </c>
      <c r="AA93" s="41" t="str">
        <f aca="false">IF($Z93="","",1-(1-$Z93)^Assumptions!$B$7)</f>
        <v/>
      </c>
      <c r="AB93" s="42" t="str">
        <f aca="false">IF(OR($F93="",$AA93="",$AA93=0),"",($F93+$E93*Assumptions!$B$7)/($AA93*(1-Assumptions!$B$4)))</f>
        <v/>
      </c>
      <c r="AC93" s="43" t="str">
        <f aca="false">IF(OR($W93="",$AB93="",$AB93=0),"",$W93/$AB93)</f>
        <v/>
      </c>
      <c r="AD93" s="44" t="str">
        <f aca="false">IF(OR($Y93="",$E93="",$AA93=""),"",MAX(0,$Y93*$AA93-$E93*Assumptions!$B$7))</f>
        <v/>
      </c>
      <c r="AE93" s="44" t="str">
        <f aca="false">IF(OR($AD93="",$F93=""),"",$AD93-$F93)</f>
        <v/>
      </c>
      <c r="AF93" s="40" t="str">
        <f aca="false">IF($A93="","",IF($S93="FAIL","REJECT",IF($D93="","NEEDS PRICE",IF(OR($W93="",$X93=""),"NEEDS VALUATION",IF($AC93&lt;1,"OVERPRICED",IF(AND($AC93&gt;=Assumptions!$B$13,$V93&gt;=4),"BUY",IF($V93&gt;=3.4,"BUY CHEAPER",IF($V93&gt;=2.8,"FLOOR ONLY","SKIP"))))))))</f>
        <v/>
      </c>
      <c r="AG93" s="50" t="str">
        <f aca="false">IF($AF93="","",IF($AF93="REJECT","Do not buy at any price",IF($AF93="NEEDS PRICE","Enter the current closeout price",IF($AF93="NEEDS VALUATION","Enter a valuation AND its source before bidding",IF($AF93="OVERPRICED","Worth less than break-even - walk",IF($AF93="BUY","Take it on day 1 at $11 - will not reach the floor",IF($AF93="BUY CHEAPER","Wait to about $8 (day 3), walk if outbid",IF($AF93="FLOOR ONLY","Only at the $5 floor","Skip"))))))))</f>
        <v/>
      </c>
      <c r="AH93" s="35"/>
    </row>
    <row r="94" customFormat="false" ht="15" hidden="false" customHeight="false" outlineLevel="0" collapsed="false">
      <c r="A94" s="22"/>
      <c r="B94" s="36" t="str">
        <f aca="false">IF($A94="","",IF(ISERROR(FIND(".",$A94)),"",LOWER(MID($A94,FIND(CHAR(1),SUBSTITUTE($A94,".",CHAR(1),LEN($A94)-LEN(SUBSTITUTE($A94,".",""))))+1,LEN($A94)))))</f>
        <v/>
      </c>
      <c r="C94" s="37" t="str">
        <f aca="false">IF($B94="","",IFERROR(INDEX(Rubric!$B$14:$B$23,MATCH($B94,Rubric!$A$14:$A$23,0)),INDEX(Rubric!$B$14:$B$23,MATCH("other",Rubric!$A$14:$A$23,0))))</f>
        <v/>
      </c>
      <c r="D94" s="26"/>
      <c r="E94" s="38" t="str">
        <f aca="false">IF($B94="","",IFERROR(INDEX(Rubric!$C$14:$C$23,MATCH($B94,Rubric!$A$14:$A$23,0)),INDEX(Rubric!$C$14:$C$23,MATCH("other",Rubric!$A$14:$A$23,0))))</f>
        <v/>
      </c>
      <c r="F94" s="44" t="str">
        <f aca="false">IF(OR($A94="",$D94=""),"",$D94+$E94)</f>
        <v/>
      </c>
      <c r="G94" s="25"/>
      <c r="H94" s="25"/>
      <c r="I94" s="25"/>
      <c r="J94" s="25"/>
      <c r="K94" s="39" t="str">
        <f aca="false">IF($J94="","",IF($J94&gt;=15,5,IF($J94&gt;=10,4,IF($J94&gt;=5,3,IF($J94&gt;=2,2,1)))))</f>
        <v/>
      </c>
      <c r="L94" s="25"/>
      <c r="M94" s="25"/>
      <c r="N94" s="25"/>
      <c r="O94" s="25"/>
      <c r="P94" s="25"/>
      <c r="Q94" s="25"/>
      <c r="R94" s="25"/>
      <c r="S94" s="40" t="str">
        <f aca="false">IF($A94="","",IF(OR(UPPER($O94)="Y",UPPER($P94)="Y",UPPER($Q94)="Y",UPPER($R94)="Y"),"FAIL","PASS"))</f>
        <v/>
      </c>
      <c r="T94" s="39" t="str">
        <f aca="false">IF(OR($A94="",$C94=""),"",$C94*$B$6+$G94*$B$7+$H94*$B$8+$I94*$B$9)</f>
        <v/>
      </c>
      <c r="U94" s="39" t="str">
        <f aca="false">IF(OR($A94="",$K94=""),"",$K94*$B$13+$L94*$B$14+$M94*$B$15+$N94*$B$16)</f>
        <v/>
      </c>
      <c r="V94" s="39" t="str">
        <f aca="false">IF(OR($T94="",$U94=""),"",$T94*$B$19+$U94*(1-$B$19))</f>
        <v/>
      </c>
      <c r="W94" s="27"/>
      <c r="X94" s="22"/>
      <c r="Y94" s="42" t="str">
        <f aca="false">IF(OR($A94="",$W94=""),"",MAX(0,$W94-MAX($W94*Assumptions!$B$4,Assumptions!$B$5)))</f>
        <v/>
      </c>
      <c r="Z94" s="41" t="str">
        <f aca="false">IF($V94="","",Assumptions!$B$6*MAX(0.05,($V94/Assumptions!$B$11)^Assumptions!$B$12))</f>
        <v/>
      </c>
      <c r="AA94" s="41" t="str">
        <f aca="false">IF($Z94="","",1-(1-$Z94)^Assumptions!$B$7)</f>
        <v/>
      </c>
      <c r="AB94" s="42" t="str">
        <f aca="false">IF(OR($F94="",$AA94="",$AA94=0),"",($F94+$E94*Assumptions!$B$7)/($AA94*(1-Assumptions!$B$4)))</f>
        <v/>
      </c>
      <c r="AC94" s="43" t="str">
        <f aca="false">IF(OR($W94="",$AB94="",$AB94=0),"",$W94/$AB94)</f>
        <v/>
      </c>
      <c r="AD94" s="44" t="str">
        <f aca="false">IF(OR($Y94="",$E94="",$AA94=""),"",MAX(0,$Y94*$AA94-$E94*Assumptions!$B$7))</f>
        <v/>
      </c>
      <c r="AE94" s="44" t="str">
        <f aca="false">IF(OR($AD94="",$F94=""),"",$AD94-$F94)</f>
        <v/>
      </c>
      <c r="AF94" s="40" t="str">
        <f aca="false">IF($A94="","",IF($S94="FAIL","REJECT",IF($D94="","NEEDS PRICE",IF(OR($W94="",$X94=""),"NEEDS VALUATION",IF($AC94&lt;1,"OVERPRICED",IF(AND($AC94&gt;=Assumptions!$B$13,$V94&gt;=4),"BUY",IF($V94&gt;=3.4,"BUY CHEAPER",IF($V94&gt;=2.8,"FLOOR ONLY","SKIP"))))))))</f>
        <v/>
      </c>
      <c r="AG94" s="50" t="str">
        <f aca="false">IF($AF94="","",IF($AF94="REJECT","Do not buy at any price",IF($AF94="NEEDS PRICE","Enter the current closeout price",IF($AF94="NEEDS VALUATION","Enter a valuation AND its source before bidding",IF($AF94="OVERPRICED","Worth less than break-even - walk",IF($AF94="BUY","Take it on day 1 at $11 - will not reach the floor",IF($AF94="BUY CHEAPER","Wait to about $8 (day 3), walk if outbid",IF($AF94="FLOOR ONLY","Only at the $5 floor","Skip"))))))))</f>
        <v/>
      </c>
      <c r="AH94" s="35"/>
    </row>
    <row r="95" customFormat="false" ht="15" hidden="false" customHeight="false" outlineLevel="0" collapsed="false">
      <c r="A95" s="22"/>
      <c r="B95" s="36" t="str">
        <f aca="false">IF($A95="","",IF(ISERROR(FIND(".",$A95)),"",LOWER(MID($A95,FIND(CHAR(1),SUBSTITUTE($A95,".",CHAR(1),LEN($A95)-LEN(SUBSTITUTE($A95,".",""))))+1,LEN($A95)))))</f>
        <v/>
      </c>
      <c r="C95" s="37" t="str">
        <f aca="false">IF($B95="","",IFERROR(INDEX(Rubric!$B$14:$B$23,MATCH($B95,Rubric!$A$14:$A$23,0)),INDEX(Rubric!$B$14:$B$23,MATCH("other",Rubric!$A$14:$A$23,0))))</f>
        <v/>
      </c>
      <c r="D95" s="26"/>
      <c r="E95" s="38" t="str">
        <f aca="false">IF($B95="","",IFERROR(INDEX(Rubric!$C$14:$C$23,MATCH($B95,Rubric!$A$14:$A$23,0)),INDEX(Rubric!$C$14:$C$23,MATCH("other",Rubric!$A$14:$A$23,0))))</f>
        <v/>
      </c>
      <c r="F95" s="44" t="str">
        <f aca="false">IF(OR($A95="",$D95=""),"",$D95+$E95)</f>
        <v/>
      </c>
      <c r="G95" s="25"/>
      <c r="H95" s="25"/>
      <c r="I95" s="25"/>
      <c r="J95" s="25"/>
      <c r="K95" s="39" t="str">
        <f aca="false">IF($J95="","",IF($J95&gt;=15,5,IF($J95&gt;=10,4,IF($J95&gt;=5,3,IF($J95&gt;=2,2,1)))))</f>
        <v/>
      </c>
      <c r="L95" s="25"/>
      <c r="M95" s="25"/>
      <c r="N95" s="25"/>
      <c r="O95" s="25"/>
      <c r="P95" s="25"/>
      <c r="Q95" s="25"/>
      <c r="R95" s="25"/>
      <c r="S95" s="40" t="str">
        <f aca="false">IF($A95="","",IF(OR(UPPER($O95)="Y",UPPER($P95)="Y",UPPER($Q95)="Y",UPPER($R95)="Y"),"FAIL","PASS"))</f>
        <v/>
      </c>
      <c r="T95" s="39" t="str">
        <f aca="false">IF(OR($A95="",$C95=""),"",$C95*$B$6+$G95*$B$7+$H95*$B$8+$I95*$B$9)</f>
        <v/>
      </c>
      <c r="U95" s="39" t="str">
        <f aca="false">IF(OR($A95="",$K95=""),"",$K95*$B$13+$L95*$B$14+$M95*$B$15+$N95*$B$16)</f>
        <v/>
      </c>
      <c r="V95" s="39" t="str">
        <f aca="false">IF(OR($T95="",$U95=""),"",$T95*$B$19+$U95*(1-$B$19))</f>
        <v/>
      </c>
      <c r="W95" s="27"/>
      <c r="X95" s="22"/>
      <c r="Y95" s="42" t="str">
        <f aca="false">IF(OR($A95="",$W95=""),"",MAX(0,$W95-MAX($W95*Assumptions!$B$4,Assumptions!$B$5)))</f>
        <v/>
      </c>
      <c r="Z95" s="41" t="str">
        <f aca="false">IF($V95="","",Assumptions!$B$6*MAX(0.05,($V95/Assumptions!$B$11)^Assumptions!$B$12))</f>
        <v/>
      </c>
      <c r="AA95" s="41" t="str">
        <f aca="false">IF($Z95="","",1-(1-$Z95)^Assumptions!$B$7)</f>
        <v/>
      </c>
      <c r="AB95" s="42" t="str">
        <f aca="false">IF(OR($F95="",$AA95="",$AA95=0),"",($F95+$E95*Assumptions!$B$7)/($AA95*(1-Assumptions!$B$4)))</f>
        <v/>
      </c>
      <c r="AC95" s="43" t="str">
        <f aca="false">IF(OR($W95="",$AB95="",$AB95=0),"",$W95/$AB95)</f>
        <v/>
      </c>
      <c r="AD95" s="44" t="str">
        <f aca="false">IF(OR($Y95="",$E95="",$AA95=""),"",MAX(0,$Y95*$AA95-$E95*Assumptions!$B$7))</f>
        <v/>
      </c>
      <c r="AE95" s="44" t="str">
        <f aca="false">IF(OR($AD95="",$F95=""),"",$AD95-$F95)</f>
        <v/>
      </c>
      <c r="AF95" s="40" t="str">
        <f aca="false">IF($A95="","",IF($S95="FAIL","REJECT",IF($D95="","NEEDS PRICE",IF(OR($W95="",$X95=""),"NEEDS VALUATION",IF($AC95&lt;1,"OVERPRICED",IF(AND($AC95&gt;=Assumptions!$B$13,$V95&gt;=4),"BUY",IF($V95&gt;=3.4,"BUY CHEAPER",IF($V95&gt;=2.8,"FLOOR ONLY","SKIP"))))))))</f>
        <v/>
      </c>
      <c r="AG95" s="50" t="str">
        <f aca="false">IF($AF95="","",IF($AF95="REJECT","Do not buy at any price",IF($AF95="NEEDS PRICE","Enter the current closeout price",IF($AF95="NEEDS VALUATION","Enter a valuation AND its source before bidding",IF($AF95="OVERPRICED","Worth less than break-even - walk",IF($AF95="BUY","Take it on day 1 at $11 - will not reach the floor",IF($AF95="BUY CHEAPER","Wait to about $8 (day 3), walk if outbid",IF($AF95="FLOOR ONLY","Only at the $5 floor","Skip"))))))))</f>
        <v/>
      </c>
      <c r="AH95" s="35"/>
    </row>
    <row r="96" customFormat="false" ht="15" hidden="false" customHeight="false" outlineLevel="0" collapsed="false">
      <c r="A96" s="22"/>
      <c r="B96" s="36" t="str">
        <f aca="false">IF($A96="","",IF(ISERROR(FIND(".",$A96)),"",LOWER(MID($A96,FIND(CHAR(1),SUBSTITUTE($A96,".",CHAR(1),LEN($A96)-LEN(SUBSTITUTE($A96,".",""))))+1,LEN($A96)))))</f>
        <v/>
      </c>
      <c r="C96" s="37" t="str">
        <f aca="false">IF($B96="","",IFERROR(INDEX(Rubric!$B$14:$B$23,MATCH($B96,Rubric!$A$14:$A$23,0)),INDEX(Rubric!$B$14:$B$23,MATCH("other",Rubric!$A$14:$A$23,0))))</f>
        <v/>
      </c>
      <c r="D96" s="26"/>
      <c r="E96" s="38" t="str">
        <f aca="false">IF($B96="","",IFERROR(INDEX(Rubric!$C$14:$C$23,MATCH($B96,Rubric!$A$14:$A$23,0)),INDEX(Rubric!$C$14:$C$23,MATCH("other",Rubric!$A$14:$A$23,0))))</f>
        <v/>
      </c>
      <c r="F96" s="44" t="str">
        <f aca="false">IF(OR($A96="",$D96=""),"",$D96+$E96)</f>
        <v/>
      </c>
      <c r="G96" s="25"/>
      <c r="H96" s="25"/>
      <c r="I96" s="25"/>
      <c r="J96" s="25"/>
      <c r="K96" s="39" t="str">
        <f aca="false">IF($J96="","",IF($J96&gt;=15,5,IF($J96&gt;=10,4,IF($J96&gt;=5,3,IF($J96&gt;=2,2,1)))))</f>
        <v/>
      </c>
      <c r="L96" s="25"/>
      <c r="M96" s="25"/>
      <c r="N96" s="25"/>
      <c r="O96" s="25"/>
      <c r="P96" s="25"/>
      <c r="Q96" s="25"/>
      <c r="R96" s="25"/>
      <c r="S96" s="40" t="str">
        <f aca="false">IF($A96="","",IF(OR(UPPER($O96)="Y",UPPER($P96)="Y",UPPER($Q96)="Y",UPPER($R96)="Y"),"FAIL","PASS"))</f>
        <v/>
      </c>
      <c r="T96" s="39" t="str">
        <f aca="false">IF(OR($A96="",$C96=""),"",$C96*$B$6+$G96*$B$7+$H96*$B$8+$I96*$B$9)</f>
        <v/>
      </c>
      <c r="U96" s="39" t="str">
        <f aca="false">IF(OR($A96="",$K96=""),"",$K96*$B$13+$L96*$B$14+$M96*$B$15+$N96*$B$16)</f>
        <v/>
      </c>
      <c r="V96" s="39" t="str">
        <f aca="false">IF(OR($T96="",$U96=""),"",$T96*$B$19+$U96*(1-$B$19))</f>
        <v/>
      </c>
      <c r="W96" s="27"/>
      <c r="X96" s="22"/>
      <c r="Y96" s="42" t="str">
        <f aca="false">IF(OR($A96="",$W96=""),"",MAX(0,$W96-MAX($W96*Assumptions!$B$4,Assumptions!$B$5)))</f>
        <v/>
      </c>
      <c r="Z96" s="41" t="str">
        <f aca="false">IF($V96="","",Assumptions!$B$6*MAX(0.05,($V96/Assumptions!$B$11)^Assumptions!$B$12))</f>
        <v/>
      </c>
      <c r="AA96" s="41" t="str">
        <f aca="false">IF($Z96="","",1-(1-$Z96)^Assumptions!$B$7)</f>
        <v/>
      </c>
      <c r="AB96" s="42" t="str">
        <f aca="false">IF(OR($F96="",$AA96="",$AA96=0),"",($F96+$E96*Assumptions!$B$7)/($AA96*(1-Assumptions!$B$4)))</f>
        <v/>
      </c>
      <c r="AC96" s="43" t="str">
        <f aca="false">IF(OR($W96="",$AB96="",$AB96=0),"",$W96/$AB96)</f>
        <v/>
      </c>
      <c r="AD96" s="44" t="str">
        <f aca="false">IF(OR($Y96="",$E96="",$AA96=""),"",MAX(0,$Y96*$AA96-$E96*Assumptions!$B$7))</f>
        <v/>
      </c>
      <c r="AE96" s="44" t="str">
        <f aca="false">IF(OR($AD96="",$F96=""),"",$AD96-$F96)</f>
        <v/>
      </c>
      <c r="AF96" s="40" t="str">
        <f aca="false">IF($A96="","",IF($S96="FAIL","REJECT",IF($D96="","NEEDS PRICE",IF(OR($W96="",$X96=""),"NEEDS VALUATION",IF($AC96&lt;1,"OVERPRICED",IF(AND($AC96&gt;=Assumptions!$B$13,$V96&gt;=4),"BUY",IF($V96&gt;=3.4,"BUY CHEAPER",IF($V96&gt;=2.8,"FLOOR ONLY","SKIP"))))))))</f>
        <v/>
      </c>
      <c r="AG96" s="50" t="str">
        <f aca="false">IF($AF96="","",IF($AF96="REJECT","Do not buy at any price",IF($AF96="NEEDS PRICE","Enter the current closeout price",IF($AF96="NEEDS VALUATION","Enter a valuation AND its source before bidding",IF($AF96="OVERPRICED","Worth less than break-even - walk",IF($AF96="BUY","Take it on day 1 at $11 - will not reach the floor",IF($AF96="BUY CHEAPER","Wait to about $8 (day 3), walk if outbid",IF($AF96="FLOOR ONLY","Only at the $5 floor","Skip"))))))))</f>
        <v/>
      </c>
      <c r="AH96" s="35"/>
    </row>
    <row r="97" customFormat="false" ht="15" hidden="false" customHeight="false" outlineLevel="0" collapsed="false">
      <c r="A97" s="22"/>
      <c r="B97" s="36" t="str">
        <f aca="false">IF($A97="","",IF(ISERROR(FIND(".",$A97)),"",LOWER(MID($A97,FIND(CHAR(1),SUBSTITUTE($A97,".",CHAR(1),LEN($A97)-LEN(SUBSTITUTE($A97,".",""))))+1,LEN($A97)))))</f>
        <v/>
      </c>
      <c r="C97" s="37" t="str">
        <f aca="false">IF($B97="","",IFERROR(INDEX(Rubric!$B$14:$B$23,MATCH($B97,Rubric!$A$14:$A$23,0)),INDEX(Rubric!$B$14:$B$23,MATCH("other",Rubric!$A$14:$A$23,0))))</f>
        <v/>
      </c>
      <c r="D97" s="26"/>
      <c r="E97" s="38" t="str">
        <f aca="false">IF($B97="","",IFERROR(INDEX(Rubric!$C$14:$C$23,MATCH($B97,Rubric!$A$14:$A$23,0)),INDEX(Rubric!$C$14:$C$23,MATCH("other",Rubric!$A$14:$A$23,0))))</f>
        <v/>
      </c>
      <c r="F97" s="44" t="str">
        <f aca="false">IF(OR($A97="",$D97=""),"",$D97+$E97)</f>
        <v/>
      </c>
      <c r="G97" s="25"/>
      <c r="H97" s="25"/>
      <c r="I97" s="25"/>
      <c r="J97" s="25"/>
      <c r="K97" s="39" t="str">
        <f aca="false">IF($J97="","",IF($J97&gt;=15,5,IF($J97&gt;=10,4,IF($J97&gt;=5,3,IF($J97&gt;=2,2,1)))))</f>
        <v/>
      </c>
      <c r="L97" s="25"/>
      <c r="M97" s="25"/>
      <c r="N97" s="25"/>
      <c r="O97" s="25"/>
      <c r="P97" s="25"/>
      <c r="Q97" s="25"/>
      <c r="R97" s="25"/>
      <c r="S97" s="40" t="str">
        <f aca="false">IF($A97="","",IF(OR(UPPER($O97)="Y",UPPER($P97)="Y",UPPER($Q97)="Y",UPPER($R97)="Y"),"FAIL","PASS"))</f>
        <v/>
      </c>
      <c r="T97" s="39" t="str">
        <f aca="false">IF(OR($A97="",$C97=""),"",$C97*$B$6+$G97*$B$7+$H97*$B$8+$I97*$B$9)</f>
        <v/>
      </c>
      <c r="U97" s="39" t="str">
        <f aca="false">IF(OR($A97="",$K97=""),"",$K97*$B$13+$L97*$B$14+$M97*$B$15+$N97*$B$16)</f>
        <v/>
      </c>
      <c r="V97" s="39" t="str">
        <f aca="false">IF(OR($T97="",$U97=""),"",$T97*$B$19+$U97*(1-$B$19))</f>
        <v/>
      </c>
      <c r="W97" s="27"/>
      <c r="X97" s="22"/>
      <c r="Y97" s="42" t="str">
        <f aca="false">IF(OR($A97="",$W97=""),"",MAX(0,$W97-MAX($W97*Assumptions!$B$4,Assumptions!$B$5)))</f>
        <v/>
      </c>
      <c r="Z97" s="41" t="str">
        <f aca="false">IF($V97="","",Assumptions!$B$6*MAX(0.05,($V97/Assumptions!$B$11)^Assumptions!$B$12))</f>
        <v/>
      </c>
      <c r="AA97" s="41" t="str">
        <f aca="false">IF($Z97="","",1-(1-$Z97)^Assumptions!$B$7)</f>
        <v/>
      </c>
      <c r="AB97" s="42" t="str">
        <f aca="false">IF(OR($F97="",$AA97="",$AA97=0),"",($F97+$E97*Assumptions!$B$7)/($AA97*(1-Assumptions!$B$4)))</f>
        <v/>
      </c>
      <c r="AC97" s="43" t="str">
        <f aca="false">IF(OR($W97="",$AB97="",$AB97=0),"",$W97/$AB97)</f>
        <v/>
      </c>
      <c r="AD97" s="44" t="str">
        <f aca="false">IF(OR($Y97="",$E97="",$AA97=""),"",MAX(0,$Y97*$AA97-$E97*Assumptions!$B$7))</f>
        <v/>
      </c>
      <c r="AE97" s="44" t="str">
        <f aca="false">IF(OR($AD97="",$F97=""),"",$AD97-$F97)</f>
        <v/>
      </c>
      <c r="AF97" s="40" t="str">
        <f aca="false">IF($A97="","",IF($S97="FAIL","REJECT",IF($D97="","NEEDS PRICE",IF(OR($W97="",$X97=""),"NEEDS VALUATION",IF($AC97&lt;1,"OVERPRICED",IF(AND($AC97&gt;=Assumptions!$B$13,$V97&gt;=4),"BUY",IF($V97&gt;=3.4,"BUY CHEAPER",IF($V97&gt;=2.8,"FLOOR ONLY","SKIP"))))))))</f>
        <v/>
      </c>
      <c r="AG97" s="50" t="str">
        <f aca="false">IF($AF97="","",IF($AF97="REJECT","Do not buy at any price",IF($AF97="NEEDS PRICE","Enter the current closeout price",IF($AF97="NEEDS VALUATION","Enter a valuation AND its source before bidding",IF($AF97="OVERPRICED","Worth less than break-even - walk",IF($AF97="BUY","Take it on day 1 at $11 - will not reach the floor",IF($AF97="BUY CHEAPER","Wait to about $8 (day 3), walk if outbid",IF($AF97="FLOOR ONLY","Only at the $5 floor","Skip"))))))))</f>
        <v/>
      </c>
      <c r="AH97" s="35"/>
    </row>
    <row r="98" customFormat="false" ht="15" hidden="false" customHeight="false" outlineLevel="0" collapsed="false">
      <c r="A98" s="22"/>
      <c r="B98" s="36" t="str">
        <f aca="false">IF($A98="","",IF(ISERROR(FIND(".",$A98)),"",LOWER(MID($A98,FIND(CHAR(1),SUBSTITUTE($A98,".",CHAR(1),LEN($A98)-LEN(SUBSTITUTE($A98,".",""))))+1,LEN($A98)))))</f>
        <v/>
      </c>
      <c r="C98" s="37" t="str">
        <f aca="false">IF($B98="","",IFERROR(INDEX(Rubric!$B$14:$B$23,MATCH($B98,Rubric!$A$14:$A$23,0)),INDEX(Rubric!$B$14:$B$23,MATCH("other",Rubric!$A$14:$A$23,0))))</f>
        <v/>
      </c>
      <c r="D98" s="26"/>
      <c r="E98" s="38" t="str">
        <f aca="false">IF($B98="","",IFERROR(INDEX(Rubric!$C$14:$C$23,MATCH($B98,Rubric!$A$14:$A$23,0)),INDEX(Rubric!$C$14:$C$23,MATCH("other",Rubric!$A$14:$A$23,0))))</f>
        <v/>
      </c>
      <c r="F98" s="44" t="str">
        <f aca="false">IF(OR($A98="",$D98=""),"",$D98+$E98)</f>
        <v/>
      </c>
      <c r="G98" s="25"/>
      <c r="H98" s="25"/>
      <c r="I98" s="25"/>
      <c r="J98" s="25"/>
      <c r="K98" s="39" t="str">
        <f aca="false">IF($J98="","",IF($J98&gt;=15,5,IF($J98&gt;=10,4,IF($J98&gt;=5,3,IF($J98&gt;=2,2,1)))))</f>
        <v/>
      </c>
      <c r="L98" s="25"/>
      <c r="M98" s="25"/>
      <c r="N98" s="25"/>
      <c r="O98" s="25"/>
      <c r="P98" s="25"/>
      <c r="Q98" s="25"/>
      <c r="R98" s="25"/>
      <c r="S98" s="40" t="str">
        <f aca="false">IF($A98="","",IF(OR(UPPER($O98)="Y",UPPER($P98)="Y",UPPER($Q98)="Y",UPPER($R98)="Y"),"FAIL","PASS"))</f>
        <v/>
      </c>
      <c r="T98" s="39" t="str">
        <f aca="false">IF(OR($A98="",$C98=""),"",$C98*$B$6+$G98*$B$7+$H98*$B$8+$I98*$B$9)</f>
        <v/>
      </c>
      <c r="U98" s="39" t="str">
        <f aca="false">IF(OR($A98="",$K98=""),"",$K98*$B$13+$L98*$B$14+$M98*$B$15+$N98*$B$16)</f>
        <v/>
      </c>
      <c r="V98" s="39" t="str">
        <f aca="false">IF(OR($T98="",$U98=""),"",$T98*$B$19+$U98*(1-$B$19))</f>
        <v/>
      </c>
      <c r="W98" s="27"/>
      <c r="X98" s="22"/>
      <c r="Y98" s="42" t="str">
        <f aca="false">IF(OR($A98="",$W98=""),"",MAX(0,$W98-MAX($W98*Assumptions!$B$4,Assumptions!$B$5)))</f>
        <v/>
      </c>
      <c r="Z98" s="41" t="str">
        <f aca="false">IF($V98="","",Assumptions!$B$6*MAX(0.05,($V98/Assumptions!$B$11)^Assumptions!$B$12))</f>
        <v/>
      </c>
      <c r="AA98" s="41" t="str">
        <f aca="false">IF($Z98="","",1-(1-$Z98)^Assumptions!$B$7)</f>
        <v/>
      </c>
      <c r="AB98" s="42" t="str">
        <f aca="false">IF(OR($F98="",$AA98="",$AA98=0),"",($F98+$E98*Assumptions!$B$7)/($AA98*(1-Assumptions!$B$4)))</f>
        <v/>
      </c>
      <c r="AC98" s="43" t="str">
        <f aca="false">IF(OR($W98="",$AB98="",$AB98=0),"",$W98/$AB98)</f>
        <v/>
      </c>
      <c r="AD98" s="44" t="str">
        <f aca="false">IF(OR($Y98="",$E98="",$AA98=""),"",MAX(0,$Y98*$AA98-$E98*Assumptions!$B$7))</f>
        <v/>
      </c>
      <c r="AE98" s="44" t="str">
        <f aca="false">IF(OR($AD98="",$F98=""),"",$AD98-$F98)</f>
        <v/>
      </c>
      <c r="AF98" s="40" t="str">
        <f aca="false">IF($A98="","",IF($S98="FAIL","REJECT",IF($D98="","NEEDS PRICE",IF(OR($W98="",$X98=""),"NEEDS VALUATION",IF($AC98&lt;1,"OVERPRICED",IF(AND($AC98&gt;=Assumptions!$B$13,$V98&gt;=4),"BUY",IF($V98&gt;=3.4,"BUY CHEAPER",IF($V98&gt;=2.8,"FLOOR ONLY","SKIP"))))))))</f>
        <v/>
      </c>
      <c r="AG98" s="50" t="str">
        <f aca="false">IF($AF98="","",IF($AF98="REJECT","Do not buy at any price",IF($AF98="NEEDS PRICE","Enter the current closeout price",IF($AF98="NEEDS VALUATION","Enter a valuation AND its source before bidding",IF($AF98="OVERPRICED","Worth less than break-even - walk",IF($AF98="BUY","Take it on day 1 at $11 - will not reach the floor",IF($AF98="BUY CHEAPER","Wait to about $8 (day 3), walk if outbid",IF($AF98="FLOOR ONLY","Only at the $5 floor","Skip"))))))))</f>
        <v/>
      </c>
      <c r="AH98" s="35"/>
    </row>
    <row r="99" customFormat="false" ht="15" hidden="false" customHeight="false" outlineLevel="0" collapsed="false">
      <c r="A99" s="22"/>
      <c r="B99" s="36" t="str">
        <f aca="false">IF($A99="","",IF(ISERROR(FIND(".",$A99)),"",LOWER(MID($A99,FIND(CHAR(1),SUBSTITUTE($A99,".",CHAR(1),LEN($A99)-LEN(SUBSTITUTE($A99,".",""))))+1,LEN($A99)))))</f>
        <v/>
      </c>
      <c r="C99" s="37" t="str">
        <f aca="false">IF($B99="","",IFERROR(INDEX(Rubric!$B$14:$B$23,MATCH($B99,Rubric!$A$14:$A$23,0)),INDEX(Rubric!$B$14:$B$23,MATCH("other",Rubric!$A$14:$A$23,0))))</f>
        <v/>
      </c>
      <c r="D99" s="26"/>
      <c r="E99" s="38" t="str">
        <f aca="false">IF($B99="","",IFERROR(INDEX(Rubric!$C$14:$C$23,MATCH($B99,Rubric!$A$14:$A$23,0)),INDEX(Rubric!$C$14:$C$23,MATCH("other",Rubric!$A$14:$A$23,0))))</f>
        <v/>
      </c>
      <c r="F99" s="44" t="str">
        <f aca="false">IF(OR($A99="",$D99=""),"",$D99+$E99)</f>
        <v/>
      </c>
      <c r="G99" s="25"/>
      <c r="H99" s="25"/>
      <c r="I99" s="25"/>
      <c r="J99" s="25"/>
      <c r="K99" s="39" t="str">
        <f aca="false">IF($J99="","",IF($J99&gt;=15,5,IF($J99&gt;=10,4,IF($J99&gt;=5,3,IF($J99&gt;=2,2,1)))))</f>
        <v/>
      </c>
      <c r="L99" s="25"/>
      <c r="M99" s="25"/>
      <c r="N99" s="25"/>
      <c r="O99" s="25"/>
      <c r="P99" s="25"/>
      <c r="Q99" s="25"/>
      <c r="R99" s="25"/>
      <c r="S99" s="40" t="str">
        <f aca="false">IF($A99="","",IF(OR(UPPER($O99)="Y",UPPER($P99)="Y",UPPER($Q99)="Y",UPPER($R99)="Y"),"FAIL","PASS"))</f>
        <v/>
      </c>
      <c r="T99" s="39" t="str">
        <f aca="false">IF(OR($A99="",$C99=""),"",$C99*$B$6+$G99*$B$7+$H99*$B$8+$I99*$B$9)</f>
        <v/>
      </c>
      <c r="U99" s="39" t="str">
        <f aca="false">IF(OR($A99="",$K99=""),"",$K99*$B$13+$L99*$B$14+$M99*$B$15+$N99*$B$16)</f>
        <v/>
      </c>
      <c r="V99" s="39" t="str">
        <f aca="false">IF(OR($T99="",$U99=""),"",$T99*$B$19+$U99*(1-$B$19))</f>
        <v/>
      </c>
      <c r="W99" s="27"/>
      <c r="X99" s="22"/>
      <c r="Y99" s="42" t="str">
        <f aca="false">IF(OR($A99="",$W99=""),"",MAX(0,$W99-MAX($W99*Assumptions!$B$4,Assumptions!$B$5)))</f>
        <v/>
      </c>
      <c r="Z99" s="41" t="str">
        <f aca="false">IF($V99="","",Assumptions!$B$6*MAX(0.05,($V99/Assumptions!$B$11)^Assumptions!$B$12))</f>
        <v/>
      </c>
      <c r="AA99" s="41" t="str">
        <f aca="false">IF($Z99="","",1-(1-$Z99)^Assumptions!$B$7)</f>
        <v/>
      </c>
      <c r="AB99" s="42" t="str">
        <f aca="false">IF(OR($F99="",$AA99="",$AA99=0),"",($F99+$E99*Assumptions!$B$7)/($AA99*(1-Assumptions!$B$4)))</f>
        <v/>
      </c>
      <c r="AC99" s="43" t="str">
        <f aca="false">IF(OR($W99="",$AB99="",$AB99=0),"",$W99/$AB99)</f>
        <v/>
      </c>
      <c r="AD99" s="44" t="str">
        <f aca="false">IF(OR($Y99="",$E99="",$AA99=""),"",MAX(0,$Y99*$AA99-$E99*Assumptions!$B$7))</f>
        <v/>
      </c>
      <c r="AE99" s="44" t="str">
        <f aca="false">IF(OR($AD99="",$F99=""),"",$AD99-$F99)</f>
        <v/>
      </c>
      <c r="AF99" s="40" t="str">
        <f aca="false">IF($A99="","",IF($S99="FAIL","REJECT",IF($D99="","NEEDS PRICE",IF(OR($W99="",$X99=""),"NEEDS VALUATION",IF($AC99&lt;1,"OVERPRICED",IF(AND($AC99&gt;=Assumptions!$B$13,$V99&gt;=4),"BUY",IF($V99&gt;=3.4,"BUY CHEAPER",IF($V99&gt;=2.8,"FLOOR ONLY","SKIP"))))))))</f>
        <v/>
      </c>
      <c r="AG99" s="50" t="str">
        <f aca="false">IF($AF99="","",IF($AF99="REJECT","Do not buy at any price",IF($AF99="NEEDS PRICE","Enter the current closeout price",IF($AF99="NEEDS VALUATION","Enter a valuation AND its source before bidding",IF($AF99="OVERPRICED","Worth less than break-even - walk",IF($AF99="BUY","Take it on day 1 at $11 - will not reach the floor",IF($AF99="BUY CHEAPER","Wait to about $8 (day 3), walk if outbid",IF($AF99="FLOOR ONLY","Only at the $5 floor","Skip"))))))))</f>
        <v/>
      </c>
      <c r="AH99" s="35"/>
    </row>
    <row r="100" customFormat="false" ht="15" hidden="false" customHeight="false" outlineLevel="0" collapsed="false">
      <c r="A100" s="22"/>
      <c r="B100" s="36" t="str">
        <f aca="false">IF($A100="","",IF(ISERROR(FIND(".",$A100)),"",LOWER(MID($A100,FIND(CHAR(1),SUBSTITUTE($A100,".",CHAR(1),LEN($A100)-LEN(SUBSTITUTE($A100,".",""))))+1,LEN($A100)))))</f>
        <v/>
      </c>
      <c r="C100" s="37" t="str">
        <f aca="false">IF($B100="","",IFERROR(INDEX(Rubric!$B$14:$B$23,MATCH($B100,Rubric!$A$14:$A$23,0)),INDEX(Rubric!$B$14:$B$23,MATCH("other",Rubric!$A$14:$A$23,0))))</f>
        <v/>
      </c>
      <c r="D100" s="26"/>
      <c r="E100" s="38" t="str">
        <f aca="false">IF($B100="","",IFERROR(INDEX(Rubric!$C$14:$C$23,MATCH($B100,Rubric!$A$14:$A$23,0)),INDEX(Rubric!$C$14:$C$23,MATCH("other",Rubric!$A$14:$A$23,0))))</f>
        <v/>
      </c>
      <c r="F100" s="44" t="str">
        <f aca="false">IF(OR($A100="",$D100=""),"",$D100+$E100)</f>
        <v/>
      </c>
      <c r="G100" s="25"/>
      <c r="H100" s="25"/>
      <c r="I100" s="25"/>
      <c r="J100" s="25"/>
      <c r="K100" s="39" t="str">
        <f aca="false">IF($J100="","",IF($J100&gt;=15,5,IF($J100&gt;=10,4,IF($J100&gt;=5,3,IF($J100&gt;=2,2,1)))))</f>
        <v/>
      </c>
      <c r="L100" s="25"/>
      <c r="M100" s="25"/>
      <c r="N100" s="25"/>
      <c r="O100" s="25"/>
      <c r="P100" s="25"/>
      <c r="Q100" s="25"/>
      <c r="R100" s="25"/>
      <c r="S100" s="40" t="str">
        <f aca="false">IF($A100="","",IF(OR(UPPER($O100)="Y",UPPER($P100)="Y",UPPER($Q100)="Y",UPPER($R100)="Y"),"FAIL","PASS"))</f>
        <v/>
      </c>
      <c r="T100" s="39" t="str">
        <f aca="false">IF(OR($A100="",$C100=""),"",$C100*$B$6+$G100*$B$7+$H100*$B$8+$I100*$B$9)</f>
        <v/>
      </c>
      <c r="U100" s="39" t="str">
        <f aca="false">IF(OR($A100="",$K100=""),"",$K100*$B$13+$L100*$B$14+$M100*$B$15+$N100*$B$16)</f>
        <v/>
      </c>
      <c r="V100" s="39" t="str">
        <f aca="false">IF(OR($T100="",$U100=""),"",$T100*$B$19+$U100*(1-$B$19))</f>
        <v/>
      </c>
      <c r="W100" s="27"/>
      <c r="X100" s="22"/>
      <c r="Y100" s="42" t="str">
        <f aca="false">IF(OR($A100="",$W100=""),"",MAX(0,$W100-MAX($W100*Assumptions!$B$4,Assumptions!$B$5)))</f>
        <v/>
      </c>
      <c r="Z100" s="41" t="str">
        <f aca="false">IF($V100="","",Assumptions!$B$6*MAX(0.05,($V100/Assumptions!$B$11)^Assumptions!$B$12))</f>
        <v/>
      </c>
      <c r="AA100" s="41" t="str">
        <f aca="false">IF($Z100="","",1-(1-$Z100)^Assumptions!$B$7)</f>
        <v/>
      </c>
      <c r="AB100" s="42" t="str">
        <f aca="false">IF(OR($F100="",$AA100="",$AA100=0),"",($F100+$E100*Assumptions!$B$7)/($AA100*(1-Assumptions!$B$4)))</f>
        <v/>
      </c>
      <c r="AC100" s="43" t="str">
        <f aca="false">IF(OR($W100="",$AB100="",$AB100=0),"",$W100/$AB100)</f>
        <v/>
      </c>
      <c r="AD100" s="44" t="str">
        <f aca="false">IF(OR($Y100="",$E100="",$AA100=""),"",MAX(0,$Y100*$AA100-$E100*Assumptions!$B$7))</f>
        <v/>
      </c>
      <c r="AE100" s="44" t="str">
        <f aca="false">IF(OR($AD100="",$F100=""),"",$AD100-$F100)</f>
        <v/>
      </c>
      <c r="AF100" s="40" t="str">
        <f aca="false">IF($A100="","",IF($S100="FAIL","REJECT",IF($D100="","NEEDS PRICE",IF(OR($W100="",$X100=""),"NEEDS VALUATION",IF($AC100&lt;1,"OVERPRICED",IF(AND($AC100&gt;=Assumptions!$B$13,$V100&gt;=4),"BUY",IF($V100&gt;=3.4,"BUY CHEAPER",IF($V100&gt;=2.8,"FLOOR ONLY","SKIP"))))))))</f>
        <v/>
      </c>
      <c r="AG100" s="50" t="str">
        <f aca="false">IF($AF100="","",IF($AF100="REJECT","Do not buy at any price",IF($AF100="NEEDS PRICE","Enter the current closeout price",IF($AF100="NEEDS VALUATION","Enter a valuation AND its source before bidding",IF($AF100="OVERPRICED","Worth less than break-even - walk",IF($AF100="BUY","Take it on day 1 at $11 - will not reach the floor",IF($AF100="BUY CHEAPER","Wait to about $8 (day 3), walk if outbid",IF($AF100="FLOOR ONLY","Only at the $5 floor","Skip"))))))))</f>
        <v/>
      </c>
      <c r="AH100" s="35"/>
    </row>
    <row r="101" customFormat="false" ht="15" hidden="false" customHeight="false" outlineLevel="0" collapsed="false">
      <c r="A101" s="22"/>
      <c r="B101" s="36" t="str">
        <f aca="false">IF($A101="","",IF(ISERROR(FIND(".",$A101)),"",LOWER(MID($A101,FIND(CHAR(1),SUBSTITUTE($A101,".",CHAR(1),LEN($A101)-LEN(SUBSTITUTE($A101,".",""))))+1,LEN($A101)))))</f>
        <v/>
      </c>
      <c r="C101" s="37" t="str">
        <f aca="false">IF($B101="","",IFERROR(INDEX(Rubric!$B$14:$B$23,MATCH($B101,Rubric!$A$14:$A$23,0)),INDEX(Rubric!$B$14:$B$23,MATCH("other",Rubric!$A$14:$A$23,0))))</f>
        <v/>
      </c>
      <c r="D101" s="26"/>
      <c r="E101" s="38" t="str">
        <f aca="false">IF($B101="","",IFERROR(INDEX(Rubric!$C$14:$C$23,MATCH($B101,Rubric!$A$14:$A$23,0)),INDEX(Rubric!$C$14:$C$23,MATCH("other",Rubric!$A$14:$A$23,0))))</f>
        <v/>
      </c>
      <c r="F101" s="44" t="str">
        <f aca="false">IF(OR($A101="",$D101=""),"",$D101+$E101)</f>
        <v/>
      </c>
      <c r="G101" s="25"/>
      <c r="H101" s="25"/>
      <c r="I101" s="25"/>
      <c r="J101" s="25"/>
      <c r="K101" s="39" t="str">
        <f aca="false">IF($J101="","",IF($J101&gt;=15,5,IF($J101&gt;=10,4,IF($J101&gt;=5,3,IF($J101&gt;=2,2,1)))))</f>
        <v/>
      </c>
      <c r="L101" s="25"/>
      <c r="M101" s="25"/>
      <c r="N101" s="25"/>
      <c r="O101" s="25"/>
      <c r="P101" s="25"/>
      <c r="Q101" s="25"/>
      <c r="R101" s="25"/>
      <c r="S101" s="40" t="str">
        <f aca="false">IF($A101="","",IF(OR(UPPER($O101)="Y",UPPER($P101)="Y",UPPER($Q101)="Y",UPPER($R101)="Y"),"FAIL","PASS"))</f>
        <v/>
      </c>
      <c r="T101" s="39" t="str">
        <f aca="false">IF(OR($A101="",$C101=""),"",$C101*$B$6+$G101*$B$7+$H101*$B$8+$I101*$B$9)</f>
        <v/>
      </c>
      <c r="U101" s="39" t="str">
        <f aca="false">IF(OR($A101="",$K101=""),"",$K101*$B$13+$L101*$B$14+$M101*$B$15+$N101*$B$16)</f>
        <v/>
      </c>
      <c r="V101" s="39" t="str">
        <f aca="false">IF(OR($T101="",$U101=""),"",$T101*$B$19+$U101*(1-$B$19))</f>
        <v/>
      </c>
      <c r="W101" s="27"/>
      <c r="X101" s="22"/>
      <c r="Y101" s="42" t="str">
        <f aca="false">IF(OR($A101="",$W101=""),"",MAX(0,$W101-MAX($W101*Assumptions!$B$4,Assumptions!$B$5)))</f>
        <v/>
      </c>
      <c r="Z101" s="41" t="str">
        <f aca="false">IF($V101="","",Assumptions!$B$6*MAX(0.05,($V101/Assumptions!$B$11)^Assumptions!$B$12))</f>
        <v/>
      </c>
      <c r="AA101" s="41" t="str">
        <f aca="false">IF($Z101="","",1-(1-$Z101)^Assumptions!$B$7)</f>
        <v/>
      </c>
      <c r="AB101" s="42" t="str">
        <f aca="false">IF(OR($F101="",$AA101="",$AA101=0),"",($F101+$E101*Assumptions!$B$7)/($AA101*(1-Assumptions!$B$4)))</f>
        <v/>
      </c>
      <c r="AC101" s="43" t="str">
        <f aca="false">IF(OR($W101="",$AB101="",$AB101=0),"",$W101/$AB101)</f>
        <v/>
      </c>
      <c r="AD101" s="44" t="str">
        <f aca="false">IF(OR($Y101="",$E101="",$AA101=""),"",MAX(0,$Y101*$AA101-$E101*Assumptions!$B$7))</f>
        <v/>
      </c>
      <c r="AE101" s="44" t="str">
        <f aca="false">IF(OR($AD101="",$F101=""),"",$AD101-$F101)</f>
        <v/>
      </c>
      <c r="AF101" s="40" t="str">
        <f aca="false">IF($A101="","",IF($S101="FAIL","REJECT",IF($D101="","NEEDS PRICE",IF(OR($W101="",$X101=""),"NEEDS VALUATION",IF($AC101&lt;1,"OVERPRICED",IF(AND($AC101&gt;=Assumptions!$B$13,$V101&gt;=4),"BUY",IF($V101&gt;=3.4,"BUY CHEAPER",IF($V101&gt;=2.8,"FLOOR ONLY","SKIP"))))))))</f>
        <v/>
      </c>
      <c r="AG101" s="50" t="str">
        <f aca="false">IF($AF101="","",IF($AF101="REJECT","Do not buy at any price",IF($AF101="NEEDS PRICE","Enter the current closeout price",IF($AF101="NEEDS VALUATION","Enter a valuation AND its source before bidding",IF($AF101="OVERPRICED","Worth less than break-even - walk",IF($AF101="BUY","Take it on day 1 at $11 - will not reach the floor",IF($AF101="BUY CHEAPER","Wait to about $8 (day 3), walk if outbid",IF($AF101="FLOOR ONLY","Only at the $5 floor","Skip"))))))))</f>
        <v/>
      </c>
      <c r="AH101" s="35"/>
    </row>
    <row r="102" customFormat="false" ht="15" hidden="false" customHeight="false" outlineLevel="0" collapsed="false">
      <c r="A102" s="22"/>
      <c r="B102" s="36" t="str">
        <f aca="false">IF($A102="","",IF(ISERROR(FIND(".",$A102)),"",LOWER(MID($A102,FIND(CHAR(1),SUBSTITUTE($A102,".",CHAR(1),LEN($A102)-LEN(SUBSTITUTE($A102,".",""))))+1,LEN($A102)))))</f>
        <v/>
      </c>
      <c r="C102" s="37" t="str">
        <f aca="false">IF($B102="","",IFERROR(INDEX(Rubric!$B$14:$B$23,MATCH($B102,Rubric!$A$14:$A$23,0)),INDEX(Rubric!$B$14:$B$23,MATCH("other",Rubric!$A$14:$A$23,0))))</f>
        <v/>
      </c>
      <c r="D102" s="26"/>
      <c r="E102" s="38" t="str">
        <f aca="false">IF($B102="","",IFERROR(INDEX(Rubric!$C$14:$C$23,MATCH($B102,Rubric!$A$14:$A$23,0)),INDEX(Rubric!$C$14:$C$23,MATCH("other",Rubric!$A$14:$A$23,0))))</f>
        <v/>
      </c>
      <c r="F102" s="44" t="str">
        <f aca="false">IF(OR($A102="",$D102=""),"",$D102+$E102)</f>
        <v/>
      </c>
      <c r="G102" s="25"/>
      <c r="H102" s="25"/>
      <c r="I102" s="25"/>
      <c r="J102" s="25"/>
      <c r="K102" s="39" t="str">
        <f aca="false">IF($J102="","",IF($J102&gt;=15,5,IF($J102&gt;=10,4,IF($J102&gt;=5,3,IF($J102&gt;=2,2,1)))))</f>
        <v/>
      </c>
      <c r="L102" s="25"/>
      <c r="M102" s="25"/>
      <c r="N102" s="25"/>
      <c r="O102" s="25"/>
      <c r="P102" s="25"/>
      <c r="Q102" s="25"/>
      <c r="R102" s="25"/>
      <c r="S102" s="40" t="str">
        <f aca="false">IF($A102="","",IF(OR(UPPER($O102)="Y",UPPER($P102)="Y",UPPER($Q102)="Y",UPPER($R102)="Y"),"FAIL","PASS"))</f>
        <v/>
      </c>
      <c r="T102" s="39" t="str">
        <f aca="false">IF(OR($A102="",$C102=""),"",$C102*$B$6+$G102*$B$7+$H102*$B$8+$I102*$B$9)</f>
        <v/>
      </c>
      <c r="U102" s="39" t="str">
        <f aca="false">IF(OR($A102="",$K102=""),"",$K102*$B$13+$L102*$B$14+$M102*$B$15+$N102*$B$16)</f>
        <v/>
      </c>
      <c r="V102" s="39" t="str">
        <f aca="false">IF(OR($T102="",$U102=""),"",$T102*$B$19+$U102*(1-$B$19))</f>
        <v/>
      </c>
      <c r="W102" s="27"/>
      <c r="X102" s="22"/>
      <c r="Y102" s="42" t="str">
        <f aca="false">IF(OR($A102="",$W102=""),"",MAX(0,$W102-MAX($W102*Assumptions!$B$4,Assumptions!$B$5)))</f>
        <v/>
      </c>
      <c r="Z102" s="41" t="str">
        <f aca="false">IF($V102="","",Assumptions!$B$6*MAX(0.05,($V102/Assumptions!$B$11)^Assumptions!$B$12))</f>
        <v/>
      </c>
      <c r="AA102" s="41" t="str">
        <f aca="false">IF($Z102="","",1-(1-$Z102)^Assumptions!$B$7)</f>
        <v/>
      </c>
      <c r="AB102" s="42" t="str">
        <f aca="false">IF(OR($F102="",$AA102="",$AA102=0),"",($F102+$E102*Assumptions!$B$7)/($AA102*(1-Assumptions!$B$4)))</f>
        <v/>
      </c>
      <c r="AC102" s="43" t="str">
        <f aca="false">IF(OR($W102="",$AB102="",$AB102=0),"",$W102/$AB102)</f>
        <v/>
      </c>
      <c r="AD102" s="44" t="str">
        <f aca="false">IF(OR($Y102="",$E102="",$AA102=""),"",MAX(0,$Y102*$AA102-$E102*Assumptions!$B$7))</f>
        <v/>
      </c>
      <c r="AE102" s="44" t="str">
        <f aca="false">IF(OR($AD102="",$F102=""),"",$AD102-$F102)</f>
        <v/>
      </c>
      <c r="AF102" s="40" t="str">
        <f aca="false">IF($A102="","",IF($S102="FAIL","REJECT",IF($D102="","NEEDS PRICE",IF(OR($W102="",$X102=""),"NEEDS VALUATION",IF($AC102&lt;1,"OVERPRICED",IF(AND($AC102&gt;=Assumptions!$B$13,$V102&gt;=4),"BUY",IF($V102&gt;=3.4,"BUY CHEAPER",IF($V102&gt;=2.8,"FLOOR ONLY","SKIP"))))))))</f>
        <v/>
      </c>
      <c r="AG102" s="50" t="str">
        <f aca="false">IF($AF102="","",IF($AF102="REJECT","Do not buy at any price",IF($AF102="NEEDS PRICE","Enter the current closeout price",IF($AF102="NEEDS VALUATION","Enter a valuation AND its source before bidding",IF($AF102="OVERPRICED","Worth less than break-even - walk",IF($AF102="BUY","Take it on day 1 at $11 - will not reach the floor",IF($AF102="BUY CHEAPER","Wait to about $8 (day 3), walk if outbid",IF($AF102="FLOOR ONLY","Only at the $5 floor","Skip"))))))))</f>
        <v/>
      </c>
      <c r="AH102" s="35"/>
    </row>
    <row r="103" customFormat="false" ht="15" hidden="false" customHeight="false" outlineLevel="0" collapsed="false">
      <c r="A103" s="22"/>
      <c r="B103" s="36" t="str">
        <f aca="false">IF($A103="","",IF(ISERROR(FIND(".",$A103)),"",LOWER(MID($A103,FIND(CHAR(1),SUBSTITUTE($A103,".",CHAR(1),LEN($A103)-LEN(SUBSTITUTE($A103,".",""))))+1,LEN($A103)))))</f>
        <v/>
      </c>
      <c r="C103" s="37" t="str">
        <f aca="false">IF($B103="","",IFERROR(INDEX(Rubric!$B$14:$B$23,MATCH($B103,Rubric!$A$14:$A$23,0)),INDEX(Rubric!$B$14:$B$23,MATCH("other",Rubric!$A$14:$A$23,0))))</f>
        <v/>
      </c>
      <c r="D103" s="26"/>
      <c r="E103" s="38" t="str">
        <f aca="false">IF($B103="","",IFERROR(INDEX(Rubric!$C$14:$C$23,MATCH($B103,Rubric!$A$14:$A$23,0)),INDEX(Rubric!$C$14:$C$23,MATCH("other",Rubric!$A$14:$A$23,0))))</f>
        <v/>
      </c>
      <c r="F103" s="44" t="str">
        <f aca="false">IF(OR($A103="",$D103=""),"",$D103+$E103)</f>
        <v/>
      </c>
      <c r="G103" s="25"/>
      <c r="H103" s="25"/>
      <c r="I103" s="25"/>
      <c r="J103" s="25"/>
      <c r="K103" s="39" t="str">
        <f aca="false">IF($J103="","",IF($J103&gt;=15,5,IF($J103&gt;=10,4,IF($J103&gt;=5,3,IF($J103&gt;=2,2,1)))))</f>
        <v/>
      </c>
      <c r="L103" s="25"/>
      <c r="M103" s="25"/>
      <c r="N103" s="25"/>
      <c r="O103" s="25"/>
      <c r="P103" s="25"/>
      <c r="Q103" s="25"/>
      <c r="R103" s="25"/>
      <c r="S103" s="40" t="str">
        <f aca="false">IF($A103="","",IF(OR(UPPER($O103)="Y",UPPER($P103)="Y",UPPER($Q103)="Y",UPPER($R103)="Y"),"FAIL","PASS"))</f>
        <v/>
      </c>
      <c r="T103" s="39" t="str">
        <f aca="false">IF(OR($A103="",$C103=""),"",$C103*$B$6+$G103*$B$7+$H103*$B$8+$I103*$B$9)</f>
        <v/>
      </c>
      <c r="U103" s="39" t="str">
        <f aca="false">IF(OR($A103="",$K103=""),"",$K103*$B$13+$L103*$B$14+$M103*$B$15+$N103*$B$16)</f>
        <v/>
      </c>
      <c r="V103" s="39" t="str">
        <f aca="false">IF(OR($T103="",$U103=""),"",$T103*$B$19+$U103*(1-$B$19))</f>
        <v/>
      </c>
      <c r="W103" s="27"/>
      <c r="X103" s="22"/>
      <c r="Y103" s="42" t="str">
        <f aca="false">IF(OR($A103="",$W103=""),"",MAX(0,$W103-MAX($W103*Assumptions!$B$4,Assumptions!$B$5)))</f>
        <v/>
      </c>
      <c r="Z103" s="41" t="str">
        <f aca="false">IF($V103="","",Assumptions!$B$6*MAX(0.05,($V103/Assumptions!$B$11)^Assumptions!$B$12))</f>
        <v/>
      </c>
      <c r="AA103" s="41" t="str">
        <f aca="false">IF($Z103="","",1-(1-$Z103)^Assumptions!$B$7)</f>
        <v/>
      </c>
      <c r="AB103" s="42" t="str">
        <f aca="false">IF(OR($F103="",$AA103="",$AA103=0),"",($F103+$E103*Assumptions!$B$7)/($AA103*(1-Assumptions!$B$4)))</f>
        <v/>
      </c>
      <c r="AC103" s="43" t="str">
        <f aca="false">IF(OR($W103="",$AB103="",$AB103=0),"",$W103/$AB103)</f>
        <v/>
      </c>
      <c r="AD103" s="44" t="str">
        <f aca="false">IF(OR($Y103="",$E103="",$AA103=""),"",MAX(0,$Y103*$AA103-$E103*Assumptions!$B$7))</f>
        <v/>
      </c>
      <c r="AE103" s="44" t="str">
        <f aca="false">IF(OR($AD103="",$F103=""),"",$AD103-$F103)</f>
        <v/>
      </c>
      <c r="AF103" s="40" t="str">
        <f aca="false">IF($A103="","",IF($S103="FAIL","REJECT",IF($D103="","NEEDS PRICE",IF(OR($W103="",$X103=""),"NEEDS VALUATION",IF($AC103&lt;1,"OVERPRICED",IF(AND($AC103&gt;=Assumptions!$B$13,$V103&gt;=4),"BUY",IF($V103&gt;=3.4,"BUY CHEAPER",IF($V103&gt;=2.8,"FLOOR ONLY","SKIP"))))))))</f>
        <v/>
      </c>
      <c r="AG103" s="50" t="str">
        <f aca="false">IF($AF103="","",IF($AF103="REJECT","Do not buy at any price",IF($AF103="NEEDS PRICE","Enter the current closeout price",IF($AF103="NEEDS VALUATION","Enter a valuation AND its source before bidding",IF($AF103="OVERPRICED","Worth less than break-even - walk",IF($AF103="BUY","Take it on day 1 at $11 - will not reach the floor",IF($AF103="BUY CHEAPER","Wait to about $8 (day 3), walk if outbid",IF($AF103="FLOOR ONLY","Only at the $5 floor","Skip"))))))))</f>
        <v/>
      </c>
      <c r="AH103" s="35"/>
    </row>
    <row r="104" customFormat="false" ht="15" hidden="false" customHeight="false" outlineLevel="0" collapsed="false">
      <c r="A104" s="22"/>
      <c r="B104" s="36" t="str">
        <f aca="false">IF($A104="","",IF(ISERROR(FIND(".",$A104)),"",LOWER(MID($A104,FIND(CHAR(1),SUBSTITUTE($A104,".",CHAR(1),LEN($A104)-LEN(SUBSTITUTE($A104,".",""))))+1,LEN($A104)))))</f>
        <v/>
      </c>
      <c r="C104" s="37" t="str">
        <f aca="false">IF($B104="","",IFERROR(INDEX(Rubric!$B$14:$B$23,MATCH($B104,Rubric!$A$14:$A$23,0)),INDEX(Rubric!$B$14:$B$23,MATCH("other",Rubric!$A$14:$A$23,0))))</f>
        <v/>
      </c>
      <c r="D104" s="26"/>
      <c r="E104" s="38" t="str">
        <f aca="false">IF($B104="","",IFERROR(INDEX(Rubric!$C$14:$C$23,MATCH($B104,Rubric!$A$14:$A$23,0)),INDEX(Rubric!$C$14:$C$23,MATCH("other",Rubric!$A$14:$A$23,0))))</f>
        <v/>
      </c>
      <c r="F104" s="44" t="str">
        <f aca="false">IF(OR($A104="",$D104=""),"",$D104+$E104)</f>
        <v/>
      </c>
      <c r="G104" s="25"/>
      <c r="H104" s="25"/>
      <c r="I104" s="25"/>
      <c r="J104" s="25"/>
      <c r="K104" s="39" t="str">
        <f aca="false">IF($J104="","",IF($J104&gt;=15,5,IF($J104&gt;=10,4,IF($J104&gt;=5,3,IF($J104&gt;=2,2,1)))))</f>
        <v/>
      </c>
      <c r="L104" s="25"/>
      <c r="M104" s="25"/>
      <c r="N104" s="25"/>
      <c r="O104" s="25"/>
      <c r="P104" s="25"/>
      <c r="Q104" s="25"/>
      <c r="R104" s="25"/>
      <c r="S104" s="40" t="str">
        <f aca="false">IF($A104="","",IF(OR(UPPER($O104)="Y",UPPER($P104)="Y",UPPER($Q104)="Y",UPPER($R104)="Y"),"FAIL","PASS"))</f>
        <v/>
      </c>
      <c r="T104" s="39" t="str">
        <f aca="false">IF(OR($A104="",$C104=""),"",$C104*$B$6+$G104*$B$7+$H104*$B$8+$I104*$B$9)</f>
        <v/>
      </c>
      <c r="U104" s="39" t="str">
        <f aca="false">IF(OR($A104="",$K104=""),"",$K104*$B$13+$L104*$B$14+$M104*$B$15+$N104*$B$16)</f>
        <v/>
      </c>
      <c r="V104" s="39" t="str">
        <f aca="false">IF(OR($T104="",$U104=""),"",$T104*$B$19+$U104*(1-$B$19))</f>
        <v/>
      </c>
      <c r="W104" s="27"/>
      <c r="X104" s="22"/>
      <c r="Y104" s="42" t="str">
        <f aca="false">IF(OR($A104="",$W104=""),"",MAX(0,$W104-MAX($W104*Assumptions!$B$4,Assumptions!$B$5)))</f>
        <v/>
      </c>
      <c r="Z104" s="41" t="str">
        <f aca="false">IF($V104="","",Assumptions!$B$6*MAX(0.05,($V104/Assumptions!$B$11)^Assumptions!$B$12))</f>
        <v/>
      </c>
      <c r="AA104" s="41" t="str">
        <f aca="false">IF($Z104="","",1-(1-$Z104)^Assumptions!$B$7)</f>
        <v/>
      </c>
      <c r="AB104" s="42" t="str">
        <f aca="false">IF(OR($F104="",$AA104="",$AA104=0),"",($F104+$E104*Assumptions!$B$7)/($AA104*(1-Assumptions!$B$4)))</f>
        <v/>
      </c>
      <c r="AC104" s="43" t="str">
        <f aca="false">IF(OR($W104="",$AB104="",$AB104=0),"",$W104/$AB104)</f>
        <v/>
      </c>
      <c r="AD104" s="44" t="str">
        <f aca="false">IF(OR($Y104="",$E104="",$AA104=""),"",MAX(0,$Y104*$AA104-$E104*Assumptions!$B$7))</f>
        <v/>
      </c>
      <c r="AE104" s="44" t="str">
        <f aca="false">IF(OR($AD104="",$F104=""),"",$AD104-$F104)</f>
        <v/>
      </c>
      <c r="AF104" s="40" t="str">
        <f aca="false">IF($A104="","",IF($S104="FAIL","REJECT",IF($D104="","NEEDS PRICE",IF(OR($W104="",$X104=""),"NEEDS VALUATION",IF($AC104&lt;1,"OVERPRICED",IF(AND($AC104&gt;=Assumptions!$B$13,$V104&gt;=4),"BUY",IF($V104&gt;=3.4,"BUY CHEAPER",IF($V104&gt;=2.8,"FLOOR ONLY","SKIP"))))))))</f>
        <v/>
      </c>
      <c r="AG104" s="50" t="str">
        <f aca="false">IF($AF104="","",IF($AF104="REJECT","Do not buy at any price",IF($AF104="NEEDS PRICE","Enter the current closeout price",IF($AF104="NEEDS VALUATION","Enter a valuation AND its source before bidding",IF($AF104="OVERPRICED","Worth less than break-even - walk",IF($AF104="BUY","Take it on day 1 at $11 - will not reach the floor",IF($AF104="BUY CHEAPER","Wait to about $8 (day 3), walk if outbid",IF($AF104="FLOOR ONLY","Only at the $5 floor","Skip"))))))))</f>
        <v/>
      </c>
      <c r="AH104" s="35"/>
    </row>
    <row r="105" customFormat="false" ht="15" hidden="false" customHeight="false" outlineLevel="0" collapsed="false">
      <c r="A105" s="22"/>
      <c r="B105" s="36" t="str">
        <f aca="false">IF($A105="","",IF(ISERROR(FIND(".",$A105)),"",LOWER(MID($A105,FIND(CHAR(1),SUBSTITUTE($A105,".",CHAR(1),LEN($A105)-LEN(SUBSTITUTE($A105,".",""))))+1,LEN($A105)))))</f>
        <v/>
      </c>
      <c r="C105" s="37" t="str">
        <f aca="false">IF($B105="","",IFERROR(INDEX(Rubric!$B$14:$B$23,MATCH($B105,Rubric!$A$14:$A$23,0)),INDEX(Rubric!$B$14:$B$23,MATCH("other",Rubric!$A$14:$A$23,0))))</f>
        <v/>
      </c>
      <c r="D105" s="26"/>
      <c r="E105" s="38" t="str">
        <f aca="false">IF($B105="","",IFERROR(INDEX(Rubric!$C$14:$C$23,MATCH($B105,Rubric!$A$14:$A$23,0)),INDEX(Rubric!$C$14:$C$23,MATCH("other",Rubric!$A$14:$A$23,0))))</f>
        <v/>
      </c>
      <c r="F105" s="44" t="str">
        <f aca="false">IF(OR($A105="",$D105=""),"",$D105+$E105)</f>
        <v/>
      </c>
      <c r="G105" s="25"/>
      <c r="H105" s="25"/>
      <c r="I105" s="25"/>
      <c r="J105" s="25"/>
      <c r="K105" s="39" t="str">
        <f aca="false">IF($J105="","",IF($J105&gt;=15,5,IF($J105&gt;=10,4,IF($J105&gt;=5,3,IF($J105&gt;=2,2,1)))))</f>
        <v/>
      </c>
      <c r="L105" s="25"/>
      <c r="M105" s="25"/>
      <c r="N105" s="25"/>
      <c r="O105" s="25"/>
      <c r="P105" s="25"/>
      <c r="Q105" s="25"/>
      <c r="R105" s="25"/>
      <c r="S105" s="40" t="str">
        <f aca="false">IF($A105="","",IF(OR(UPPER($O105)="Y",UPPER($P105)="Y",UPPER($Q105)="Y",UPPER($R105)="Y"),"FAIL","PASS"))</f>
        <v/>
      </c>
      <c r="T105" s="39" t="str">
        <f aca="false">IF(OR($A105="",$C105=""),"",$C105*$B$6+$G105*$B$7+$H105*$B$8+$I105*$B$9)</f>
        <v/>
      </c>
      <c r="U105" s="39" t="str">
        <f aca="false">IF(OR($A105="",$K105=""),"",$K105*$B$13+$L105*$B$14+$M105*$B$15+$N105*$B$16)</f>
        <v/>
      </c>
      <c r="V105" s="39" t="str">
        <f aca="false">IF(OR($T105="",$U105=""),"",$T105*$B$19+$U105*(1-$B$19))</f>
        <v/>
      </c>
      <c r="W105" s="27"/>
      <c r="X105" s="22"/>
      <c r="Y105" s="42" t="str">
        <f aca="false">IF(OR($A105="",$W105=""),"",MAX(0,$W105-MAX($W105*Assumptions!$B$4,Assumptions!$B$5)))</f>
        <v/>
      </c>
      <c r="Z105" s="41" t="str">
        <f aca="false">IF($V105="","",Assumptions!$B$6*MAX(0.05,($V105/Assumptions!$B$11)^Assumptions!$B$12))</f>
        <v/>
      </c>
      <c r="AA105" s="41" t="str">
        <f aca="false">IF($Z105="","",1-(1-$Z105)^Assumptions!$B$7)</f>
        <v/>
      </c>
      <c r="AB105" s="42" t="str">
        <f aca="false">IF(OR($F105="",$AA105="",$AA105=0),"",($F105+$E105*Assumptions!$B$7)/($AA105*(1-Assumptions!$B$4)))</f>
        <v/>
      </c>
      <c r="AC105" s="43" t="str">
        <f aca="false">IF(OR($W105="",$AB105="",$AB105=0),"",$W105/$AB105)</f>
        <v/>
      </c>
      <c r="AD105" s="44" t="str">
        <f aca="false">IF(OR($Y105="",$E105="",$AA105=""),"",MAX(0,$Y105*$AA105-$E105*Assumptions!$B$7))</f>
        <v/>
      </c>
      <c r="AE105" s="44" t="str">
        <f aca="false">IF(OR($AD105="",$F105=""),"",$AD105-$F105)</f>
        <v/>
      </c>
      <c r="AF105" s="40" t="str">
        <f aca="false">IF($A105="","",IF($S105="FAIL","REJECT",IF($D105="","NEEDS PRICE",IF(OR($W105="",$X105=""),"NEEDS VALUATION",IF($AC105&lt;1,"OVERPRICED",IF(AND($AC105&gt;=Assumptions!$B$13,$V105&gt;=4),"BUY",IF($V105&gt;=3.4,"BUY CHEAPER",IF($V105&gt;=2.8,"FLOOR ONLY","SKIP"))))))))</f>
        <v/>
      </c>
      <c r="AG105" s="50" t="str">
        <f aca="false">IF($AF105="","",IF($AF105="REJECT","Do not buy at any price",IF($AF105="NEEDS PRICE","Enter the current closeout price",IF($AF105="NEEDS VALUATION","Enter a valuation AND its source before bidding",IF($AF105="OVERPRICED","Worth less than break-even - walk",IF($AF105="BUY","Take it on day 1 at $11 - will not reach the floor",IF($AF105="BUY CHEAPER","Wait to about $8 (day 3), walk if outbid",IF($AF105="FLOOR ONLY","Only at the $5 floor","Skip"))))))))</f>
        <v/>
      </c>
      <c r="AH105" s="35"/>
    </row>
    <row r="106" customFormat="false" ht="15" hidden="false" customHeight="false" outlineLevel="0" collapsed="false">
      <c r="A106" s="22"/>
      <c r="B106" s="36" t="str">
        <f aca="false">IF($A106="","",IF(ISERROR(FIND(".",$A106)),"",LOWER(MID($A106,FIND(CHAR(1),SUBSTITUTE($A106,".",CHAR(1),LEN($A106)-LEN(SUBSTITUTE($A106,".",""))))+1,LEN($A106)))))</f>
        <v/>
      </c>
      <c r="C106" s="37" t="str">
        <f aca="false">IF($B106="","",IFERROR(INDEX(Rubric!$B$14:$B$23,MATCH($B106,Rubric!$A$14:$A$23,0)),INDEX(Rubric!$B$14:$B$23,MATCH("other",Rubric!$A$14:$A$23,0))))</f>
        <v/>
      </c>
      <c r="D106" s="26"/>
      <c r="E106" s="38" t="str">
        <f aca="false">IF($B106="","",IFERROR(INDEX(Rubric!$C$14:$C$23,MATCH($B106,Rubric!$A$14:$A$23,0)),INDEX(Rubric!$C$14:$C$23,MATCH("other",Rubric!$A$14:$A$23,0))))</f>
        <v/>
      </c>
      <c r="F106" s="44" t="str">
        <f aca="false">IF(OR($A106="",$D106=""),"",$D106+$E106)</f>
        <v/>
      </c>
      <c r="G106" s="25"/>
      <c r="H106" s="25"/>
      <c r="I106" s="25"/>
      <c r="J106" s="25"/>
      <c r="K106" s="39" t="str">
        <f aca="false">IF($J106="","",IF($J106&gt;=15,5,IF($J106&gt;=10,4,IF($J106&gt;=5,3,IF($J106&gt;=2,2,1)))))</f>
        <v/>
      </c>
      <c r="L106" s="25"/>
      <c r="M106" s="25"/>
      <c r="N106" s="25"/>
      <c r="O106" s="25"/>
      <c r="P106" s="25"/>
      <c r="Q106" s="25"/>
      <c r="R106" s="25"/>
      <c r="S106" s="40" t="str">
        <f aca="false">IF($A106="","",IF(OR(UPPER($O106)="Y",UPPER($P106)="Y",UPPER($Q106)="Y",UPPER($R106)="Y"),"FAIL","PASS"))</f>
        <v/>
      </c>
      <c r="T106" s="39" t="str">
        <f aca="false">IF(OR($A106="",$C106=""),"",$C106*$B$6+$G106*$B$7+$H106*$B$8+$I106*$B$9)</f>
        <v/>
      </c>
      <c r="U106" s="39" t="str">
        <f aca="false">IF(OR($A106="",$K106=""),"",$K106*$B$13+$L106*$B$14+$M106*$B$15+$N106*$B$16)</f>
        <v/>
      </c>
      <c r="V106" s="39" t="str">
        <f aca="false">IF(OR($T106="",$U106=""),"",$T106*$B$19+$U106*(1-$B$19))</f>
        <v/>
      </c>
      <c r="W106" s="27"/>
      <c r="X106" s="22"/>
      <c r="Y106" s="42" t="str">
        <f aca="false">IF(OR($A106="",$W106=""),"",MAX(0,$W106-MAX($W106*Assumptions!$B$4,Assumptions!$B$5)))</f>
        <v/>
      </c>
      <c r="Z106" s="41" t="str">
        <f aca="false">IF($V106="","",Assumptions!$B$6*MAX(0.05,($V106/Assumptions!$B$11)^Assumptions!$B$12))</f>
        <v/>
      </c>
      <c r="AA106" s="41" t="str">
        <f aca="false">IF($Z106="","",1-(1-$Z106)^Assumptions!$B$7)</f>
        <v/>
      </c>
      <c r="AB106" s="42" t="str">
        <f aca="false">IF(OR($F106="",$AA106="",$AA106=0),"",($F106+$E106*Assumptions!$B$7)/($AA106*(1-Assumptions!$B$4)))</f>
        <v/>
      </c>
      <c r="AC106" s="43" t="str">
        <f aca="false">IF(OR($W106="",$AB106="",$AB106=0),"",$W106/$AB106)</f>
        <v/>
      </c>
      <c r="AD106" s="44" t="str">
        <f aca="false">IF(OR($Y106="",$E106="",$AA106=""),"",MAX(0,$Y106*$AA106-$E106*Assumptions!$B$7))</f>
        <v/>
      </c>
      <c r="AE106" s="44" t="str">
        <f aca="false">IF(OR($AD106="",$F106=""),"",$AD106-$F106)</f>
        <v/>
      </c>
      <c r="AF106" s="40" t="str">
        <f aca="false">IF($A106="","",IF($S106="FAIL","REJECT",IF($D106="","NEEDS PRICE",IF(OR($W106="",$X106=""),"NEEDS VALUATION",IF($AC106&lt;1,"OVERPRICED",IF(AND($AC106&gt;=Assumptions!$B$13,$V106&gt;=4),"BUY",IF($V106&gt;=3.4,"BUY CHEAPER",IF($V106&gt;=2.8,"FLOOR ONLY","SKIP"))))))))</f>
        <v/>
      </c>
      <c r="AG106" s="50" t="str">
        <f aca="false">IF($AF106="","",IF($AF106="REJECT","Do not buy at any price",IF($AF106="NEEDS PRICE","Enter the current closeout price",IF($AF106="NEEDS VALUATION","Enter a valuation AND its source before bidding",IF($AF106="OVERPRICED","Worth less than break-even - walk",IF($AF106="BUY","Take it on day 1 at $11 - will not reach the floor",IF($AF106="BUY CHEAPER","Wait to about $8 (day 3), walk if outbid",IF($AF106="FLOOR ONLY","Only at the $5 floor","Skip"))))))))</f>
        <v/>
      </c>
      <c r="AH106" s="35"/>
    </row>
    <row r="107" customFormat="false" ht="15" hidden="false" customHeight="false" outlineLevel="0" collapsed="false">
      <c r="A107" s="22"/>
      <c r="B107" s="36" t="str">
        <f aca="false">IF($A107="","",IF(ISERROR(FIND(".",$A107)),"",LOWER(MID($A107,FIND(CHAR(1),SUBSTITUTE($A107,".",CHAR(1),LEN($A107)-LEN(SUBSTITUTE($A107,".",""))))+1,LEN($A107)))))</f>
        <v/>
      </c>
      <c r="C107" s="37" t="str">
        <f aca="false">IF($B107="","",IFERROR(INDEX(Rubric!$B$14:$B$23,MATCH($B107,Rubric!$A$14:$A$23,0)),INDEX(Rubric!$B$14:$B$23,MATCH("other",Rubric!$A$14:$A$23,0))))</f>
        <v/>
      </c>
      <c r="D107" s="26"/>
      <c r="E107" s="38" t="str">
        <f aca="false">IF($B107="","",IFERROR(INDEX(Rubric!$C$14:$C$23,MATCH($B107,Rubric!$A$14:$A$23,0)),INDEX(Rubric!$C$14:$C$23,MATCH("other",Rubric!$A$14:$A$23,0))))</f>
        <v/>
      </c>
      <c r="F107" s="44" t="str">
        <f aca="false">IF(OR($A107="",$D107=""),"",$D107+$E107)</f>
        <v/>
      </c>
      <c r="G107" s="25"/>
      <c r="H107" s="25"/>
      <c r="I107" s="25"/>
      <c r="J107" s="25"/>
      <c r="K107" s="39" t="str">
        <f aca="false">IF($J107="","",IF($J107&gt;=15,5,IF($J107&gt;=10,4,IF($J107&gt;=5,3,IF($J107&gt;=2,2,1)))))</f>
        <v/>
      </c>
      <c r="L107" s="25"/>
      <c r="M107" s="25"/>
      <c r="N107" s="25"/>
      <c r="O107" s="25"/>
      <c r="P107" s="25"/>
      <c r="Q107" s="25"/>
      <c r="R107" s="25"/>
      <c r="S107" s="40" t="str">
        <f aca="false">IF($A107="","",IF(OR(UPPER($O107)="Y",UPPER($P107)="Y",UPPER($Q107)="Y",UPPER($R107)="Y"),"FAIL","PASS"))</f>
        <v/>
      </c>
      <c r="T107" s="39" t="str">
        <f aca="false">IF(OR($A107="",$C107=""),"",$C107*$B$6+$G107*$B$7+$H107*$B$8+$I107*$B$9)</f>
        <v/>
      </c>
      <c r="U107" s="39" t="str">
        <f aca="false">IF(OR($A107="",$K107=""),"",$K107*$B$13+$L107*$B$14+$M107*$B$15+$N107*$B$16)</f>
        <v/>
      </c>
      <c r="V107" s="39" t="str">
        <f aca="false">IF(OR($T107="",$U107=""),"",$T107*$B$19+$U107*(1-$B$19))</f>
        <v/>
      </c>
      <c r="W107" s="27"/>
      <c r="X107" s="22"/>
      <c r="Y107" s="42" t="str">
        <f aca="false">IF(OR($A107="",$W107=""),"",MAX(0,$W107-MAX($W107*Assumptions!$B$4,Assumptions!$B$5)))</f>
        <v/>
      </c>
      <c r="Z107" s="41" t="str">
        <f aca="false">IF($V107="","",Assumptions!$B$6*MAX(0.05,($V107/Assumptions!$B$11)^Assumptions!$B$12))</f>
        <v/>
      </c>
      <c r="AA107" s="41" t="str">
        <f aca="false">IF($Z107="","",1-(1-$Z107)^Assumptions!$B$7)</f>
        <v/>
      </c>
      <c r="AB107" s="42" t="str">
        <f aca="false">IF(OR($F107="",$AA107="",$AA107=0),"",($F107+$E107*Assumptions!$B$7)/($AA107*(1-Assumptions!$B$4)))</f>
        <v/>
      </c>
      <c r="AC107" s="43" t="str">
        <f aca="false">IF(OR($W107="",$AB107="",$AB107=0),"",$W107/$AB107)</f>
        <v/>
      </c>
      <c r="AD107" s="44" t="str">
        <f aca="false">IF(OR($Y107="",$E107="",$AA107=""),"",MAX(0,$Y107*$AA107-$E107*Assumptions!$B$7))</f>
        <v/>
      </c>
      <c r="AE107" s="44" t="str">
        <f aca="false">IF(OR($AD107="",$F107=""),"",$AD107-$F107)</f>
        <v/>
      </c>
      <c r="AF107" s="40" t="str">
        <f aca="false">IF($A107="","",IF($S107="FAIL","REJECT",IF($D107="","NEEDS PRICE",IF(OR($W107="",$X107=""),"NEEDS VALUATION",IF($AC107&lt;1,"OVERPRICED",IF(AND($AC107&gt;=Assumptions!$B$13,$V107&gt;=4),"BUY",IF($V107&gt;=3.4,"BUY CHEAPER",IF($V107&gt;=2.8,"FLOOR ONLY","SKIP"))))))))</f>
        <v/>
      </c>
      <c r="AG107" s="50" t="str">
        <f aca="false">IF($AF107="","",IF($AF107="REJECT","Do not buy at any price",IF($AF107="NEEDS PRICE","Enter the current closeout price",IF($AF107="NEEDS VALUATION","Enter a valuation AND its source before bidding",IF($AF107="OVERPRICED","Worth less than break-even - walk",IF($AF107="BUY","Take it on day 1 at $11 - will not reach the floor",IF($AF107="BUY CHEAPER","Wait to about $8 (day 3), walk if outbid",IF($AF107="FLOOR ONLY","Only at the $5 floor","Skip"))))))))</f>
        <v/>
      </c>
      <c r="AH107" s="35"/>
    </row>
    <row r="108" customFormat="false" ht="15" hidden="false" customHeight="false" outlineLevel="0" collapsed="false">
      <c r="A108" s="22"/>
      <c r="B108" s="36" t="str">
        <f aca="false">IF($A108="","",IF(ISERROR(FIND(".",$A108)),"",LOWER(MID($A108,FIND(CHAR(1),SUBSTITUTE($A108,".",CHAR(1),LEN($A108)-LEN(SUBSTITUTE($A108,".",""))))+1,LEN($A108)))))</f>
        <v/>
      </c>
      <c r="C108" s="37" t="str">
        <f aca="false">IF($B108="","",IFERROR(INDEX(Rubric!$B$14:$B$23,MATCH($B108,Rubric!$A$14:$A$23,0)),INDEX(Rubric!$B$14:$B$23,MATCH("other",Rubric!$A$14:$A$23,0))))</f>
        <v/>
      </c>
      <c r="D108" s="26"/>
      <c r="E108" s="38" t="str">
        <f aca="false">IF($B108="","",IFERROR(INDEX(Rubric!$C$14:$C$23,MATCH($B108,Rubric!$A$14:$A$23,0)),INDEX(Rubric!$C$14:$C$23,MATCH("other",Rubric!$A$14:$A$23,0))))</f>
        <v/>
      </c>
      <c r="F108" s="44" t="str">
        <f aca="false">IF(OR($A108="",$D108=""),"",$D108+$E108)</f>
        <v/>
      </c>
      <c r="G108" s="25"/>
      <c r="H108" s="25"/>
      <c r="I108" s="25"/>
      <c r="J108" s="25"/>
      <c r="K108" s="39" t="str">
        <f aca="false">IF($J108="","",IF($J108&gt;=15,5,IF($J108&gt;=10,4,IF($J108&gt;=5,3,IF($J108&gt;=2,2,1)))))</f>
        <v/>
      </c>
      <c r="L108" s="25"/>
      <c r="M108" s="25"/>
      <c r="N108" s="25"/>
      <c r="O108" s="25"/>
      <c r="P108" s="25"/>
      <c r="Q108" s="25"/>
      <c r="R108" s="25"/>
      <c r="S108" s="40" t="str">
        <f aca="false">IF($A108="","",IF(OR(UPPER($O108)="Y",UPPER($P108)="Y",UPPER($Q108)="Y",UPPER($R108)="Y"),"FAIL","PASS"))</f>
        <v/>
      </c>
      <c r="T108" s="39" t="str">
        <f aca="false">IF(OR($A108="",$C108=""),"",$C108*$B$6+$G108*$B$7+$H108*$B$8+$I108*$B$9)</f>
        <v/>
      </c>
      <c r="U108" s="39" t="str">
        <f aca="false">IF(OR($A108="",$K108=""),"",$K108*$B$13+$L108*$B$14+$M108*$B$15+$N108*$B$16)</f>
        <v/>
      </c>
      <c r="V108" s="39" t="str">
        <f aca="false">IF(OR($T108="",$U108=""),"",$T108*$B$19+$U108*(1-$B$19))</f>
        <v/>
      </c>
      <c r="W108" s="27"/>
      <c r="X108" s="22"/>
      <c r="Y108" s="42" t="str">
        <f aca="false">IF(OR($A108="",$W108=""),"",MAX(0,$W108-MAX($W108*Assumptions!$B$4,Assumptions!$B$5)))</f>
        <v/>
      </c>
      <c r="Z108" s="41" t="str">
        <f aca="false">IF($V108="","",Assumptions!$B$6*MAX(0.05,($V108/Assumptions!$B$11)^Assumptions!$B$12))</f>
        <v/>
      </c>
      <c r="AA108" s="41" t="str">
        <f aca="false">IF($Z108="","",1-(1-$Z108)^Assumptions!$B$7)</f>
        <v/>
      </c>
      <c r="AB108" s="42" t="str">
        <f aca="false">IF(OR($F108="",$AA108="",$AA108=0),"",($F108+$E108*Assumptions!$B$7)/($AA108*(1-Assumptions!$B$4)))</f>
        <v/>
      </c>
      <c r="AC108" s="43" t="str">
        <f aca="false">IF(OR($W108="",$AB108="",$AB108=0),"",$W108/$AB108)</f>
        <v/>
      </c>
      <c r="AD108" s="44" t="str">
        <f aca="false">IF(OR($Y108="",$E108="",$AA108=""),"",MAX(0,$Y108*$AA108-$E108*Assumptions!$B$7))</f>
        <v/>
      </c>
      <c r="AE108" s="44" t="str">
        <f aca="false">IF(OR($AD108="",$F108=""),"",$AD108-$F108)</f>
        <v/>
      </c>
      <c r="AF108" s="40" t="str">
        <f aca="false">IF($A108="","",IF($S108="FAIL","REJECT",IF($D108="","NEEDS PRICE",IF(OR($W108="",$X108=""),"NEEDS VALUATION",IF($AC108&lt;1,"OVERPRICED",IF(AND($AC108&gt;=Assumptions!$B$13,$V108&gt;=4),"BUY",IF($V108&gt;=3.4,"BUY CHEAPER",IF($V108&gt;=2.8,"FLOOR ONLY","SKIP"))))))))</f>
        <v/>
      </c>
      <c r="AG108" s="50" t="str">
        <f aca="false">IF($AF108="","",IF($AF108="REJECT","Do not buy at any price",IF($AF108="NEEDS PRICE","Enter the current closeout price",IF($AF108="NEEDS VALUATION","Enter a valuation AND its source before bidding",IF($AF108="OVERPRICED","Worth less than break-even - walk",IF($AF108="BUY","Take it on day 1 at $11 - will not reach the floor",IF($AF108="BUY CHEAPER","Wait to about $8 (day 3), walk if outbid",IF($AF108="FLOOR ONLY","Only at the $5 floor","Skip"))))))))</f>
        <v/>
      </c>
      <c r="AH108" s="35"/>
    </row>
    <row r="109" customFormat="false" ht="15" hidden="false" customHeight="false" outlineLevel="0" collapsed="false">
      <c r="A109" s="22"/>
      <c r="B109" s="36" t="str">
        <f aca="false">IF($A109="","",IF(ISERROR(FIND(".",$A109)),"",LOWER(MID($A109,FIND(CHAR(1),SUBSTITUTE($A109,".",CHAR(1),LEN($A109)-LEN(SUBSTITUTE($A109,".",""))))+1,LEN($A109)))))</f>
        <v/>
      </c>
      <c r="C109" s="37" t="str">
        <f aca="false">IF($B109="","",IFERROR(INDEX(Rubric!$B$14:$B$23,MATCH($B109,Rubric!$A$14:$A$23,0)),INDEX(Rubric!$B$14:$B$23,MATCH("other",Rubric!$A$14:$A$23,0))))</f>
        <v/>
      </c>
      <c r="D109" s="26"/>
      <c r="E109" s="38" t="str">
        <f aca="false">IF($B109="","",IFERROR(INDEX(Rubric!$C$14:$C$23,MATCH($B109,Rubric!$A$14:$A$23,0)),INDEX(Rubric!$C$14:$C$23,MATCH("other",Rubric!$A$14:$A$23,0))))</f>
        <v/>
      </c>
      <c r="F109" s="44" t="str">
        <f aca="false">IF(OR($A109="",$D109=""),"",$D109+$E109)</f>
        <v/>
      </c>
      <c r="G109" s="25"/>
      <c r="H109" s="25"/>
      <c r="I109" s="25"/>
      <c r="J109" s="25"/>
      <c r="K109" s="39" t="str">
        <f aca="false">IF($J109="","",IF($J109&gt;=15,5,IF($J109&gt;=10,4,IF($J109&gt;=5,3,IF($J109&gt;=2,2,1)))))</f>
        <v/>
      </c>
      <c r="L109" s="25"/>
      <c r="M109" s="25"/>
      <c r="N109" s="25"/>
      <c r="O109" s="25"/>
      <c r="P109" s="25"/>
      <c r="Q109" s="25"/>
      <c r="R109" s="25"/>
      <c r="S109" s="40" t="str">
        <f aca="false">IF($A109="","",IF(OR(UPPER($O109)="Y",UPPER($P109)="Y",UPPER($Q109)="Y",UPPER($R109)="Y"),"FAIL","PASS"))</f>
        <v/>
      </c>
      <c r="T109" s="39" t="str">
        <f aca="false">IF(OR($A109="",$C109=""),"",$C109*$B$6+$G109*$B$7+$H109*$B$8+$I109*$B$9)</f>
        <v/>
      </c>
      <c r="U109" s="39" t="str">
        <f aca="false">IF(OR($A109="",$K109=""),"",$K109*$B$13+$L109*$B$14+$M109*$B$15+$N109*$B$16)</f>
        <v/>
      </c>
      <c r="V109" s="39" t="str">
        <f aca="false">IF(OR($T109="",$U109=""),"",$T109*$B$19+$U109*(1-$B$19))</f>
        <v/>
      </c>
      <c r="W109" s="27"/>
      <c r="X109" s="22"/>
      <c r="Y109" s="42" t="str">
        <f aca="false">IF(OR($A109="",$W109=""),"",MAX(0,$W109-MAX($W109*Assumptions!$B$4,Assumptions!$B$5)))</f>
        <v/>
      </c>
      <c r="Z109" s="41" t="str">
        <f aca="false">IF($V109="","",Assumptions!$B$6*MAX(0.05,($V109/Assumptions!$B$11)^Assumptions!$B$12))</f>
        <v/>
      </c>
      <c r="AA109" s="41" t="str">
        <f aca="false">IF($Z109="","",1-(1-$Z109)^Assumptions!$B$7)</f>
        <v/>
      </c>
      <c r="AB109" s="42" t="str">
        <f aca="false">IF(OR($F109="",$AA109="",$AA109=0),"",($F109+$E109*Assumptions!$B$7)/($AA109*(1-Assumptions!$B$4)))</f>
        <v/>
      </c>
      <c r="AC109" s="43" t="str">
        <f aca="false">IF(OR($W109="",$AB109="",$AB109=0),"",$W109/$AB109)</f>
        <v/>
      </c>
      <c r="AD109" s="44" t="str">
        <f aca="false">IF(OR($Y109="",$E109="",$AA109=""),"",MAX(0,$Y109*$AA109-$E109*Assumptions!$B$7))</f>
        <v/>
      </c>
      <c r="AE109" s="44" t="str">
        <f aca="false">IF(OR($AD109="",$F109=""),"",$AD109-$F109)</f>
        <v/>
      </c>
      <c r="AF109" s="40" t="str">
        <f aca="false">IF($A109="","",IF($S109="FAIL","REJECT",IF($D109="","NEEDS PRICE",IF(OR($W109="",$X109=""),"NEEDS VALUATION",IF($AC109&lt;1,"OVERPRICED",IF(AND($AC109&gt;=Assumptions!$B$13,$V109&gt;=4),"BUY",IF($V109&gt;=3.4,"BUY CHEAPER",IF($V109&gt;=2.8,"FLOOR ONLY","SKIP"))))))))</f>
        <v/>
      </c>
      <c r="AG109" s="50" t="str">
        <f aca="false">IF($AF109="","",IF($AF109="REJECT","Do not buy at any price",IF($AF109="NEEDS PRICE","Enter the current closeout price",IF($AF109="NEEDS VALUATION","Enter a valuation AND its source before bidding",IF($AF109="OVERPRICED","Worth less than break-even - walk",IF($AF109="BUY","Take it on day 1 at $11 - will not reach the floor",IF($AF109="BUY CHEAPER","Wait to about $8 (day 3), walk if outbid",IF($AF109="FLOOR ONLY","Only at the $5 floor","Skip"))))))))</f>
        <v/>
      </c>
      <c r="AH109" s="35"/>
    </row>
    <row r="110" customFormat="false" ht="15" hidden="false" customHeight="false" outlineLevel="0" collapsed="false">
      <c r="A110" s="22"/>
      <c r="B110" s="36" t="str">
        <f aca="false">IF($A110="","",IF(ISERROR(FIND(".",$A110)),"",LOWER(MID($A110,FIND(CHAR(1),SUBSTITUTE($A110,".",CHAR(1),LEN($A110)-LEN(SUBSTITUTE($A110,".",""))))+1,LEN($A110)))))</f>
        <v/>
      </c>
      <c r="C110" s="37" t="str">
        <f aca="false">IF($B110="","",IFERROR(INDEX(Rubric!$B$14:$B$23,MATCH($B110,Rubric!$A$14:$A$23,0)),INDEX(Rubric!$B$14:$B$23,MATCH("other",Rubric!$A$14:$A$23,0))))</f>
        <v/>
      </c>
      <c r="D110" s="26"/>
      <c r="E110" s="38" t="str">
        <f aca="false">IF($B110="","",IFERROR(INDEX(Rubric!$C$14:$C$23,MATCH($B110,Rubric!$A$14:$A$23,0)),INDEX(Rubric!$C$14:$C$23,MATCH("other",Rubric!$A$14:$A$23,0))))</f>
        <v/>
      </c>
      <c r="F110" s="44" t="str">
        <f aca="false">IF(OR($A110="",$D110=""),"",$D110+$E110)</f>
        <v/>
      </c>
      <c r="G110" s="25"/>
      <c r="H110" s="25"/>
      <c r="I110" s="25"/>
      <c r="J110" s="25"/>
      <c r="K110" s="39" t="str">
        <f aca="false">IF($J110="","",IF($J110&gt;=15,5,IF($J110&gt;=10,4,IF($J110&gt;=5,3,IF($J110&gt;=2,2,1)))))</f>
        <v/>
      </c>
      <c r="L110" s="25"/>
      <c r="M110" s="25"/>
      <c r="N110" s="25"/>
      <c r="O110" s="25"/>
      <c r="P110" s="25"/>
      <c r="Q110" s="25"/>
      <c r="R110" s="25"/>
      <c r="S110" s="40" t="str">
        <f aca="false">IF($A110="","",IF(OR(UPPER($O110)="Y",UPPER($P110)="Y",UPPER($Q110)="Y",UPPER($R110)="Y"),"FAIL","PASS"))</f>
        <v/>
      </c>
      <c r="T110" s="39" t="str">
        <f aca="false">IF(OR($A110="",$C110=""),"",$C110*$B$6+$G110*$B$7+$H110*$B$8+$I110*$B$9)</f>
        <v/>
      </c>
      <c r="U110" s="39" t="str">
        <f aca="false">IF(OR($A110="",$K110=""),"",$K110*$B$13+$L110*$B$14+$M110*$B$15+$N110*$B$16)</f>
        <v/>
      </c>
      <c r="V110" s="39" t="str">
        <f aca="false">IF(OR($T110="",$U110=""),"",$T110*$B$19+$U110*(1-$B$19))</f>
        <v/>
      </c>
      <c r="W110" s="27"/>
      <c r="X110" s="22"/>
      <c r="Y110" s="42" t="str">
        <f aca="false">IF(OR($A110="",$W110=""),"",MAX(0,$W110-MAX($W110*Assumptions!$B$4,Assumptions!$B$5)))</f>
        <v/>
      </c>
      <c r="Z110" s="41" t="str">
        <f aca="false">IF($V110="","",Assumptions!$B$6*MAX(0.05,($V110/Assumptions!$B$11)^Assumptions!$B$12))</f>
        <v/>
      </c>
      <c r="AA110" s="41" t="str">
        <f aca="false">IF($Z110="","",1-(1-$Z110)^Assumptions!$B$7)</f>
        <v/>
      </c>
      <c r="AB110" s="42" t="str">
        <f aca="false">IF(OR($F110="",$AA110="",$AA110=0),"",($F110+$E110*Assumptions!$B$7)/($AA110*(1-Assumptions!$B$4)))</f>
        <v/>
      </c>
      <c r="AC110" s="43" t="str">
        <f aca="false">IF(OR($W110="",$AB110="",$AB110=0),"",$W110/$AB110)</f>
        <v/>
      </c>
      <c r="AD110" s="44" t="str">
        <f aca="false">IF(OR($Y110="",$E110="",$AA110=""),"",MAX(0,$Y110*$AA110-$E110*Assumptions!$B$7))</f>
        <v/>
      </c>
      <c r="AE110" s="44" t="str">
        <f aca="false">IF(OR($AD110="",$F110=""),"",$AD110-$F110)</f>
        <v/>
      </c>
      <c r="AF110" s="40" t="str">
        <f aca="false">IF($A110="","",IF($S110="FAIL","REJECT",IF($D110="","NEEDS PRICE",IF(OR($W110="",$X110=""),"NEEDS VALUATION",IF($AC110&lt;1,"OVERPRICED",IF(AND($AC110&gt;=Assumptions!$B$13,$V110&gt;=4),"BUY",IF($V110&gt;=3.4,"BUY CHEAPER",IF($V110&gt;=2.8,"FLOOR ONLY","SKIP"))))))))</f>
        <v/>
      </c>
      <c r="AG110" s="50" t="str">
        <f aca="false">IF($AF110="","",IF($AF110="REJECT","Do not buy at any price",IF($AF110="NEEDS PRICE","Enter the current closeout price",IF($AF110="NEEDS VALUATION","Enter a valuation AND its source before bidding",IF($AF110="OVERPRICED","Worth less than break-even - walk",IF($AF110="BUY","Take it on day 1 at $11 - will not reach the floor",IF($AF110="BUY CHEAPER","Wait to about $8 (day 3), walk if outbid",IF($AF110="FLOOR ONLY","Only at the $5 floor","Skip"))))))))</f>
        <v/>
      </c>
      <c r="AH110" s="35"/>
    </row>
    <row r="111" customFormat="false" ht="15" hidden="false" customHeight="false" outlineLevel="0" collapsed="false">
      <c r="A111" s="22"/>
      <c r="B111" s="36" t="str">
        <f aca="false">IF($A111="","",IF(ISERROR(FIND(".",$A111)),"",LOWER(MID($A111,FIND(CHAR(1),SUBSTITUTE($A111,".",CHAR(1),LEN($A111)-LEN(SUBSTITUTE($A111,".",""))))+1,LEN($A111)))))</f>
        <v/>
      </c>
      <c r="C111" s="37" t="str">
        <f aca="false">IF($B111="","",IFERROR(INDEX(Rubric!$B$14:$B$23,MATCH($B111,Rubric!$A$14:$A$23,0)),INDEX(Rubric!$B$14:$B$23,MATCH("other",Rubric!$A$14:$A$23,0))))</f>
        <v/>
      </c>
      <c r="D111" s="26"/>
      <c r="E111" s="38" t="str">
        <f aca="false">IF($B111="","",IFERROR(INDEX(Rubric!$C$14:$C$23,MATCH($B111,Rubric!$A$14:$A$23,0)),INDEX(Rubric!$C$14:$C$23,MATCH("other",Rubric!$A$14:$A$23,0))))</f>
        <v/>
      </c>
      <c r="F111" s="44" t="str">
        <f aca="false">IF(OR($A111="",$D111=""),"",$D111+$E111)</f>
        <v/>
      </c>
      <c r="G111" s="25"/>
      <c r="H111" s="25"/>
      <c r="I111" s="25"/>
      <c r="J111" s="25"/>
      <c r="K111" s="39" t="str">
        <f aca="false">IF($J111="","",IF($J111&gt;=15,5,IF($J111&gt;=10,4,IF($J111&gt;=5,3,IF($J111&gt;=2,2,1)))))</f>
        <v/>
      </c>
      <c r="L111" s="25"/>
      <c r="M111" s="25"/>
      <c r="N111" s="25"/>
      <c r="O111" s="25"/>
      <c r="P111" s="25"/>
      <c r="Q111" s="25"/>
      <c r="R111" s="25"/>
      <c r="S111" s="40" t="str">
        <f aca="false">IF($A111="","",IF(OR(UPPER($O111)="Y",UPPER($P111)="Y",UPPER($Q111)="Y",UPPER($R111)="Y"),"FAIL","PASS"))</f>
        <v/>
      </c>
      <c r="T111" s="39" t="str">
        <f aca="false">IF(OR($A111="",$C111=""),"",$C111*$B$6+$G111*$B$7+$H111*$B$8+$I111*$B$9)</f>
        <v/>
      </c>
      <c r="U111" s="39" t="str">
        <f aca="false">IF(OR($A111="",$K111=""),"",$K111*$B$13+$L111*$B$14+$M111*$B$15+$N111*$B$16)</f>
        <v/>
      </c>
      <c r="V111" s="39" t="str">
        <f aca="false">IF(OR($T111="",$U111=""),"",$T111*$B$19+$U111*(1-$B$19))</f>
        <v/>
      </c>
      <c r="W111" s="27"/>
      <c r="X111" s="22"/>
      <c r="Y111" s="42" t="str">
        <f aca="false">IF(OR($A111="",$W111=""),"",MAX(0,$W111-MAX($W111*Assumptions!$B$4,Assumptions!$B$5)))</f>
        <v/>
      </c>
      <c r="Z111" s="41" t="str">
        <f aca="false">IF($V111="","",Assumptions!$B$6*MAX(0.05,($V111/Assumptions!$B$11)^Assumptions!$B$12))</f>
        <v/>
      </c>
      <c r="AA111" s="41" t="str">
        <f aca="false">IF($Z111="","",1-(1-$Z111)^Assumptions!$B$7)</f>
        <v/>
      </c>
      <c r="AB111" s="42" t="str">
        <f aca="false">IF(OR($F111="",$AA111="",$AA111=0),"",($F111+$E111*Assumptions!$B$7)/($AA111*(1-Assumptions!$B$4)))</f>
        <v/>
      </c>
      <c r="AC111" s="43" t="str">
        <f aca="false">IF(OR($W111="",$AB111="",$AB111=0),"",$W111/$AB111)</f>
        <v/>
      </c>
      <c r="AD111" s="44" t="str">
        <f aca="false">IF(OR($Y111="",$E111="",$AA111=""),"",MAX(0,$Y111*$AA111-$E111*Assumptions!$B$7))</f>
        <v/>
      </c>
      <c r="AE111" s="44" t="str">
        <f aca="false">IF(OR($AD111="",$F111=""),"",$AD111-$F111)</f>
        <v/>
      </c>
      <c r="AF111" s="40" t="str">
        <f aca="false">IF($A111="","",IF($S111="FAIL","REJECT",IF($D111="","NEEDS PRICE",IF(OR($W111="",$X111=""),"NEEDS VALUATION",IF($AC111&lt;1,"OVERPRICED",IF(AND($AC111&gt;=Assumptions!$B$13,$V111&gt;=4),"BUY",IF($V111&gt;=3.4,"BUY CHEAPER",IF($V111&gt;=2.8,"FLOOR ONLY","SKIP"))))))))</f>
        <v/>
      </c>
      <c r="AG111" s="50" t="str">
        <f aca="false">IF($AF111="","",IF($AF111="REJECT","Do not buy at any price",IF($AF111="NEEDS PRICE","Enter the current closeout price",IF($AF111="NEEDS VALUATION","Enter a valuation AND its source before bidding",IF($AF111="OVERPRICED","Worth less than break-even - walk",IF($AF111="BUY","Take it on day 1 at $11 - will not reach the floor",IF($AF111="BUY CHEAPER","Wait to about $8 (day 3), walk if outbid",IF($AF111="FLOOR ONLY","Only at the $5 floor","Skip"))))))))</f>
        <v/>
      </c>
      <c r="AH111" s="35"/>
    </row>
    <row r="112" customFormat="false" ht="15" hidden="false" customHeight="false" outlineLevel="0" collapsed="false">
      <c r="A112" s="22"/>
      <c r="B112" s="36" t="str">
        <f aca="false">IF($A112="","",IF(ISERROR(FIND(".",$A112)),"",LOWER(MID($A112,FIND(CHAR(1),SUBSTITUTE($A112,".",CHAR(1),LEN($A112)-LEN(SUBSTITUTE($A112,".",""))))+1,LEN($A112)))))</f>
        <v/>
      </c>
      <c r="C112" s="37" t="str">
        <f aca="false">IF($B112="","",IFERROR(INDEX(Rubric!$B$14:$B$23,MATCH($B112,Rubric!$A$14:$A$23,0)),INDEX(Rubric!$B$14:$B$23,MATCH("other",Rubric!$A$14:$A$23,0))))</f>
        <v/>
      </c>
      <c r="D112" s="26"/>
      <c r="E112" s="38" t="str">
        <f aca="false">IF($B112="","",IFERROR(INDEX(Rubric!$C$14:$C$23,MATCH($B112,Rubric!$A$14:$A$23,0)),INDEX(Rubric!$C$14:$C$23,MATCH("other",Rubric!$A$14:$A$23,0))))</f>
        <v/>
      </c>
      <c r="F112" s="44" t="str">
        <f aca="false">IF(OR($A112="",$D112=""),"",$D112+$E112)</f>
        <v/>
      </c>
      <c r="G112" s="25"/>
      <c r="H112" s="25"/>
      <c r="I112" s="25"/>
      <c r="J112" s="25"/>
      <c r="K112" s="39" t="str">
        <f aca="false">IF($J112="","",IF($J112&gt;=15,5,IF($J112&gt;=10,4,IF($J112&gt;=5,3,IF($J112&gt;=2,2,1)))))</f>
        <v/>
      </c>
      <c r="L112" s="25"/>
      <c r="M112" s="25"/>
      <c r="N112" s="25"/>
      <c r="O112" s="25"/>
      <c r="P112" s="25"/>
      <c r="Q112" s="25"/>
      <c r="R112" s="25"/>
      <c r="S112" s="40" t="str">
        <f aca="false">IF($A112="","",IF(OR(UPPER($O112)="Y",UPPER($P112)="Y",UPPER($Q112)="Y",UPPER($R112)="Y"),"FAIL","PASS"))</f>
        <v/>
      </c>
      <c r="T112" s="39" t="str">
        <f aca="false">IF(OR($A112="",$C112=""),"",$C112*$B$6+$G112*$B$7+$H112*$B$8+$I112*$B$9)</f>
        <v/>
      </c>
      <c r="U112" s="39" t="str">
        <f aca="false">IF(OR($A112="",$K112=""),"",$K112*$B$13+$L112*$B$14+$M112*$B$15+$N112*$B$16)</f>
        <v/>
      </c>
      <c r="V112" s="39" t="str">
        <f aca="false">IF(OR($T112="",$U112=""),"",$T112*$B$19+$U112*(1-$B$19))</f>
        <v/>
      </c>
      <c r="W112" s="27"/>
      <c r="X112" s="22"/>
      <c r="Y112" s="42" t="str">
        <f aca="false">IF(OR($A112="",$W112=""),"",MAX(0,$W112-MAX($W112*Assumptions!$B$4,Assumptions!$B$5)))</f>
        <v/>
      </c>
      <c r="Z112" s="41" t="str">
        <f aca="false">IF($V112="","",Assumptions!$B$6*MAX(0.05,($V112/Assumptions!$B$11)^Assumptions!$B$12))</f>
        <v/>
      </c>
      <c r="AA112" s="41" t="str">
        <f aca="false">IF($Z112="","",1-(1-$Z112)^Assumptions!$B$7)</f>
        <v/>
      </c>
      <c r="AB112" s="42" t="str">
        <f aca="false">IF(OR($F112="",$AA112="",$AA112=0),"",($F112+$E112*Assumptions!$B$7)/($AA112*(1-Assumptions!$B$4)))</f>
        <v/>
      </c>
      <c r="AC112" s="43" t="str">
        <f aca="false">IF(OR($W112="",$AB112="",$AB112=0),"",$W112/$AB112)</f>
        <v/>
      </c>
      <c r="AD112" s="44" t="str">
        <f aca="false">IF(OR($Y112="",$E112="",$AA112=""),"",MAX(0,$Y112*$AA112-$E112*Assumptions!$B$7))</f>
        <v/>
      </c>
      <c r="AE112" s="44" t="str">
        <f aca="false">IF(OR($AD112="",$F112=""),"",$AD112-$F112)</f>
        <v/>
      </c>
      <c r="AF112" s="40" t="str">
        <f aca="false">IF($A112="","",IF($S112="FAIL","REJECT",IF($D112="","NEEDS PRICE",IF(OR($W112="",$X112=""),"NEEDS VALUATION",IF($AC112&lt;1,"OVERPRICED",IF(AND($AC112&gt;=Assumptions!$B$13,$V112&gt;=4),"BUY",IF($V112&gt;=3.4,"BUY CHEAPER",IF($V112&gt;=2.8,"FLOOR ONLY","SKIP"))))))))</f>
        <v/>
      </c>
      <c r="AG112" s="50" t="str">
        <f aca="false">IF($AF112="","",IF($AF112="REJECT","Do not buy at any price",IF($AF112="NEEDS PRICE","Enter the current closeout price",IF($AF112="NEEDS VALUATION","Enter a valuation AND its source before bidding",IF($AF112="OVERPRICED","Worth less than break-even - walk",IF($AF112="BUY","Take it on day 1 at $11 - will not reach the floor",IF($AF112="BUY CHEAPER","Wait to about $8 (day 3), walk if outbid",IF($AF112="FLOOR ONLY","Only at the $5 floor","Skip"))))))))</f>
        <v/>
      </c>
      <c r="AH112" s="35"/>
    </row>
    <row r="113" customFormat="false" ht="15" hidden="false" customHeight="false" outlineLevel="0" collapsed="false">
      <c r="A113" s="22"/>
      <c r="B113" s="36" t="str">
        <f aca="false">IF($A113="","",IF(ISERROR(FIND(".",$A113)),"",LOWER(MID($A113,FIND(CHAR(1),SUBSTITUTE($A113,".",CHAR(1),LEN($A113)-LEN(SUBSTITUTE($A113,".",""))))+1,LEN($A113)))))</f>
        <v/>
      </c>
      <c r="C113" s="37" t="str">
        <f aca="false">IF($B113="","",IFERROR(INDEX(Rubric!$B$14:$B$23,MATCH($B113,Rubric!$A$14:$A$23,0)),INDEX(Rubric!$B$14:$B$23,MATCH("other",Rubric!$A$14:$A$23,0))))</f>
        <v/>
      </c>
      <c r="D113" s="26"/>
      <c r="E113" s="38" t="str">
        <f aca="false">IF($B113="","",IFERROR(INDEX(Rubric!$C$14:$C$23,MATCH($B113,Rubric!$A$14:$A$23,0)),INDEX(Rubric!$C$14:$C$23,MATCH("other",Rubric!$A$14:$A$23,0))))</f>
        <v/>
      </c>
      <c r="F113" s="44" t="str">
        <f aca="false">IF(OR($A113="",$D113=""),"",$D113+$E113)</f>
        <v/>
      </c>
      <c r="G113" s="25"/>
      <c r="H113" s="25"/>
      <c r="I113" s="25"/>
      <c r="J113" s="25"/>
      <c r="K113" s="39" t="str">
        <f aca="false">IF($J113="","",IF($J113&gt;=15,5,IF($J113&gt;=10,4,IF($J113&gt;=5,3,IF($J113&gt;=2,2,1)))))</f>
        <v/>
      </c>
      <c r="L113" s="25"/>
      <c r="M113" s="25"/>
      <c r="N113" s="25"/>
      <c r="O113" s="25"/>
      <c r="P113" s="25"/>
      <c r="Q113" s="25"/>
      <c r="R113" s="25"/>
      <c r="S113" s="40" t="str">
        <f aca="false">IF($A113="","",IF(OR(UPPER($O113)="Y",UPPER($P113)="Y",UPPER($Q113)="Y",UPPER($R113)="Y"),"FAIL","PASS"))</f>
        <v/>
      </c>
      <c r="T113" s="39" t="str">
        <f aca="false">IF(OR($A113="",$C113=""),"",$C113*$B$6+$G113*$B$7+$H113*$B$8+$I113*$B$9)</f>
        <v/>
      </c>
      <c r="U113" s="39" t="str">
        <f aca="false">IF(OR($A113="",$K113=""),"",$K113*$B$13+$L113*$B$14+$M113*$B$15+$N113*$B$16)</f>
        <v/>
      </c>
      <c r="V113" s="39" t="str">
        <f aca="false">IF(OR($T113="",$U113=""),"",$T113*$B$19+$U113*(1-$B$19))</f>
        <v/>
      </c>
      <c r="W113" s="27"/>
      <c r="X113" s="22"/>
      <c r="Y113" s="42" t="str">
        <f aca="false">IF(OR($A113="",$W113=""),"",MAX(0,$W113-MAX($W113*Assumptions!$B$4,Assumptions!$B$5)))</f>
        <v/>
      </c>
      <c r="Z113" s="41" t="str">
        <f aca="false">IF($V113="","",Assumptions!$B$6*MAX(0.05,($V113/Assumptions!$B$11)^Assumptions!$B$12))</f>
        <v/>
      </c>
      <c r="AA113" s="41" t="str">
        <f aca="false">IF($Z113="","",1-(1-$Z113)^Assumptions!$B$7)</f>
        <v/>
      </c>
      <c r="AB113" s="42" t="str">
        <f aca="false">IF(OR($F113="",$AA113="",$AA113=0),"",($F113+$E113*Assumptions!$B$7)/($AA113*(1-Assumptions!$B$4)))</f>
        <v/>
      </c>
      <c r="AC113" s="43" t="str">
        <f aca="false">IF(OR($W113="",$AB113="",$AB113=0),"",$W113/$AB113)</f>
        <v/>
      </c>
      <c r="AD113" s="44" t="str">
        <f aca="false">IF(OR($Y113="",$E113="",$AA113=""),"",MAX(0,$Y113*$AA113-$E113*Assumptions!$B$7))</f>
        <v/>
      </c>
      <c r="AE113" s="44" t="str">
        <f aca="false">IF(OR($AD113="",$F113=""),"",$AD113-$F113)</f>
        <v/>
      </c>
      <c r="AF113" s="40" t="str">
        <f aca="false">IF($A113="","",IF($S113="FAIL","REJECT",IF($D113="","NEEDS PRICE",IF(OR($W113="",$X113=""),"NEEDS VALUATION",IF($AC113&lt;1,"OVERPRICED",IF(AND($AC113&gt;=Assumptions!$B$13,$V113&gt;=4),"BUY",IF($V113&gt;=3.4,"BUY CHEAPER",IF($V113&gt;=2.8,"FLOOR ONLY","SKIP"))))))))</f>
        <v/>
      </c>
      <c r="AG113" s="50" t="str">
        <f aca="false">IF($AF113="","",IF($AF113="REJECT","Do not buy at any price",IF($AF113="NEEDS PRICE","Enter the current closeout price",IF($AF113="NEEDS VALUATION","Enter a valuation AND its source before bidding",IF($AF113="OVERPRICED","Worth less than break-even - walk",IF($AF113="BUY","Take it on day 1 at $11 - will not reach the floor",IF($AF113="BUY CHEAPER","Wait to about $8 (day 3), walk if outbid",IF($AF113="FLOOR ONLY","Only at the $5 floor","Skip"))))))))</f>
        <v/>
      </c>
      <c r="AH113" s="35"/>
    </row>
    <row r="114" customFormat="false" ht="15" hidden="false" customHeight="false" outlineLevel="0" collapsed="false">
      <c r="A114" s="22"/>
      <c r="B114" s="36" t="str">
        <f aca="false">IF($A114="","",IF(ISERROR(FIND(".",$A114)),"",LOWER(MID($A114,FIND(CHAR(1),SUBSTITUTE($A114,".",CHAR(1),LEN($A114)-LEN(SUBSTITUTE($A114,".",""))))+1,LEN($A114)))))</f>
        <v/>
      </c>
      <c r="C114" s="37" t="str">
        <f aca="false">IF($B114="","",IFERROR(INDEX(Rubric!$B$14:$B$23,MATCH($B114,Rubric!$A$14:$A$23,0)),INDEX(Rubric!$B$14:$B$23,MATCH("other",Rubric!$A$14:$A$23,0))))</f>
        <v/>
      </c>
      <c r="D114" s="26"/>
      <c r="E114" s="38" t="str">
        <f aca="false">IF($B114="","",IFERROR(INDEX(Rubric!$C$14:$C$23,MATCH($B114,Rubric!$A$14:$A$23,0)),INDEX(Rubric!$C$14:$C$23,MATCH("other",Rubric!$A$14:$A$23,0))))</f>
        <v/>
      </c>
      <c r="F114" s="44" t="str">
        <f aca="false">IF(OR($A114="",$D114=""),"",$D114+$E114)</f>
        <v/>
      </c>
      <c r="G114" s="25"/>
      <c r="H114" s="25"/>
      <c r="I114" s="25"/>
      <c r="J114" s="25"/>
      <c r="K114" s="39" t="str">
        <f aca="false">IF($J114="","",IF($J114&gt;=15,5,IF($J114&gt;=10,4,IF($J114&gt;=5,3,IF($J114&gt;=2,2,1)))))</f>
        <v/>
      </c>
      <c r="L114" s="25"/>
      <c r="M114" s="25"/>
      <c r="N114" s="25"/>
      <c r="O114" s="25"/>
      <c r="P114" s="25"/>
      <c r="Q114" s="25"/>
      <c r="R114" s="25"/>
      <c r="S114" s="40" t="str">
        <f aca="false">IF($A114="","",IF(OR(UPPER($O114)="Y",UPPER($P114)="Y",UPPER($Q114)="Y",UPPER($R114)="Y"),"FAIL","PASS"))</f>
        <v/>
      </c>
      <c r="T114" s="39" t="str">
        <f aca="false">IF(OR($A114="",$C114=""),"",$C114*$B$6+$G114*$B$7+$H114*$B$8+$I114*$B$9)</f>
        <v/>
      </c>
      <c r="U114" s="39" t="str">
        <f aca="false">IF(OR($A114="",$K114=""),"",$K114*$B$13+$L114*$B$14+$M114*$B$15+$N114*$B$16)</f>
        <v/>
      </c>
      <c r="V114" s="39" t="str">
        <f aca="false">IF(OR($T114="",$U114=""),"",$T114*$B$19+$U114*(1-$B$19))</f>
        <v/>
      </c>
      <c r="W114" s="27"/>
      <c r="X114" s="22"/>
      <c r="Y114" s="42" t="str">
        <f aca="false">IF(OR($A114="",$W114=""),"",MAX(0,$W114-MAX($W114*Assumptions!$B$4,Assumptions!$B$5)))</f>
        <v/>
      </c>
      <c r="Z114" s="41" t="str">
        <f aca="false">IF($V114="","",Assumptions!$B$6*MAX(0.05,($V114/Assumptions!$B$11)^Assumptions!$B$12))</f>
        <v/>
      </c>
      <c r="AA114" s="41" t="str">
        <f aca="false">IF($Z114="","",1-(1-$Z114)^Assumptions!$B$7)</f>
        <v/>
      </c>
      <c r="AB114" s="42" t="str">
        <f aca="false">IF(OR($F114="",$AA114="",$AA114=0),"",($F114+$E114*Assumptions!$B$7)/($AA114*(1-Assumptions!$B$4)))</f>
        <v/>
      </c>
      <c r="AC114" s="43" t="str">
        <f aca="false">IF(OR($W114="",$AB114="",$AB114=0),"",$W114/$AB114)</f>
        <v/>
      </c>
      <c r="AD114" s="44" t="str">
        <f aca="false">IF(OR($Y114="",$E114="",$AA114=""),"",MAX(0,$Y114*$AA114-$E114*Assumptions!$B$7))</f>
        <v/>
      </c>
      <c r="AE114" s="44" t="str">
        <f aca="false">IF(OR($AD114="",$F114=""),"",$AD114-$F114)</f>
        <v/>
      </c>
      <c r="AF114" s="40" t="str">
        <f aca="false">IF($A114="","",IF($S114="FAIL","REJECT",IF($D114="","NEEDS PRICE",IF(OR($W114="",$X114=""),"NEEDS VALUATION",IF($AC114&lt;1,"OVERPRICED",IF(AND($AC114&gt;=Assumptions!$B$13,$V114&gt;=4),"BUY",IF($V114&gt;=3.4,"BUY CHEAPER",IF($V114&gt;=2.8,"FLOOR ONLY","SKIP"))))))))</f>
        <v/>
      </c>
      <c r="AG114" s="50" t="str">
        <f aca="false">IF($AF114="","",IF($AF114="REJECT","Do not buy at any price",IF($AF114="NEEDS PRICE","Enter the current closeout price",IF($AF114="NEEDS VALUATION","Enter a valuation AND its source before bidding",IF($AF114="OVERPRICED","Worth less than break-even - walk",IF($AF114="BUY","Take it on day 1 at $11 - will not reach the floor",IF($AF114="BUY CHEAPER","Wait to about $8 (day 3), walk if outbid",IF($AF114="FLOOR ONLY","Only at the $5 floor","Skip"))))))))</f>
        <v/>
      </c>
      <c r="AH114" s="35"/>
    </row>
    <row r="115" customFormat="false" ht="15" hidden="false" customHeight="false" outlineLevel="0" collapsed="false">
      <c r="A115" s="22"/>
      <c r="B115" s="36" t="str">
        <f aca="false">IF($A115="","",IF(ISERROR(FIND(".",$A115)),"",LOWER(MID($A115,FIND(CHAR(1),SUBSTITUTE($A115,".",CHAR(1),LEN($A115)-LEN(SUBSTITUTE($A115,".",""))))+1,LEN($A115)))))</f>
        <v/>
      </c>
      <c r="C115" s="37" t="str">
        <f aca="false">IF($B115="","",IFERROR(INDEX(Rubric!$B$14:$B$23,MATCH($B115,Rubric!$A$14:$A$23,0)),INDEX(Rubric!$B$14:$B$23,MATCH("other",Rubric!$A$14:$A$23,0))))</f>
        <v/>
      </c>
      <c r="D115" s="26"/>
      <c r="E115" s="38" t="str">
        <f aca="false">IF($B115="","",IFERROR(INDEX(Rubric!$C$14:$C$23,MATCH($B115,Rubric!$A$14:$A$23,0)),INDEX(Rubric!$C$14:$C$23,MATCH("other",Rubric!$A$14:$A$23,0))))</f>
        <v/>
      </c>
      <c r="F115" s="44" t="str">
        <f aca="false">IF(OR($A115="",$D115=""),"",$D115+$E115)</f>
        <v/>
      </c>
      <c r="G115" s="25"/>
      <c r="H115" s="25"/>
      <c r="I115" s="25"/>
      <c r="J115" s="25"/>
      <c r="K115" s="39" t="str">
        <f aca="false">IF($J115="","",IF($J115&gt;=15,5,IF($J115&gt;=10,4,IF($J115&gt;=5,3,IF($J115&gt;=2,2,1)))))</f>
        <v/>
      </c>
      <c r="L115" s="25"/>
      <c r="M115" s="25"/>
      <c r="N115" s="25"/>
      <c r="O115" s="25"/>
      <c r="P115" s="25"/>
      <c r="Q115" s="25"/>
      <c r="R115" s="25"/>
      <c r="S115" s="40" t="str">
        <f aca="false">IF($A115="","",IF(OR(UPPER($O115)="Y",UPPER($P115)="Y",UPPER($Q115)="Y",UPPER($R115)="Y"),"FAIL","PASS"))</f>
        <v/>
      </c>
      <c r="T115" s="39" t="str">
        <f aca="false">IF(OR($A115="",$C115=""),"",$C115*$B$6+$G115*$B$7+$H115*$B$8+$I115*$B$9)</f>
        <v/>
      </c>
      <c r="U115" s="39" t="str">
        <f aca="false">IF(OR($A115="",$K115=""),"",$K115*$B$13+$L115*$B$14+$M115*$B$15+$N115*$B$16)</f>
        <v/>
      </c>
      <c r="V115" s="39" t="str">
        <f aca="false">IF(OR($T115="",$U115=""),"",$T115*$B$19+$U115*(1-$B$19))</f>
        <v/>
      </c>
      <c r="W115" s="27"/>
      <c r="X115" s="22"/>
      <c r="Y115" s="42" t="str">
        <f aca="false">IF(OR($A115="",$W115=""),"",MAX(0,$W115-MAX($W115*Assumptions!$B$4,Assumptions!$B$5)))</f>
        <v/>
      </c>
      <c r="Z115" s="41" t="str">
        <f aca="false">IF($V115="","",Assumptions!$B$6*MAX(0.05,($V115/Assumptions!$B$11)^Assumptions!$B$12))</f>
        <v/>
      </c>
      <c r="AA115" s="41" t="str">
        <f aca="false">IF($Z115="","",1-(1-$Z115)^Assumptions!$B$7)</f>
        <v/>
      </c>
      <c r="AB115" s="42" t="str">
        <f aca="false">IF(OR($F115="",$AA115="",$AA115=0),"",($F115+$E115*Assumptions!$B$7)/($AA115*(1-Assumptions!$B$4)))</f>
        <v/>
      </c>
      <c r="AC115" s="43" t="str">
        <f aca="false">IF(OR($W115="",$AB115="",$AB115=0),"",$W115/$AB115)</f>
        <v/>
      </c>
      <c r="AD115" s="44" t="str">
        <f aca="false">IF(OR($Y115="",$E115="",$AA115=""),"",MAX(0,$Y115*$AA115-$E115*Assumptions!$B$7))</f>
        <v/>
      </c>
      <c r="AE115" s="44" t="str">
        <f aca="false">IF(OR($AD115="",$F115=""),"",$AD115-$F115)</f>
        <v/>
      </c>
      <c r="AF115" s="40" t="str">
        <f aca="false">IF($A115="","",IF($S115="FAIL","REJECT",IF($D115="","NEEDS PRICE",IF(OR($W115="",$X115=""),"NEEDS VALUATION",IF($AC115&lt;1,"OVERPRICED",IF(AND($AC115&gt;=Assumptions!$B$13,$V115&gt;=4),"BUY",IF($V115&gt;=3.4,"BUY CHEAPER",IF($V115&gt;=2.8,"FLOOR ONLY","SKIP"))))))))</f>
        <v/>
      </c>
      <c r="AG115" s="50" t="str">
        <f aca="false">IF($AF115="","",IF($AF115="REJECT","Do not buy at any price",IF($AF115="NEEDS PRICE","Enter the current closeout price",IF($AF115="NEEDS VALUATION","Enter a valuation AND its source before bidding",IF($AF115="OVERPRICED","Worth less than break-even - walk",IF($AF115="BUY","Take it on day 1 at $11 - will not reach the floor",IF($AF115="BUY CHEAPER","Wait to about $8 (day 3), walk if outbid",IF($AF115="FLOOR ONLY","Only at the $5 floor","Skip"))))))))</f>
        <v/>
      </c>
      <c r="AH115" s="35"/>
    </row>
    <row r="116" customFormat="false" ht="15" hidden="false" customHeight="false" outlineLevel="0" collapsed="false">
      <c r="A116" s="22"/>
      <c r="B116" s="36" t="str">
        <f aca="false">IF($A116="","",IF(ISERROR(FIND(".",$A116)),"",LOWER(MID($A116,FIND(CHAR(1),SUBSTITUTE($A116,".",CHAR(1),LEN($A116)-LEN(SUBSTITUTE($A116,".",""))))+1,LEN($A116)))))</f>
        <v/>
      </c>
      <c r="C116" s="37" t="str">
        <f aca="false">IF($B116="","",IFERROR(INDEX(Rubric!$B$14:$B$23,MATCH($B116,Rubric!$A$14:$A$23,0)),INDEX(Rubric!$B$14:$B$23,MATCH("other",Rubric!$A$14:$A$23,0))))</f>
        <v/>
      </c>
      <c r="D116" s="26"/>
      <c r="E116" s="38" t="str">
        <f aca="false">IF($B116="","",IFERROR(INDEX(Rubric!$C$14:$C$23,MATCH($B116,Rubric!$A$14:$A$23,0)),INDEX(Rubric!$C$14:$C$23,MATCH("other",Rubric!$A$14:$A$23,0))))</f>
        <v/>
      </c>
      <c r="F116" s="44" t="str">
        <f aca="false">IF(OR($A116="",$D116=""),"",$D116+$E116)</f>
        <v/>
      </c>
      <c r="G116" s="25"/>
      <c r="H116" s="25"/>
      <c r="I116" s="25"/>
      <c r="J116" s="25"/>
      <c r="K116" s="39" t="str">
        <f aca="false">IF($J116="","",IF($J116&gt;=15,5,IF($J116&gt;=10,4,IF($J116&gt;=5,3,IF($J116&gt;=2,2,1)))))</f>
        <v/>
      </c>
      <c r="L116" s="25"/>
      <c r="M116" s="25"/>
      <c r="N116" s="25"/>
      <c r="O116" s="25"/>
      <c r="P116" s="25"/>
      <c r="Q116" s="25"/>
      <c r="R116" s="25"/>
      <c r="S116" s="40" t="str">
        <f aca="false">IF($A116="","",IF(OR(UPPER($O116)="Y",UPPER($P116)="Y",UPPER($Q116)="Y",UPPER($R116)="Y"),"FAIL","PASS"))</f>
        <v/>
      </c>
      <c r="T116" s="39" t="str">
        <f aca="false">IF(OR($A116="",$C116=""),"",$C116*$B$6+$G116*$B$7+$H116*$B$8+$I116*$B$9)</f>
        <v/>
      </c>
      <c r="U116" s="39" t="str">
        <f aca="false">IF(OR($A116="",$K116=""),"",$K116*$B$13+$L116*$B$14+$M116*$B$15+$N116*$B$16)</f>
        <v/>
      </c>
      <c r="V116" s="39" t="str">
        <f aca="false">IF(OR($T116="",$U116=""),"",$T116*$B$19+$U116*(1-$B$19))</f>
        <v/>
      </c>
      <c r="W116" s="27"/>
      <c r="X116" s="22"/>
      <c r="Y116" s="42" t="str">
        <f aca="false">IF(OR($A116="",$W116=""),"",MAX(0,$W116-MAX($W116*Assumptions!$B$4,Assumptions!$B$5)))</f>
        <v/>
      </c>
      <c r="Z116" s="41" t="str">
        <f aca="false">IF($V116="","",Assumptions!$B$6*MAX(0.05,($V116/Assumptions!$B$11)^Assumptions!$B$12))</f>
        <v/>
      </c>
      <c r="AA116" s="41" t="str">
        <f aca="false">IF($Z116="","",1-(1-$Z116)^Assumptions!$B$7)</f>
        <v/>
      </c>
      <c r="AB116" s="42" t="str">
        <f aca="false">IF(OR($F116="",$AA116="",$AA116=0),"",($F116+$E116*Assumptions!$B$7)/($AA116*(1-Assumptions!$B$4)))</f>
        <v/>
      </c>
      <c r="AC116" s="43" t="str">
        <f aca="false">IF(OR($W116="",$AB116="",$AB116=0),"",$W116/$AB116)</f>
        <v/>
      </c>
      <c r="AD116" s="44" t="str">
        <f aca="false">IF(OR($Y116="",$E116="",$AA116=""),"",MAX(0,$Y116*$AA116-$E116*Assumptions!$B$7))</f>
        <v/>
      </c>
      <c r="AE116" s="44" t="str">
        <f aca="false">IF(OR($AD116="",$F116=""),"",$AD116-$F116)</f>
        <v/>
      </c>
      <c r="AF116" s="40" t="str">
        <f aca="false">IF($A116="","",IF($S116="FAIL","REJECT",IF($D116="","NEEDS PRICE",IF(OR($W116="",$X116=""),"NEEDS VALUATION",IF($AC116&lt;1,"OVERPRICED",IF(AND($AC116&gt;=Assumptions!$B$13,$V116&gt;=4),"BUY",IF($V116&gt;=3.4,"BUY CHEAPER",IF($V116&gt;=2.8,"FLOOR ONLY","SKIP"))))))))</f>
        <v/>
      </c>
      <c r="AG116" s="50" t="str">
        <f aca="false">IF($AF116="","",IF($AF116="REJECT","Do not buy at any price",IF($AF116="NEEDS PRICE","Enter the current closeout price",IF($AF116="NEEDS VALUATION","Enter a valuation AND its source before bidding",IF($AF116="OVERPRICED","Worth less than break-even - walk",IF($AF116="BUY","Take it on day 1 at $11 - will not reach the floor",IF($AF116="BUY CHEAPER","Wait to about $8 (day 3), walk if outbid",IF($AF116="FLOOR ONLY","Only at the $5 floor","Skip"))))))))</f>
        <v/>
      </c>
      <c r="AH116" s="35"/>
    </row>
    <row r="117" customFormat="false" ht="15" hidden="false" customHeight="false" outlineLevel="0" collapsed="false">
      <c r="A117" s="22"/>
      <c r="B117" s="36" t="str">
        <f aca="false">IF($A117="","",IF(ISERROR(FIND(".",$A117)),"",LOWER(MID($A117,FIND(CHAR(1),SUBSTITUTE($A117,".",CHAR(1),LEN($A117)-LEN(SUBSTITUTE($A117,".",""))))+1,LEN($A117)))))</f>
        <v/>
      </c>
      <c r="C117" s="37" t="str">
        <f aca="false">IF($B117="","",IFERROR(INDEX(Rubric!$B$14:$B$23,MATCH($B117,Rubric!$A$14:$A$23,0)),INDEX(Rubric!$B$14:$B$23,MATCH("other",Rubric!$A$14:$A$23,0))))</f>
        <v/>
      </c>
      <c r="D117" s="26"/>
      <c r="E117" s="38" t="str">
        <f aca="false">IF($B117="","",IFERROR(INDEX(Rubric!$C$14:$C$23,MATCH($B117,Rubric!$A$14:$A$23,0)),INDEX(Rubric!$C$14:$C$23,MATCH("other",Rubric!$A$14:$A$23,0))))</f>
        <v/>
      </c>
      <c r="F117" s="44" t="str">
        <f aca="false">IF(OR($A117="",$D117=""),"",$D117+$E117)</f>
        <v/>
      </c>
      <c r="G117" s="25"/>
      <c r="H117" s="25"/>
      <c r="I117" s="25"/>
      <c r="J117" s="25"/>
      <c r="K117" s="39" t="str">
        <f aca="false">IF($J117="","",IF($J117&gt;=15,5,IF($J117&gt;=10,4,IF($J117&gt;=5,3,IF($J117&gt;=2,2,1)))))</f>
        <v/>
      </c>
      <c r="L117" s="25"/>
      <c r="M117" s="25"/>
      <c r="N117" s="25"/>
      <c r="O117" s="25"/>
      <c r="P117" s="25"/>
      <c r="Q117" s="25"/>
      <c r="R117" s="25"/>
      <c r="S117" s="40" t="str">
        <f aca="false">IF($A117="","",IF(OR(UPPER($O117)="Y",UPPER($P117)="Y",UPPER($Q117)="Y",UPPER($R117)="Y"),"FAIL","PASS"))</f>
        <v/>
      </c>
      <c r="T117" s="39" t="str">
        <f aca="false">IF(OR($A117="",$C117=""),"",$C117*$B$6+$G117*$B$7+$H117*$B$8+$I117*$B$9)</f>
        <v/>
      </c>
      <c r="U117" s="39" t="str">
        <f aca="false">IF(OR($A117="",$K117=""),"",$K117*$B$13+$L117*$B$14+$M117*$B$15+$N117*$B$16)</f>
        <v/>
      </c>
      <c r="V117" s="39" t="str">
        <f aca="false">IF(OR($T117="",$U117=""),"",$T117*$B$19+$U117*(1-$B$19))</f>
        <v/>
      </c>
      <c r="W117" s="27"/>
      <c r="X117" s="22"/>
      <c r="Y117" s="42" t="str">
        <f aca="false">IF(OR($A117="",$W117=""),"",MAX(0,$W117-MAX($W117*Assumptions!$B$4,Assumptions!$B$5)))</f>
        <v/>
      </c>
      <c r="Z117" s="41" t="str">
        <f aca="false">IF($V117="","",Assumptions!$B$6*MAX(0.05,($V117/Assumptions!$B$11)^Assumptions!$B$12))</f>
        <v/>
      </c>
      <c r="AA117" s="41" t="str">
        <f aca="false">IF($Z117="","",1-(1-$Z117)^Assumptions!$B$7)</f>
        <v/>
      </c>
      <c r="AB117" s="42" t="str">
        <f aca="false">IF(OR($F117="",$AA117="",$AA117=0),"",($F117+$E117*Assumptions!$B$7)/($AA117*(1-Assumptions!$B$4)))</f>
        <v/>
      </c>
      <c r="AC117" s="43" t="str">
        <f aca="false">IF(OR($W117="",$AB117="",$AB117=0),"",$W117/$AB117)</f>
        <v/>
      </c>
      <c r="AD117" s="44" t="str">
        <f aca="false">IF(OR($Y117="",$E117="",$AA117=""),"",MAX(0,$Y117*$AA117-$E117*Assumptions!$B$7))</f>
        <v/>
      </c>
      <c r="AE117" s="44" t="str">
        <f aca="false">IF(OR($AD117="",$F117=""),"",$AD117-$F117)</f>
        <v/>
      </c>
      <c r="AF117" s="40" t="str">
        <f aca="false">IF($A117="","",IF($S117="FAIL","REJECT",IF($D117="","NEEDS PRICE",IF(OR($W117="",$X117=""),"NEEDS VALUATION",IF($AC117&lt;1,"OVERPRICED",IF(AND($AC117&gt;=Assumptions!$B$13,$V117&gt;=4),"BUY",IF($V117&gt;=3.4,"BUY CHEAPER",IF($V117&gt;=2.8,"FLOOR ONLY","SKIP"))))))))</f>
        <v/>
      </c>
      <c r="AG117" s="50" t="str">
        <f aca="false">IF($AF117="","",IF($AF117="REJECT","Do not buy at any price",IF($AF117="NEEDS PRICE","Enter the current closeout price",IF($AF117="NEEDS VALUATION","Enter a valuation AND its source before bidding",IF($AF117="OVERPRICED","Worth less than break-even - walk",IF($AF117="BUY","Take it on day 1 at $11 - will not reach the floor",IF($AF117="BUY CHEAPER","Wait to about $8 (day 3), walk if outbid",IF($AF117="FLOOR ONLY","Only at the $5 floor","Skip"))))))))</f>
        <v/>
      </c>
      <c r="AH117" s="35"/>
    </row>
    <row r="118" customFormat="false" ht="15" hidden="false" customHeight="false" outlineLevel="0" collapsed="false">
      <c r="A118" s="22"/>
      <c r="B118" s="36" t="str">
        <f aca="false">IF($A118="","",IF(ISERROR(FIND(".",$A118)),"",LOWER(MID($A118,FIND(CHAR(1),SUBSTITUTE($A118,".",CHAR(1),LEN($A118)-LEN(SUBSTITUTE($A118,".",""))))+1,LEN($A118)))))</f>
        <v/>
      </c>
      <c r="C118" s="37" t="str">
        <f aca="false">IF($B118="","",IFERROR(INDEX(Rubric!$B$14:$B$23,MATCH($B118,Rubric!$A$14:$A$23,0)),INDEX(Rubric!$B$14:$B$23,MATCH("other",Rubric!$A$14:$A$23,0))))</f>
        <v/>
      </c>
      <c r="D118" s="26"/>
      <c r="E118" s="38" t="str">
        <f aca="false">IF($B118="","",IFERROR(INDEX(Rubric!$C$14:$C$23,MATCH($B118,Rubric!$A$14:$A$23,0)),INDEX(Rubric!$C$14:$C$23,MATCH("other",Rubric!$A$14:$A$23,0))))</f>
        <v/>
      </c>
      <c r="F118" s="44" t="str">
        <f aca="false">IF(OR($A118="",$D118=""),"",$D118+$E118)</f>
        <v/>
      </c>
      <c r="G118" s="25"/>
      <c r="H118" s="25"/>
      <c r="I118" s="25"/>
      <c r="J118" s="25"/>
      <c r="K118" s="39" t="str">
        <f aca="false">IF($J118="","",IF($J118&gt;=15,5,IF($J118&gt;=10,4,IF($J118&gt;=5,3,IF($J118&gt;=2,2,1)))))</f>
        <v/>
      </c>
      <c r="L118" s="25"/>
      <c r="M118" s="25"/>
      <c r="N118" s="25"/>
      <c r="O118" s="25"/>
      <c r="P118" s="25"/>
      <c r="Q118" s="25"/>
      <c r="R118" s="25"/>
      <c r="S118" s="40" t="str">
        <f aca="false">IF($A118="","",IF(OR(UPPER($O118)="Y",UPPER($P118)="Y",UPPER($Q118)="Y",UPPER($R118)="Y"),"FAIL","PASS"))</f>
        <v/>
      </c>
      <c r="T118" s="39" t="str">
        <f aca="false">IF(OR($A118="",$C118=""),"",$C118*$B$6+$G118*$B$7+$H118*$B$8+$I118*$B$9)</f>
        <v/>
      </c>
      <c r="U118" s="39" t="str">
        <f aca="false">IF(OR($A118="",$K118=""),"",$K118*$B$13+$L118*$B$14+$M118*$B$15+$N118*$B$16)</f>
        <v/>
      </c>
      <c r="V118" s="39" t="str">
        <f aca="false">IF(OR($T118="",$U118=""),"",$T118*$B$19+$U118*(1-$B$19))</f>
        <v/>
      </c>
      <c r="W118" s="27"/>
      <c r="X118" s="22"/>
      <c r="Y118" s="42" t="str">
        <f aca="false">IF(OR($A118="",$W118=""),"",MAX(0,$W118-MAX($W118*Assumptions!$B$4,Assumptions!$B$5)))</f>
        <v/>
      </c>
      <c r="Z118" s="41" t="str">
        <f aca="false">IF($V118="","",Assumptions!$B$6*MAX(0.05,($V118/Assumptions!$B$11)^Assumptions!$B$12))</f>
        <v/>
      </c>
      <c r="AA118" s="41" t="str">
        <f aca="false">IF($Z118="","",1-(1-$Z118)^Assumptions!$B$7)</f>
        <v/>
      </c>
      <c r="AB118" s="42" t="str">
        <f aca="false">IF(OR($F118="",$AA118="",$AA118=0),"",($F118+$E118*Assumptions!$B$7)/($AA118*(1-Assumptions!$B$4)))</f>
        <v/>
      </c>
      <c r="AC118" s="43" t="str">
        <f aca="false">IF(OR($W118="",$AB118="",$AB118=0),"",$W118/$AB118)</f>
        <v/>
      </c>
      <c r="AD118" s="44" t="str">
        <f aca="false">IF(OR($Y118="",$E118="",$AA118=""),"",MAX(0,$Y118*$AA118-$E118*Assumptions!$B$7))</f>
        <v/>
      </c>
      <c r="AE118" s="44" t="str">
        <f aca="false">IF(OR($AD118="",$F118=""),"",$AD118-$F118)</f>
        <v/>
      </c>
      <c r="AF118" s="40" t="str">
        <f aca="false">IF($A118="","",IF($S118="FAIL","REJECT",IF($D118="","NEEDS PRICE",IF(OR($W118="",$X118=""),"NEEDS VALUATION",IF($AC118&lt;1,"OVERPRICED",IF(AND($AC118&gt;=Assumptions!$B$13,$V118&gt;=4),"BUY",IF($V118&gt;=3.4,"BUY CHEAPER",IF($V118&gt;=2.8,"FLOOR ONLY","SKIP"))))))))</f>
        <v/>
      </c>
      <c r="AG118" s="50" t="str">
        <f aca="false">IF($AF118="","",IF($AF118="REJECT","Do not buy at any price",IF($AF118="NEEDS PRICE","Enter the current closeout price",IF($AF118="NEEDS VALUATION","Enter a valuation AND its source before bidding",IF($AF118="OVERPRICED","Worth less than break-even - walk",IF($AF118="BUY","Take it on day 1 at $11 - will not reach the floor",IF($AF118="BUY CHEAPER","Wait to about $8 (day 3), walk if outbid",IF($AF118="FLOOR ONLY","Only at the $5 floor","Skip"))))))))</f>
        <v/>
      </c>
      <c r="AH118" s="35"/>
    </row>
    <row r="119" customFormat="false" ht="15" hidden="false" customHeight="false" outlineLevel="0" collapsed="false">
      <c r="A119" s="22"/>
      <c r="B119" s="36" t="str">
        <f aca="false">IF($A119="","",IF(ISERROR(FIND(".",$A119)),"",LOWER(MID($A119,FIND(CHAR(1),SUBSTITUTE($A119,".",CHAR(1),LEN($A119)-LEN(SUBSTITUTE($A119,".",""))))+1,LEN($A119)))))</f>
        <v/>
      </c>
      <c r="C119" s="37" t="str">
        <f aca="false">IF($B119="","",IFERROR(INDEX(Rubric!$B$14:$B$23,MATCH($B119,Rubric!$A$14:$A$23,0)),INDEX(Rubric!$B$14:$B$23,MATCH("other",Rubric!$A$14:$A$23,0))))</f>
        <v/>
      </c>
      <c r="D119" s="26"/>
      <c r="E119" s="38" t="str">
        <f aca="false">IF($B119="","",IFERROR(INDEX(Rubric!$C$14:$C$23,MATCH($B119,Rubric!$A$14:$A$23,0)),INDEX(Rubric!$C$14:$C$23,MATCH("other",Rubric!$A$14:$A$23,0))))</f>
        <v/>
      </c>
      <c r="F119" s="44" t="str">
        <f aca="false">IF(OR($A119="",$D119=""),"",$D119+$E119)</f>
        <v/>
      </c>
      <c r="G119" s="25"/>
      <c r="H119" s="25"/>
      <c r="I119" s="25"/>
      <c r="J119" s="25"/>
      <c r="K119" s="39" t="str">
        <f aca="false">IF($J119="","",IF($J119&gt;=15,5,IF($J119&gt;=10,4,IF($J119&gt;=5,3,IF($J119&gt;=2,2,1)))))</f>
        <v/>
      </c>
      <c r="L119" s="25"/>
      <c r="M119" s="25"/>
      <c r="N119" s="25"/>
      <c r="O119" s="25"/>
      <c r="P119" s="25"/>
      <c r="Q119" s="25"/>
      <c r="R119" s="25"/>
      <c r="S119" s="40" t="str">
        <f aca="false">IF($A119="","",IF(OR(UPPER($O119)="Y",UPPER($P119)="Y",UPPER($Q119)="Y",UPPER($R119)="Y"),"FAIL","PASS"))</f>
        <v/>
      </c>
      <c r="T119" s="39" t="str">
        <f aca="false">IF(OR($A119="",$C119=""),"",$C119*$B$6+$G119*$B$7+$H119*$B$8+$I119*$B$9)</f>
        <v/>
      </c>
      <c r="U119" s="39" t="str">
        <f aca="false">IF(OR($A119="",$K119=""),"",$K119*$B$13+$L119*$B$14+$M119*$B$15+$N119*$B$16)</f>
        <v/>
      </c>
      <c r="V119" s="39" t="str">
        <f aca="false">IF(OR($T119="",$U119=""),"",$T119*$B$19+$U119*(1-$B$19))</f>
        <v/>
      </c>
      <c r="W119" s="27"/>
      <c r="X119" s="22"/>
      <c r="Y119" s="42" t="str">
        <f aca="false">IF(OR($A119="",$W119=""),"",MAX(0,$W119-MAX($W119*Assumptions!$B$4,Assumptions!$B$5)))</f>
        <v/>
      </c>
      <c r="Z119" s="41" t="str">
        <f aca="false">IF($V119="","",Assumptions!$B$6*MAX(0.05,($V119/Assumptions!$B$11)^Assumptions!$B$12))</f>
        <v/>
      </c>
      <c r="AA119" s="41" t="str">
        <f aca="false">IF($Z119="","",1-(1-$Z119)^Assumptions!$B$7)</f>
        <v/>
      </c>
      <c r="AB119" s="42" t="str">
        <f aca="false">IF(OR($F119="",$AA119="",$AA119=0),"",($F119+$E119*Assumptions!$B$7)/($AA119*(1-Assumptions!$B$4)))</f>
        <v/>
      </c>
      <c r="AC119" s="43" t="str">
        <f aca="false">IF(OR($W119="",$AB119="",$AB119=0),"",$W119/$AB119)</f>
        <v/>
      </c>
      <c r="AD119" s="44" t="str">
        <f aca="false">IF(OR($Y119="",$E119="",$AA119=""),"",MAX(0,$Y119*$AA119-$E119*Assumptions!$B$7))</f>
        <v/>
      </c>
      <c r="AE119" s="44" t="str">
        <f aca="false">IF(OR($AD119="",$F119=""),"",$AD119-$F119)</f>
        <v/>
      </c>
      <c r="AF119" s="40" t="str">
        <f aca="false">IF($A119="","",IF($S119="FAIL","REJECT",IF($D119="","NEEDS PRICE",IF(OR($W119="",$X119=""),"NEEDS VALUATION",IF($AC119&lt;1,"OVERPRICED",IF(AND($AC119&gt;=Assumptions!$B$13,$V119&gt;=4),"BUY",IF($V119&gt;=3.4,"BUY CHEAPER",IF($V119&gt;=2.8,"FLOOR ONLY","SKIP"))))))))</f>
        <v/>
      </c>
      <c r="AG119" s="50" t="str">
        <f aca="false">IF($AF119="","",IF($AF119="REJECT","Do not buy at any price",IF($AF119="NEEDS PRICE","Enter the current closeout price",IF($AF119="NEEDS VALUATION","Enter a valuation AND its source before bidding",IF($AF119="OVERPRICED","Worth less than break-even - walk",IF($AF119="BUY","Take it on day 1 at $11 - will not reach the floor",IF($AF119="BUY CHEAPER","Wait to about $8 (day 3), walk if outbid",IF($AF119="FLOOR ONLY","Only at the $5 floor","Skip"))))))))</f>
        <v/>
      </c>
      <c r="AH119" s="35"/>
    </row>
    <row r="120" customFormat="false" ht="15" hidden="false" customHeight="false" outlineLevel="0" collapsed="false">
      <c r="A120" s="22"/>
      <c r="B120" s="36" t="str">
        <f aca="false">IF($A120="","",IF(ISERROR(FIND(".",$A120)),"",LOWER(MID($A120,FIND(CHAR(1),SUBSTITUTE($A120,".",CHAR(1),LEN($A120)-LEN(SUBSTITUTE($A120,".",""))))+1,LEN($A120)))))</f>
        <v/>
      </c>
      <c r="C120" s="37" t="str">
        <f aca="false">IF($B120="","",IFERROR(INDEX(Rubric!$B$14:$B$23,MATCH($B120,Rubric!$A$14:$A$23,0)),INDEX(Rubric!$B$14:$B$23,MATCH("other",Rubric!$A$14:$A$23,0))))</f>
        <v/>
      </c>
      <c r="D120" s="26"/>
      <c r="E120" s="38" t="str">
        <f aca="false">IF($B120="","",IFERROR(INDEX(Rubric!$C$14:$C$23,MATCH($B120,Rubric!$A$14:$A$23,0)),INDEX(Rubric!$C$14:$C$23,MATCH("other",Rubric!$A$14:$A$23,0))))</f>
        <v/>
      </c>
      <c r="F120" s="44" t="str">
        <f aca="false">IF(OR($A120="",$D120=""),"",$D120+$E120)</f>
        <v/>
      </c>
      <c r="G120" s="25"/>
      <c r="H120" s="25"/>
      <c r="I120" s="25"/>
      <c r="J120" s="25"/>
      <c r="K120" s="39" t="str">
        <f aca="false">IF($J120="","",IF($J120&gt;=15,5,IF($J120&gt;=10,4,IF($J120&gt;=5,3,IF($J120&gt;=2,2,1)))))</f>
        <v/>
      </c>
      <c r="L120" s="25"/>
      <c r="M120" s="25"/>
      <c r="N120" s="25"/>
      <c r="O120" s="25"/>
      <c r="P120" s="25"/>
      <c r="Q120" s="25"/>
      <c r="R120" s="25"/>
      <c r="S120" s="40" t="str">
        <f aca="false">IF($A120="","",IF(OR(UPPER($O120)="Y",UPPER($P120)="Y",UPPER($Q120)="Y",UPPER($R120)="Y"),"FAIL","PASS"))</f>
        <v/>
      </c>
      <c r="T120" s="39" t="str">
        <f aca="false">IF(OR($A120="",$C120=""),"",$C120*$B$6+$G120*$B$7+$H120*$B$8+$I120*$B$9)</f>
        <v/>
      </c>
      <c r="U120" s="39" t="str">
        <f aca="false">IF(OR($A120="",$K120=""),"",$K120*$B$13+$L120*$B$14+$M120*$B$15+$N120*$B$16)</f>
        <v/>
      </c>
      <c r="V120" s="39" t="str">
        <f aca="false">IF(OR($T120="",$U120=""),"",$T120*$B$19+$U120*(1-$B$19))</f>
        <v/>
      </c>
      <c r="W120" s="27"/>
      <c r="X120" s="22"/>
      <c r="Y120" s="42" t="str">
        <f aca="false">IF(OR($A120="",$W120=""),"",MAX(0,$W120-MAX($W120*Assumptions!$B$4,Assumptions!$B$5)))</f>
        <v/>
      </c>
      <c r="Z120" s="41" t="str">
        <f aca="false">IF($V120="","",Assumptions!$B$6*MAX(0.05,($V120/Assumptions!$B$11)^Assumptions!$B$12))</f>
        <v/>
      </c>
      <c r="AA120" s="41" t="str">
        <f aca="false">IF($Z120="","",1-(1-$Z120)^Assumptions!$B$7)</f>
        <v/>
      </c>
      <c r="AB120" s="42" t="str">
        <f aca="false">IF(OR($F120="",$AA120="",$AA120=0),"",($F120+$E120*Assumptions!$B$7)/($AA120*(1-Assumptions!$B$4)))</f>
        <v/>
      </c>
      <c r="AC120" s="43" t="str">
        <f aca="false">IF(OR($W120="",$AB120="",$AB120=0),"",$W120/$AB120)</f>
        <v/>
      </c>
      <c r="AD120" s="44" t="str">
        <f aca="false">IF(OR($Y120="",$E120="",$AA120=""),"",MAX(0,$Y120*$AA120-$E120*Assumptions!$B$7))</f>
        <v/>
      </c>
      <c r="AE120" s="44" t="str">
        <f aca="false">IF(OR($AD120="",$F120=""),"",$AD120-$F120)</f>
        <v/>
      </c>
      <c r="AF120" s="40" t="str">
        <f aca="false">IF($A120="","",IF($S120="FAIL","REJECT",IF($D120="","NEEDS PRICE",IF(OR($W120="",$X120=""),"NEEDS VALUATION",IF($AC120&lt;1,"OVERPRICED",IF(AND($AC120&gt;=Assumptions!$B$13,$V120&gt;=4),"BUY",IF($V120&gt;=3.4,"BUY CHEAPER",IF($V120&gt;=2.8,"FLOOR ONLY","SKIP"))))))))</f>
        <v/>
      </c>
      <c r="AG120" s="50" t="str">
        <f aca="false">IF($AF120="","",IF($AF120="REJECT","Do not buy at any price",IF($AF120="NEEDS PRICE","Enter the current closeout price",IF($AF120="NEEDS VALUATION","Enter a valuation AND its source before bidding",IF($AF120="OVERPRICED","Worth less than break-even - walk",IF($AF120="BUY","Take it on day 1 at $11 - will not reach the floor",IF($AF120="BUY CHEAPER","Wait to about $8 (day 3), walk if outbid",IF($AF120="FLOOR ONLY","Only at the $5 floor","Skip"))))))))</f>
        <v/>
      </c>
      <c r="AH120" s="35"/>
    </row>
    <row r="121" customFormat="false" ht="15" hidden="false" customHeight="false" outlineLevel="0" collapsed="false">
      <c r="A121" s="22"/>
      <c r="B121" s="36" t="str">
        <f aca="false">IF($A121="","",IF(ISERROR(FIND(".",$A121)),"",LOWER(MID($A121,FIND(CHAR(1),SUBSTITUTE($A121,".",CHAR(1),LEN($A121)-LEN(SUBSTITUTE($A121,".",""))))+1,LEN($A121)))))</f>
        <v/>
      </c>
      <c r="C121" s="37" t="str">
        <f aca="false">IF($B121="","",IFERROR(INDEX(Rubric!$B$14:$B$23,MATCH($B121,Rubric!$A$14:$A$23,0)),INDEX(Rubric!$B$14:$B$23,MATCH("other",Rubric!$A$14:$A$23,0))))</f>
        <v/>
      </c>
      <c r="D121" s="26"/>
      <c r="E121" s="38" t="str">
        <f aca="false">IF($B121="","",IFERROR(INDEX(Rubric!$C$14:$C$23,MATCH($B121,Rubric!$A$14:$A$23,0)),INDEX(Rubric!$C$14:$C$23,MATCH("other",Rubric!$A$14:$A$23,0))))</f>
        <v/>
      </c>
      <c r="F121" s="44" t="str">
        <f aca="false">IF(OR($A121="",$D121=""),"",$D121+$E121)</f>
        <v/>
      </c>
      <c r="G121" s="25"/>
      <c r="H121" s="25"/>
      <c r="I121" s="25"/>
      <c r="J121" s="25"/>
      <c r="K121" s="39" t="str">
        <f aca="false">IF($J121="","",IF($J121&gt;=15,5,IF($J121&gt;=10,4,IF($J121&gt;=5,3,IF($J121&gt;=2,2,1)))))</f>
        <v/>
      </c>
      <c r="L121" s="25"/>
      <c r="M121" s="25"/>
      <c r="N121" s="25"/>
      <c r="O121" s="25"/>
      <c r="P121" s="25"/>
      <c r="Q121" s="25"/>
      <c r="R121" s="25"/>
      <c r="S121" s="40" t="str">
        <f aca="false">IF($A121="","",IF(OR(UPPER($O121)="Y",UPPER($P121)="Y",UPPER($Q121)="Y",UPPER($R121)="Y"),"FAIL","PASS"))</f>
        <v/>
      </c>
      <c r="T121" s="39" t="str">
        <f aca="false">IF(OR($A121="",$C121=""),"",$C121*$B$6+$G121*$B$7+$H121*$B$8+$I121*$B$9)</f>
        <v/>
      </c>
      <c r="U121" s="39" t="str">
        <f aca="false">IF(OR($A121="",$K121=""),"",$K121*$B$13+$L121*$B$14+$M121*$B$15+$N121*$B$16)</f>
        <v/>
      </c>
      <c r="V121" s="39" t="str">
        <f aca="false">IF(OR($T121="",$U121=""),"",$T121*$B$19+$U121*(1-$B$19))</f>
        <v/>
      </c>
      <c r="W121" s="27"/>
      <c r="X121" s="22"/>
      <c r="Y121" s="42" t="str">
        <f aca="false">IF(OR($A121="",$W121=""),"",MAX(0,$W121-MAX($W121*Assumptions!$B$4,Assumptions!$B$5)))</f>
        <v/>
      </c>
      <c r="Z121" s="41" t="str">
        <f aca="false">IF($V121="","",Assumptions!$B$6*MAX(0.05,($V121/Assumptions!$B$11)^Assumptions!$B$12))</f>
        <v/>
      </c>
      <c r="AA121" s="41" t="str">
        <f aca="false">IF($Z121="","",1-(1-$Z121)^Assumptions!$B$7)</f>
        <v/>
      </c>
      <c r="AB121" s="42" t="str">
        <f aca="false">IF(OR($F121="",$AA121="",$AA121=0),"",($F121+$E121*Assumptions!$B$7)/($AA121*(1-Assumptions!$B$4)))</f>
        <v/>
      </c>
      <c r="AC121" s="43" t="str">
        <f aca="false">IF(OR($W121="",$AB121="",$AB121=0),"",$W121/$AB121)</f>
        <v/>
      </c>
      <c r="AD121" s="44" t="str">
        <f aca="false">IF(OR($Y121="",$E121="",$AA121=""),"",MAX(0,$Y121*$AA121-$E121*Assumptions!$B$7))</f>
        <v/>
      </c>
      <c r="AE121" s="44" t="str">
        <f aca="false">IF(OR($AD121="",$F121=""),"",$AD121-$F121)</f>
        <v/>
      </c>
      <c r="AF121" s="40" t="str">
        <f aca="false">IF($A121="","",IF($S121="FAIL","REJECT",IF($D121="","NEEDS PRICE",IF(OR($W121="",$X121=""),"NEEDS VALUATION",IF($AC121&lt;1,"OVERPRICED",IF(AND($AC121&gt;=Assumptions!$B$13,$V121&gt;=4),"BUY",IF($V121&gt;=3.4,"BUY CHEAPER",IF($V121&gt;=2.8,"FLOOR ONLY","SKIP"))))))))</f>
        <v/>
      </c>
      <c r="AG121" s="50" t="str">
        <f aca="false">IF($AF121="","",IF($AF121="REJECT","Do not buy at any price",IF($AF121="NEEDS PRICE","Enter the current closeout price",IF($AF121="NEEDS VALUATION","Enter a valuation AND its source before bidding",IF($AF121="OVERPRICED","Worth less than break-even - walk",IF($AF121="BUY","Take it on day 1 at $11 - will not reach the floor",IF($AF121="BUY CHEAPER","Wait to about $8 (day 3), walk if outbid",IF($AF121="FLOOR ONLY","Only at the $5 floor","Skip"))))))))</f>
        <v/>
      </c>
      <c r="AH121" s="35"/>
    </row>
    <row r="122" customFormat="false" ht="15" hidden="false" customHeight="false" outlineLevel="0" collapsed="false">
      <c r="A122" s="22"/>
      <c r="B122" s="36" t="str">
        <f aca="false">IF($A122="","",IF(ISERROR(FIND(".",$A122)),"",LOWER(MID($A122,FIND(CHAR(1),SUBSTITUTE($A122,".",CHAR(1),LEN($A122)-LEN(SUBSTITUTE($A122,".",""))))+1,LEN($A122)))))</f>
        <v/>
      </c>
      <c r="C122" s="37" t="str">
        <f aca="false">IF($B122="","",IFERROR(INDEX(Rubric!$B$14:$B$23,MATCH($B122,Rubric!$A$14:$A$23,0)),INDEX(Rubric!$B$14:$B$23,MATCH("other",Rubric!$A$14:$A$23,0))))</f>
        <v/>
      </c>
      <c r="D122" s="26"/>
      <c r="E122" s="38" t="str">
        <f aca="false">IF($B122="","",IFERROR(INDEX(Rubric!$C$14:$C$23,MATCH($B122,Rubric!$A$14:$A$23,0)),INDEX(Rubric!$C$14:$C$23,MATCH("other",Rubric!$A$14:$A$23,0))))</f>
        <v/>
      </c>
      <c r="F122" s="44" t="str">
        <f aca="false">IF(OR($A122="",$D122=""),"",$D122+$E122)</f>
        <v/>
      </c>
      <c r="G122" s="25"/>
      <c r="H122" s="25"/>
      <c r="I122" s="25"/>
      <c r="J122" s="25"/>
      <c r="K122" s="39" t="str">
        <f aca="false">IF($J122="","",IF($J122&gt;=15,5,IF($J122&gt;=10,4,IF($J122&gt;=5,3,IF($J122&gt;=2,2,1)))))</f>
        <v/>
      </c>
      <c r="L122" s="25"/>
      <c r="M122" s="25"/>
      <c r="N122" s="25"/>
      <c r="O122" s="25"/>
      <c r="P122" s="25"/>
      <c r="Q122" s="25"/>
      <c r="R122" s="25"/>
      <c r="S122" s="40" t="str">
        <f aca="false">IF($A122="","",IF(OR(UPPER($O122)="Y",UPPER($P122)="Y",UPPER($Q122)="Y",UPPER($R122)="Y"),"FAIL","PASS"))</f>
        <v/>
      </c>
      <c r="T122" s="39" t="str">
        <f aca="false">IF(OR($A122="",$C122=""),"",$C122*$B$6+$G122*$B$7+$H122*$B$8+$I122*$B$9)</f>
        <v/>
      </c>
      <c r="U122" s="39" t="str">
        <f aca="false">IF(OR($A122="",$K122=""),"",$K122*$B$13+$L122*$B$14+$M122*$B$15+$N122*$B$16)</f>
        <v/>
      </c>
      <c r="V122" s="39" t="str">
        <f aca="false">IF(OR($T122="",$U122=""),"",$T122*$B$19+$U122*(1-$B$19))</f>
        <v/>
      </c>
      <c r="W122" s="27"/>
      <c r="X122" s="22"/>
      <c r="Y122" s="42" t="str">
        <f aca="false">IF(OR($A122="",$W122=""),"",MAX(0,$W122-MAX($W122*Assumptions!$B$4,Assumptions!$B$5)))</f>
        <v/>
      </c>
      <c r="Z122" s="41" t="str">
        <f aca="false">IF($V122="","",Assumptions!$B$6*MAX(0.05,($V122/Assumptions!$B$11)^Assumptions!$B$12))</f>
        <v/>
      </c>
      <c r="AA122" s="41" t="str">
        <f aca="false">IF($Z122="","",1-(1-$Z122)^Assumptions!$B$7)</f>
        <v/>
      </c>
      <c r="AB122" s="42" t="str">
        <f aca="false">IF(OR($F122="",$AA122="",$AA122=0),"",($F122+$E122*Assumptions!$B$7)/($AA122*(1-Assumptions!$B$4)))</f>
        <v/>
      </c>
      <c r="AC122" s="43" t="str">
        <f aca="false">IF(OR($W122="",$AB122="",$AB122=0),"",$W122/$AB122)</f>
        <v/>
      </c>
      <c r="AD122" s="44" t="str">
        <f aca="false">IF(OR($Y122="",$E122="",$AA122=""),"",MAX(0,$Y122*$AA122-$E122*Assumptions!$B$7))</f>
        <v/>
      </c>
      <c r="AE122" s="44" t="str">
        <f aca="false">IF(OR($AD122="",$F122=""),"",$AD122-$F122)</f>
        <v/>
      </c>
      <c r="AF122" s="40" t="str">
        <f aca="false">IF($A122="","",IF($S122="FAIL","REJECT",IF($D122="","NEEDS PRICE",IF(OR($W122="",$X122=""),"NEEDS VALUATION",IF($AC122&lt;1,"OVERPRICED",IF(AND($AC122&gt;=Assumptions!$B$13,$V122&gt;=4),"BUY",IF($V122&gt;=3.4,"BUY CHEAPER",IF($V122&gt;=2.8,"FLOOR ONLY","SKIP"))))))))</f>
        <v/>
      </c>
      <c r="AG122" s="50" t="str">
        <f aca="false">IF($AF122="","",IF($AF122="REJECT","Do not buy at any price",IF($AF122="NEEDS PRICE","Enter the current closeout price",IF($AF122="NEEDS VALUATION","Enter a valuation AND its source before bidding",IF($AF122="OVERPRICED","Worth less than break-even - walk",IF($AF122="BUY","Take it on day 1 at $11 - will not reach the floor",IF($AF122="BUY CHEAPER","Wait to about $8 (day 3), walk if outbid",IF($AF122="FLOOR ONLY","Only at the $5 floor","Skip"))))))))</f>
        <v/>
      </c>
      <c r="AH122" s="35"/>
    </row>
    <row r="123" customFormat="false" ht="15" hidden="false" customHeight="false" outlineLevel="0" collapsed="false">
      <c r="A123" s="22"/>
      <c r="B123" s="36" t="str">
        <f aca="false">IF($A123="","",IF(ISERROR(FIND(".",$A123)),"",LOWER(MID($A123,FIND(CHAR(1),SUBSTITUTE($A123,".",CHAR(1),LEN($A123)-LEN(SUBSTITUTE($A123,".",""))))+1,LEN($A123)))))</f>
        <v/>
      </c>
      <c r="C123" s="37" t="str">
        <f aca="false">IF($B123="","",IFERROR(INDEX(Rubric!$B$14:$B$23,MATCH($B123,Rubric!$A$14:$A$23,0)),INDEX(Rubric!$B$14:$B$23,MATCH("other",Rubric!$A$14:$A$23,0))))</f>
        <v/>
      </c>
      <c r="D123" s="26"/>
      <c r="E123" s="38" t="str">
        <f aca="false">IF($B123="","",IFERROR(INDEX(Rubric!$C$14:$C$23,MATCH($B123,Rubric!$A$14:$A$23,0)),INDEX(Rubric!$C$14:$C$23,MATCH("other",Rubric!$A$14:$A$23,0))))</f>
        <v/>
      </c>
      <c r="F123" s="44" t="str">
        <f aca="false">IF(OR($A123="",$D123=""),"",$D123+$E123)</f>
        <v/>
      </c>
      <c r="G123" s="25"/>
      <c r="H123" s="25"/>
      <c r="I123" s="25"/>
      <c r="J123" s="25"/>
      <c r="K123" s="39" t="str">
        <f aca="false">IF($J123="","",IF($J123&gt;=15,5,IF($J123&gt;=10,4,IF($J123&gt;=5,3,IF($J123&gt;=2,2,1)))))</f>
        <v/>
      </c>
      <c r="L123" s="25"/>
      <c r="M123" s="25"/>
      <c r="N123" s="25"/>
      <c r="O123" s="25"/>
      <c r="P123" s="25"/>
      <c r="Q123" s="25"/>
      <c r="R123" s="25"/>
      <c r="S123" s="40" t="str">
        <f aca="false">IF($A123="","",IF(OR(UPPER($O123)="Y",UPPER($P123)="Y",UPPER($Q123)="Y",UPPER($R123)="Y"),"FAIL","PASS"))</f>
        <v/>
      </c>
      <c r="T123" s="39" t="str">
        <f aca="false">IF(OR($A123="",$C123=""),"",$C123*$B$6+$G123*$B$7+$H123*$B$8+$I123*$B$9)</f>
        <v/>
      </c>
      <c r="U123" s="39" t="str">
        <f aca="false">IF(OR($A123="",$K123=""),"",$K123*$B$13+$L123*$B$14+$M123*$B$15+$N123*$B$16)</f>
        <v/>
      </c>
      <c r="V123" s="39" t="str">
        <f aca="false">IF(OR($T123="",$U123=""),"",$T123*$B$19+$U123*(1-$B$19))</f>
        <v/>
      </c>
      <c r="W123" s="27"/>
      <c r="X123" s="22"/>
      <c r="Y123" s="42" t="str">
        <f aca="false">IF(OR($A123="",$W123=""),"",MAX(0,$W123-MAX($W123*Assumptions!$B$4,Assumptions!$B$5)))</f>
        <v/>
      </c>
      <c r="Z123" s="41" t="str">
        <f aca="false">IF($V123="","",Assumptions!$B$6*MAX(0.05,($V123/Assumptions!$B$11)^Assumptions!$B$12))</f>
        <v/>
      </c>
      <c r="AA123" s="41" t="str">
        <f aca="false">IF($Z123="","",1-(1-$Z123)^Assumptions!$B$7)</f>
        <v/>
      </c>
      <c r="AB123" s="42" t="str">
        <f aca="false">IF(OR($F123="",$AA123="",$AA123=0),"",($F123+$E123*Assumptions!$B$7)/($AA123*(1-Assumptions!$B$4)))</f>
        <v/>
      </c>
      <c r="AC123" s="43" t="str">
        <f aca="false">IF(OR($W123="",$AB123="",$AB123=0),"",$W123/$AB123)</f>
        <v/>
      </c>
      <c r="AD123" s="44" t="str">
        <f aca="false">IF(OR($Y123="",$E123="",$AA123=""),"",MAX(0,$Y123*$AA123-$E123*Assumptions!$B$7))</f>
        <v/>
      </c>
      <c r="AE123" s="44" t="str">
        <f aca="false">IF(OR($AD123="",$F123=""),"",$AD123-$F123)</f>
        <v/>
      </c>
      <c r="AF123" s="40" t="str">
        <f aca="false">IF($A123="","",IF($S123="FAIL","REJECT",IF($D123="","NEEDS PRICE",IF(OR($W123="",$X123=""),"NEEDS VALUATION",IF($AC123&lt;1,"OVERPRICED",IF(AND($AC123&gt;=Assumptions!$B$13,$V123&gt;=4),"BUY",IF($V123&gt;=3.4,"BUY CHEAPER",IF($V123&gt;=2.8,"FLOOR ONLY","SKIP"))))))))</f>
        <v/>
      </c>
      <c r="AG123" s="50" t="str">
        <f aca="false">IF($AF123="","",IF($AF123="REJECT","Do not buy at any price",IF($AF123="NEEDS PRICE","Enter the current closeout price",IF($AF123="NEEDS VALUATION","Enter a valuation AND its source before bidding",IF($AF123="OVERPRICED","Worth less than break-even - walk",IF($AF123="BUY","Take it on day 1 at $11 - will not reach the floor",IF($AF123="BUY CHEAPER","Wait to about $8 (day 3), walk if outbid",IF($AF123="FLOOR ONLY","Only at the $5 floor","Skip"))))))))</f>
        <v/>
      </c>
      <c r="AH123" s="35"/>
    </row>
    <row r="124" customFormat="false" ht="15" hidden="false" customHeight="false" outlineLevel="0" collapsed="false">
      <c r="A124" s="22"/>
      <c r="B124" s="36" t="str">
        <f aca="false">IF($A124="","",IF(ISERROR(FIND(".",$A124)),"",LOWER(MID($A124,FIND(CHAR(1),SUBSTITUTE($A124,".",CHAR(1),LEN($A124)-LEN(SUBSTITUTE($A124,".",""))))+1,LEN($A124)))))</f>
        <v/>
      </c>
      <c r="C124" s="37" t="str">
        <f aca="false">IF($B124="","",IFERROR(INDEX(Rubric!$B$14:$B$23,MATCH($B124,Rubric!$A$14:$A$23,0)),INDEX(Rubric!$B$14:$B$23,MATCH("other",Rubric!$A$14:$A$23,0))))</f>
        <v/>
      </c>
      <c r="D124" s="26"/>
      <c r="E124" s="38" t="str">
        <f aca="false">IF($B124="","",IFERROR(INDEX(Rubric!$C$14:$C$23,MATCH($B124,Rubric!$A$14:$A$23,0)),INDEX(Rubric!$C$14:$C$23,MATCH("other",Rubric!$A$14:$A$23,0))))</f>
        <v/>
      </c>
      <c r="F124" s="44" t="str">
        <f aca="false">IF(OR($A124="",$D124=""),"",$D124+$E124)</f>
        <v/>
      </c>
      <c r="G124" s="25"/>
      <c r="H124" s="25"/>
      <c r="I124" s="25"/>
      <c r="J124" s="25"/>
      <c r="K124" s="39" t="str">
        <f aca="false">IF($J124="","",IF($J124&gt;=15,5,IF($J124&gt;=10,4,IF($J124&gt;=5,3,IF($J124&gt;=2,2,1)))))</f>
        <v/>
      </c>
      <c r="L124" s="25"/>
      <c r="M124" s="25"/>
      <c r="N124" s="25"/>
      <c r="O124" s="25"/>
      <c r="P124" s="25"/>
      <c r="Q124" s="25"/>
      <c r="R124" s="25"/>
      <c r="S124" s="40" t="str">
        <f aca="false">IF($A124="","",IF(OR(UPPER($O124)="Y",UPPER($P124)="Y",UPPER($Q124)="Y",UPPER($R124)="Y"),"FAIL","PASS"))</f>
        <v/>
      </c>
      <c r="T124" s="39" t="str">
        <f aca="false">IF(OR($A124="",$C124=""),"",$C124*$B$6+$G124*$B$7+$H124*$B$8+$I124*$B$9)</f>
        <v/>
      </c>
      <c r="U124" s="39" t="str">
        <f aca="false">IF(OR($A124="",$K124=""),"",$K124*$B$13+$L124*$B$14+$M124*$B$15+$N124*$B$16)</f>
        <v/>
      </c>
      <c r="V124" s="39" t="str">
        <f aca="false">IF(OR($T124="",$U124=""),"",$T124*$B$19+$U124*(1-$B$19))</f>
        <v/>
      </c>
      <c r="W124" s="27"/>
      <c r="X124" s="22"/>
      <c r="Y124" s="42" t="str">
        <f aca="false">IF(OR($A124="",$W124=""),"",MAX(0,$W124-MAX($W124*Assumptions!$B$4,Assumptions!$B$5)))</f>
        <v/>
      </c>
      <c r="Z124" s="41" t="str">
        <f aca="false">IF($V124="","",Assumptions!$B$6*MAX(0.05,($V124/Assumptions!$B$11)^Assumptions!$B$12))</f>
        <v/>
      </c>
      <c r="AA124" s="41" t="str">
        <f aca="false">IF($Z124="","",1-(1-$Z124)^Assumptions!$B$7)</f>
        <v/>
      </c>
      <c r="AB124" s="42" t="str">
        <f aca="false">IF(OR($F124="",$AA124="",$AA124=0),"",($F124+$E124*Assumptions!$B$7)/($AA124*(1-Assumptions!$B$4)))</f>
        <v/>
      </c>
      <c r="AC124" s="43" t="str">
        <f aca="false">IF(OR($W124="",$AB124="",$AB124=0),"",$W124/$AB124)</f>
        <v/>
      </c>
      <c r="AD124" s="44" t="str">
        <f aca="false">IF(OR($Y124="",$E124="",$AA124=""),"",MAX(0,$Y124*$AA124-$E124*Assumptions!$B$7))</f>
        <v/>
      </c>
      <c r="AE124" s="44" t="str">
        <f aca="false">IF(OR($AD124="",$F124=""),"",$AD124-$F124)</f>
        <v/>
      </c>
      <c r="AF124" s="40" t="str">
        <f aca="false">IF($A124="","",IF($S124="FAIL","REJECT",IF($D124="","NEEDS PRICE",IF(OR($W124="",$X124=""),"NEEDS VALUATION",IF($AC124&lt;1,"OVERPRICED",IF(AND($AC124&gt;=Assumptions!$B$13,$V124&gt;=4),"BUY",IF($V124&gt;=3.4,"BUY CHEAPER",IF($V124&gt;=2.8,"FLOOR ONLY","SKIP"))))))))</f>
        <v/>
      </c>
      <c r="AG124" s="50" t="str">
        <f aca="false">IF($AF124="","",IF($AF124="REJECT","Do not buy at any price",IF($AF124="NEEDS PRICE","Enter the current closeout price",IF($AF124="NEEDS VALUATION","Enter a valuation AND its source before bidding",IF($AF124="OVERPRICED","Worth less than break-even - walk",IF($AF124="BUY","Take it on day 1 at $11 - will not reach the floor",IF($AF124="BUY CHEAPER","Wait to about $8 (day 3), walk if outbid",IF($AF124="FLOOR ONLY","Only at the $5 floor","Skip"))))))))</f>
        <v/>
      </c>
      <c r="AH124" s="35"/>
    </row>
    <row r="125" customFormat="false" ht="15" hidden="false" customHeight="false" outlineLevel="0" collapsed="false">
      <c r="A125" s="22"/>
      <c r="B125" s="36" t="str">
        <f aca="false">IF($A125="","",IF(ISERROR(FIND(".",$A125)),"",LOWER(MID($A125,FIND(CHAR(1),SUBSTITUTE($A125,".",CHAR(1),LEN($A125)-LEN(SUBSTITUTE($A125,".",""))))+1,LEN($A125)))))</f>
        <v/>
      </c>
      <c r="C125" s="37" t="str">
        <f aca="false">IF($B125="","",IFERROR(INDEX(Rubric!$B$14:$B$23,MATCH($B125,Rubric!$A$14:$A$23,0)),INDEX(Rubric!$B$14:$B$23,MATCH("other",Rubric!$A$14:$A$23,0))))</f>
        <v/>
      </c>
      <c r="D125" s="26"/>
      <c r="E125" s="38" t="str">
        <f aca="false">IF($B125="","",IFERROR(INDEX(Rubric!$C$14:$C$23,MATCH($B125,Rubric!$A$14:$A$23,0)),INDEX(Rubric!$C$14:$C$23,MATCH("other",Rubric!$A$14:$A$23,0))))</f>
        <v/>
      </c>
      <c r="F125" s="44" t="str">
        <f aca="false">IF(OR($A125="",$D125=""),"",$D125+$E125)</f>
        <v/>
      </c>
      <c r="G125" s="25"/>
      <c r="H125" s="25"/>
      <c r="I125" s="25"/>
      <c r="J125" s="25"/>
      <c r="K125" s="39" t="str">
        <f aca="false">IF($J125="","",IF($J125&gt;=15,5,IF($J125&gt;=10,4,IF($J125&gt;=5,3,IF($J125&gt;=2,2,1)))))</f>
        <v/>
      </c>
      <c r="L125" s="25"/>
      <c r="M125" s="25"/>
      <c r="N125" s="25"/>
      <c r="O125" s="25"/>
      <c r="P125" s="25"/>
      <c r="Q125" s="25"/>
      <c r="R125" s="25"/>
      <c r="S125" s="40" t="str">
        <f aca="false">IF($A125="","",IF(OR(UPPER($O125)="Y",UPPER($P125)="Y",UPPER($Q125)="Y",UPPER($R125)="Y"),"FAIL","PASS"))</f>
        <v/>
      </c>
      <c r="T125" s="39" t="str">
        <f aca="false">IF(OR($A125="",$C125=""),"",$C125*$B$6+$G125*$B$7+$H125*$B$8+$I125*$B$9)</f>
        <v/>
      </c>
      <c r="U125" s="39" t="str">
        <f aca="false">IF(OR($A125="",$K125=""),"",$K125*$B$13+$L125*$B$14+$M125*$B$15+$N125*$B$16)</f>
        <v/>
      </c>
      <c r="V125" s="39" t="str">
        <f aca="false">IF(OR($T125="",$U125=""),"",$T125*$B$19+$U125*(1-$B$19))</f>
        <v/>
      </c>
      <c r="W125" s="27"/>
      <c r="X125" s="22"/>
      <c r="Y125" s="42" t="str">
        <f aca="false">IF(OR($A125="",$W125=""),"",MAX(0,$W125-MAX($W125*Assumptions!$B$4,Assumptions!$B$5)))</f>
        <v/>
      </c>
      <c r="Z125" s="41" t="str">
        <f aca="false">IF($V125="","",Assumptions!$B$6*MAX(0.05,($V125/Assumptions!$B$11)^Assumptions!$B$12))</f>
        <v/>
      </c>
      <c r="AA125" s="41" t="str">
        <f aca="false">IF($Z125="","",1-(1-$Z125)^Assumptions!$B$7)</f>
        <v/>
      </c>
      <c r="AB125" s="42" t="str">
        <f aca="false">IF(OR($F125="",$AA125="",$AA125=0),"",($F125+$E125*Assumptions!$B$7)/($AA125*(1-Assumptions!$B$4)))</f>
        <v/>
      </c>
      <c r="AC125" s="43" t="str">
        <f aca="false">IF(OR($W125="",$AB125="",$AB125=0),"",$W125/$AB125)</f>
        <v/>
      </c>
      <c r="AD125" s="44" t="str">
        <f aca="false">IF(OR($Y125="",$E125="",$AA125=""),"",MAX(0,$Y125*$AA125-$E125*Assumptions!$B$7))</f>
        <v/>
      </c>
      <c r="AE125" s="44" t="str">
        <f aca="false">IF(OR($AD125="",$F125=""),"",$AD125-$F125)</f>
        <v/>
      </c>
      <c r="AF125" s="40" t="str">
        <f aca="false">IF($A125="","",IF($S125="FAIL","REJECT",IF($D125="","NEEDS PRICE",IF(OR($W125="",$X125=""),"NEEDS VALUATION",IF($AC125&lt;1,"OVERPRICED",IF(AND($AC125&gt;=Assumptions!$B$13,$V125&gt;=4),"BUY",IF($V125&gt;=3.4,"BUY CHEAPER",IF($V125&gt;=2.8,"FLOOR ONLY","SKIP"))))))))</f>
        <v/>
      </c>
      <c r="AG125" s="50" t="str">
        <f aca="false">IF($AF125="","",IF($AF125="REJECT","Do not buy at any price",IF($AF125="NEEDS PRICE","Enter the current closeout price",IF($AF125="NEEDS VALUATION","Enter a valuation AND its source before bidding",IF($AF125="OVERPRICED","Worth less than break-even - walk",IF($AF125="BUY","Take it on day 1 at $11 - will not reach the floor",IF($AF125="BUY CHEAPER","Wait to about $8 (day 3), walk if outbid",IF($AF125="FLOOR ONLY","Only at the $5 floor","Skip"))))))))</f>
        <v/>
      </c>
      <c r="AH125" s="35"/>
    </row>
    <row r="126" customFormat="false" ht="15" hidden="false" customHeight="false" outlineLevel="0" collapsed="false">
      <c r="A126" s="22"/>
      <c r="B126" s="36" t="str">
        <f aca="false">IF($A126="","",IF(ISERROR(FIND(".",$A126)),"",LOWER(MID($A126,FIND(CHAR(1),SUBSTITUTE($A126,".",CHAR(1),LEN($A126)-LEN(SUBSTITUTE($A126,".",""))))+1,LEN($A126)))))</f>
        <v/>
      </c>
      <c r="C126" s="37" t="str">
        <f aca="false">IF($B126="","",IFERROR(INDEX(Rubric!$B$14:$B$23,MATCH($B126,Rubric!$A$14:$A$23,0)),INDEX(Rubric!$B$14:$B$23,MATCH("other",Rubric!$A$14:$A$23,0))))</f>
        <v/>
      </c>
      <c r="D126" s="26"/>
      <c r="E126" s="38" t="str">
        <f aca="false">IF($B126="","",IFERROR(INDEX(Rubric!$C$14:$C$23,MATCH($B126,Rubric!$A$14:$A$23,0)),INDEX(Rubric!$C$14:$C$23,MATCH("other",Rubric!$A$14:$A$23,0))))</f>
        <v/>
      </c>
      <c r="F126" s="44" t="str">
        <f aca="false">IF(OR($A126="",$D126=""),"",$D126+$E126)</f>
        <v/>
      </c>
      <c r="G126" s="25"/>
      <c r="H126" s="25"/>
      <c r="I126" s="25"/>
      <c r="J126" s="25"/>
      <c r="K126" s="39" t="str">
        <f aca="false">IF($J126="","",IF($J126&gt;=15,5,IF($J126&gt;=10,4,IF($J126&gt;=5,3,IF($J126&gt;=2,2,1)))))</f>
        <v/>
      </c>
      <c r="L126" s="25"/>
      <c r="M126" s="25"/>
      <c r="N126" s="25"/>
      <c r="O126" s="25"/>
      <c r="P126" s="25"/>
      <c r="Q126" s="25"/>
      <c r="R126" s="25"/>
      <c r="S126" s="40" t="str">
        <f aca="false">IF($A126="","",IF(OR(UPPER($O126)="Y",UPPER($P126)="Y",UPPER($Q126)="Y",UPPER($R126)="Y"),"FAIL","PASS"))</f>
        <v/>
      </c>
      <c r="T126" s="39" t="str">
        <f aca="false">IF(OR($A126="",$C126=""),"",$C126*$B$6+$G126*$B$7+$H126*$B$8+$I126*$B$9)</f>
        <v/>
      </c>
      <c r="U126" s="39" t="str">
        <f aca="false">IF(OR($A126="",$K126=""),"",$K126*$B$13+$L126*$B$14+$M126*$B$15+$N126*$B$16)</f>
        <v/>
      </c>
      <c r="V126" s="39" t="str">
        <f aca="false">IF(OR($T126="",$U126=""),"",$T126*$B$19+$U126*(1-$B$19))</f>
        <v/>
      </c>
      <c r="W126" s="27"/>
      <c r="X126" s="22"/>
      <c r="Y126" s="42" t="str">
        <f aca="false">IF(OR($A126="",$W126=""),"",MAX(0,$W126-MAX($W126*Assumptions!$B$4,Assumptions!$B$5)))</f>
        <v/>
      </c>
      <c r="Z126" s="41" t="str">
        <f aca="false">IF($V126="","",Assumptions!$B$6*MAX(0.05,($V126/Assumptions!$B$11)^Assumptions!$B$12))</f>
        <v/>
      </c>
      <c r="AA126" s="41" t="str">
        <f aca="false">IF($Z126="","",1-(1-$Z126)^Assumptions!$B$7)</f>
        <v/>
      </c>
      <c r="AB126" s="42" t="str">
        <f aca="false">IF(OR($F126="",$AA126="",$AA126=0),"",($F126+$E126*Assumptions!$B$7)/($AA126*(1-Assumptions!$B$4)))</f>
        <v/>
      </c>
      <c r="AC126" s="43" t="str">
        <f aca="false">IF(OR($W126="",$AB126="",$AB126=0),"",$W126/$AB126)</f>
        <v/>
      </c>
      <c r="AD126" s="44" t="str">
        <f aca="false">IF(OR($Y126="",$E126="",$AA126=""),"",MAX(0,$Y126*$AA126-$E126*Assumptions!$B$7))</f>
        <v/>
      </c>
      <c r="AE126" s="44" t="str">
        <f aca="false">IF(OR($AD126="",$F126=""),"",$AD126-$F126)</f>
        <v/>
      </c>
      <c r="AF126" s="40" t="str">
        <f aca="false">IF($A126="","",IF($S126="FAIL","REJECT",IF($D126="","NEEDS PRICE",IF(OR($W126="",$X126=""),"NEEDS VALUATION",IF($AC126&lt;1,"OVERPRICED",IF(AND($AC126&gt;=Assumptions!$B$13,$V126&gt;=4),"BUY",IF($V126&gt;=3.4,"BUY CHEAPER",IF($V126&gt;=2.8,"FLOOR ONLY","SKIP"))))))))</f>
        <v/>
      </c>
      <c r="AG126" s="50" t="str">
        <f aca="false">IF($AF126="","",IF($AF126="REJECT","Do not buy at any price",IF($AF126="NEEDS PRICE","Enter the current closeout price",IF($AF126="NEEDS VALUATION","Enter a valuation AND its source before bidding",IF($AF126="OVERPRICED","Worth less than break-even - walk",IF($AF126="BUY","Take it on day 1 at $11 - will not reach the floor",IF($AF126="BUY CHEAPER","Wait to about $8 (day 3), walk if outbid",IF($AF126="FLOOR ONLY","Only at the $5 floor","Skip"))))))))</f>
        <v/>
      </c>
      <c r="AH126" s="35"/>
    </row>
    <row r="127" customFormat="false" ht="15" hidden="false" customHeight="false" outlineLevel="0" collapsed="false">
      <c r="A127" s="22"/>
      <c r="B127" s="36" t="str">
        <f aca="false">IF($A127="","",IF(ISERROR(FIND(".",$A127)),"",LOWER(MID($A127,FIND(CHAR(1),SUBSTITUTE($A127,".",CHAR(1),LEN($A127)-LEN(SUBSTITUTE($A127,".",""))))+1,LEN($A127)))))</f>
        <v/>
      </c>
      <c r="C127" s="37" t="str">
        <f aca="false">IF($B127="","",IFERROR(INDEX(Rubric!$B$14:$B$23,MATCH($B127,Rubric!$A$14:$A$23,0)),INDEX(Rubric!$B$14:$B$23,MATCH("other",Rubric!$A$14:$A$23,0))))</f>
        <v/>
      </c>
      <c r="D127" s="26"/>
      <c r="E127" s="38" t="str">
        <f aca="false">IF($B127="","",IFERROR(INDEX(Rubric!$C$14:$C$23,MATCH($B127,Rubric!$A$14:$A$23,0)),INDEX(Rubric!$C$14:$C$23,MATCH("other",Rubric!$A$14:$A$23,0))))</f>
        <v/>
      </c>
      <c r="F127" s="44" t="str">
        <f aca="false">IF(OR($A127="",$D127=""),"",$D127+$E127)</f>
        <v/>
      </c>
      <c r="G127" s="25"/>
      <c r="H127" s="25"/>
      <c r="I127" s="25"/>
      <c r="J127" s="25"/>
      <c r="K127" s="39" t="str">
        <f aca="false">IF($J127="","",IF($J127&gt;=15,5,IF($J127&gt;=10,4,IF($J127&gt;=5,3,IF($J127&gt;=2,2,1)))))</f>
        <v/>
      </c>
      <c r="L127" s="25"/>
      <c r="M127" s="25"/>
      <c r="N127" s="25"/>
      <c r="O127" s="25"/>
      <c r="P127" s="25"/>
      <c r="Q127" s="25"/>
      <c r="R127" s="25"/>
      <c r="S127" s="40" t="str">
        <f aca="false">IF($A127="","",IF(OR(UPPER($O127)="Y",UPPER($P127)="Y",UPPER($Q127)="Y",UPPER($R127)="Y"),"FAIL","PASS"))</f>
        <v/>
      </c>
      <c r="T127" s="39" t="str">
        <f aca="false">IF(OR($A127="",$C127=""),"",$C127*$B$6+$G127*$B$7+$H127*$B$8+$I127*$B$9)</f>
        <v/>
      </c>
      <c r="U127" s="39" t="str">
        <f aca="false">IF(OR($A127="",$K127=""),"",$K127*$B$13+$L127*$B$14+$M127*$B$15+$N127*$B$16)</f>
        <v/>
      </c>
      <c r="V127" s="39" t="str">
        <f aca="false">IF(OR($T127="",$U127=""),"",$T127*$B$19+$U127*(1-$B$19))</f>
        <v/>
      </c>
      <c r="W127" s="27"/>
      <c r="X127" s="22"/>
      <c r="Y127" s="42" t="str">
        <f aca="false">IF(OR($A127="",$W127=""),"",MAX(0,$W127-MAX($W127*Assumptions!$B$4,Assumptions!$B$5)))</f>
        <v/>
      </c>
      <c r="Z127" s="41" t="str">
        <f aca="false">IF($V127="","",Assumptions!$B$6*MAX(0.05,($V127/Assumptions!$B$11)^Assumptions!$B$12))</f>
        <v/>
      </c>
      <c r="AA127" s="41" t="str">
        <f aca="false">IF($Z127="","",1-(1-$Z127)^Assumptions!$B$7)</f>
        <v/>
      </c>
      <c r="AB127" s="42" t="str">
        <f aca="false">IF(OR($F127="",$AA127="",$AA127=0),"",($F127+$E127*Assumptions!$B$7)/($AA127*(1-Assumptions!$B$4)))</f>
        <v/>
      </c>
      <c r="AC127" s="43" t="str">
        <f aca="false">IF(OR($W127="",$AB127="",$AB127=0),"",$W127/$AB127)</f>
        <v/>
      </c>
      <c r="AD127" s="44" t="str">
        <f aca="false">IF(OR($Y127="",$E127="",$AA127=""),"",MAX(0,$Y127*$AA127-$E127*Assumptions!$B$7))</f>
        <v/>
      </c>
      <c r="AE127" s="44" t="str">
        <f aca="false">IF(OR($AD127="",$F127=""),"",$AD127-$F127)</f>
        <v/>
      </c>
      <c r="AF127" s="40" t="str">
        <f aca="false">IF($A127="","",IF($S127="FAIL","REJECT",IF($D127="","NEEDS PRICE",IF(OR($W127="",$X127=""),"NEEDS VALUATION",IF($AC127&lt;1,"OVERPRICED",IF(AND($AC127&gt;=Assumptions!$B$13,$V127&gt;=4),"BUY",IF($V127&gt;=3.4,"BUY CHEAPER",IF($V127&gt;=2.8,"FLOOR ONLY","SKIP"))))))))</f>
        <v/>
      </c>
      <c r="AG127" s="50" t="str">
        <f aca="false">IF($AF127="","",IF($AF127="REJECT","Do not buy at any price",IF($AF127="NEEDS PRICE","Enter the current closeout price",IF($AF127="NEEDS VALUATION","Enter a valuation AND its source before bidding",IF($AF127="OVERPRICED","Worth less than break-even - walk",IF($AF127="BUY","Take it on day 1 at $11 - will not reach the floor",IF($AF127="BUY CHEAPER","Wait to about $8 (day 3), walk if outbid",IF($AF127="FLOOR ONLY","Only at the $5 floor","Skip"))))))))</f>
        <v/>
      </c>
      <c r="AH127" s="35"/>
    </row>
    <row r="128" customFormat="false" ht="15" hidden="false" customHeight="false" outlineLevel="0" collapsed="false">
      <c r="A128" s="22"/>
      <c r="B128" s="36" t="str">
        <f aca="false">IF($A128="","",IF(ISERROR(FIND(".",$A128)),"",LOWER(MID($A128,FIND(CHAR(1),SUBSTITUTE($A128,".",CHAR(1),LEN($A128)-LEN(SUBSTITUTE($A128,".",""))))+1,LEN($A128)))))</f>
        <v/>
      </c>
      <c r="C128" s="37" t="str">
        <f aca="false">IF($B128="","",IFERROR(INDEX(Rubric!$B$14:$B$23,MATCH($B128,Rubric!$A$14:$A$23,0)),INDEX(Rubric!$B$14:$B$23,MATCH("other",Rubric!$A$14:$A$23,0))))</f>
        <v/>
      </c>
      <c r="D128" s="26"/>
      <c r="E128" s="38" t="str">
        <f aca="false">IF($B128="","",IFERROR(INDEX(Rubric!$C$14:$C$23,MATCH($B128,Rubric!$A$14:$A$23,0)),INDEX(Rubric!$C$14:$C$23,MATCH("other",Rubric!$A$14:$A$23,0))))</f>
        <v/>
      </c>
      <c r="F128" s="44" t="str">
        <f aca="false">IF(OR($A128="",$D128=""),"",$D128+$E128)</f>
        <v/>
      </c>
      <c r="G128" s="25"/>
      <c r="H128" s="25"/>
      <c r="I128" s="25"/>
      <c r="J128" s="25"/>
      <c r="K128" s="39" t="str">
        <f aca="false">IF($J128="","",IF($J128&gt;=15,5,IF($J128&gt;=10,4,IF($J128&gt;=5,3,IF($J128&gt;=2,2,1)))))</f>
        <v/>
      </c>
      <c r="L128" s="25"/>
      <c r="M128" s="25"/>
      <c r="N128" s="25"/>
      <c r="O128" s="25"/>
      <c r="P128" s="25"/>
      <c r="Q128" s="25"/>
      <c r="R128" s="25"/>
      <c r="S128" s="40" t="str">
        <f aca="false">IF($A128="","",IF(OR(UPPER($O128)="Y",UPPER($P128)="Y",UPPER($Q128)="Y",UPPER($R128)="Y"),"FAIL","PASS"))</f>
        <v/>
      </c>
      <c r="T128" s="39" t="str">
        <f aca="false">IF(OR($A128="",$C128=""),"",$C128*$B$6+$G128*$B$7+$H128*$B$8+$I128*$B$9)</f>
        <v/>
      </c>
      <c r="U128" s="39" t="str">
        <f aca="false">IF(OR($A128="",$K128=""),"",$K128*$B$13+$L128*$B$14+$M128*$B$15+$N128*$B$16)</f>
        <v/>
      </c>
      <c r="V128" s="39" t="str">
        <f aca="false">IF(OR($T128="",$U128=""),"",$T128*$B$19+$U128*(1-$B$19))</f>
        <v/>
      </c>
      <c r="W128" s="27"/>
      <c r="X128" s="22"/>
      <c r="Y128" s="42" t="str">
        <f aca="false">IF(OR($A128="",$W128=""),"",MAX(0,$W128-MAX($W128*Assumptions!$B$4,Assumptions!$B$5)))</f>
        <v/>
      </c>
      <c r="Z128" s="41" t="str">
        <f aca="false">IF($V128="","",Assumptions!$B$6*MAX(0.05,($V128/Assumptions!$B$11)^Assumptions!$B$12))</f>
        <v/>
      </c>
      <c r="AA128" s="41" t="str">
        <f aca="false">IF($Z128="","",1-(1-$Z128)^Assumptions!$B$7)</f>
        <v/>
      </c>
      <c r="AB128" s="42" t="str">
        <f aca="false">IF(OR($F128="",$AA128="",$AA128=0),"",($F128+$E128*Assumptions!$B$7)/($AA128*(1-Assumptions!$B$4)))</f>
        <v/>
      </c>
      <c r="AC128" s="43" t="str">
        <f aca="false">IF(OR($W128="",$AB128="",$AB128=0),"",$W128/$AB128)</f>
        <v/>
      </c>
      <c r="AD128" s="44" t="str">
        <f aca="false">IF(OR($Y128="",$E128="",$AA128=""),"",MAX(0,$Y128*$AA128-$E128*Assumptions!$B$7))</f>
        <v/>
      </c>
      <c r="AE128" s="44" t="str">
        <f aca="false">IF(OR($AD128="",$F128=""),"",$AD128-$F128)</f>
        <v/>
      </c>
      <c r="AF128" s="40" t="str">
        <f aca="false">IF($A128="","",IF($S128="FAIL","REJECT",IF($D128="","NEEDS PRICE",IF(OR($W128="",$X128=""),"NEEDS VALUATION",IF($AC128&lt;1,"OVERPRICED",IF(AND($AC128&gt;=Assumptions!$B$13,$V128&gt;=4),"BUY",IF($V128&gt;=3.4,"BUY CHEAPER",IF($V128&gt;=2.8,"FLOOR ONLY","SKIP"))))))))</f>
        <v/>
      </c>
      <c r="AG128" s="50" t="str">
        <f aca="false">IF($AF128="","",IF($AF128="REJECT","Do not buy at any price",IF($AF128="NEEDS PRICE","Enter the current closeout price",IF($AF128="NEEDS VALUATION","Enter a valuation AND its source before bidding",IF($AF128="OVERPRICED","Worth less than break-even - walk",IF($AF128="BUY","Take it on day 1 at $11 - will not reach the floor",IF($AF128="BUY CHEAPER","Wait to about $8 (day 3), walk if outbid",IF($AF128="FLOOR ONLY","Only at the $5 floor","Skip"))))))))</f>
        <v/>
      </c>
      <c r="AH128" s="35"/>
    </row>
    <row r="129" customFormat="false" ht="15" hidden="false" customHeight="false" outlineLevel="0" collapsed="false">
      <c r="A129" s="22"/>
      <c r="B129" s="36" t="str">
        <f aca="false">IF($A129="","",IF(ISERROR(FIND(".",$A129)),"",LOWER(MID($A129,FIND(CHAR(1),SUBSTITUTE($A129,".",CHAR(1),LEN($A129)-LEN(SUBSTITUTE($A129,".",""))))+1,LEN($A129)))))</f>
        <v/>
      </c>
      <c r="C129" s="37" t="str">
        <f aca="false">IF($B129="","",IFERROR(INDEX(Rubric!$B$14:$B$23,MATCH($B129,Rubric!$A$14:$A$23,0)),INDEX(Rubric!$B$14:$B$23,MATCH("other",Rubric!$A$14:$A$23,0))))</f>
        <v/>
      </c>
      <c r="D129" s="26"/>
      <c r="E129" s="38" t="str">
        <f aca="false">IF($B129="","",IFERROR(INDEX(Rubric!$C$14:$C$23,MATCH($B129,Rubric!$A$14:$A$23,0)),INDEX(Rubric!$C$14:$C$23,MATCH("other",Rubric!$A$14:$A$23,0))))</f>
        <v/>
      </c>
      <c r="F129" s="44" t="str">
        <f aca="false">IF(OR($A129="",$D129=""),"",$D129+$E129)</f>
        <v/>
      </c>
      <c r="G129" s="25"/>
      <c r="H129" s="25"/>
      <c r="I129" s="25"/>
      <c r="J129" s="25"/>
      <c r="K129" s="39" t="str">
        <f aca="false">IF($J129="","",IF($J129&gt;=15,5,IF($J129&gt;=10,4,IF($J129&gt;=5,3,IF($J129&gt;=2,2,1)))))</f>
        <v/>
      </c>
      <c r="L129" s="25"/>
      <c r="M129" s="25"/>
      <c r="N129" s="25"/>
      <c r="O129" s="25"/>
      <c r="P129" s="25"/>
      <c r="Q129" s="25"/>
      <c r="R129" s="25"/>
      <c r="S129" s="40" t="str">
        <f aca="false">IF($A129="","",IF(OR(UPPER($O129)="Y",UPPER($P129)="Y",UPPER($Q129)="Y",UPPER($R129)="Y"),"FAIL","PASS"))</f>
        <v/>
      </c>
      <c r="T129" s="39" t="str">
        <f aca="false">IF(OR($A129="",$C129=""),"",$C129*$B$6+$G129*$B$7+$H129*$B$8+$I129*$B$9)</f>
        <v/>
      </c>
      <c r="U129" s="39" t="str">
        <f aca="false">IF(OR($A129="",$K129=""),"",$K129*$B$13+$L129*$B$14+$M129*$B$15+$N129*$B$16)</f>
        <v/>
      </c>
      <c r="V129" s="39" t="str">
        <f aca="false">IF(OR($T129="",$U129=""),"",$T129*$B$19+$U129*(1-$B$19))</f>
        <v/>
      </c>
      <c r="W129" s="27"/>
      <c r="X129" s="22"/>
      <c r="Y129" s="42" t="str">
        <f aca="false">IF(OR($A129="",$W129=""),"",MAX(0,$W129-MAX($W129*Assumptions!$B$4,Assumptions!$B$5)))</f>
        <v/>
      </c>
      <c r="Z129" s="41" t="str">
        <f aca="false">IF($V129="","",Assumptions!$B$6*MAX(0.05,($V129/Assumptions!$B$11)^Assumptions!$B$12))</f>
        <v/>
      </c>
      <c r="AA129" s="41" t="str">
        <f aca="false">IF($Z129="","",1-(1-$Z129)^Assumptions!$B$7)</f>
        <v/>
      </c>
      <c r="AB129" s="42" t="str">
        <f aca="false">IF(OR($F129="",$AA129="",$AA129=0),"",($F129+$E129*Assumptions!$B$7)/($AA129*(1-Assumptions!$B$4)))</f>
        <v/>
      </c>
      <c r="AC129" s="43" t="str">
        <f aca="false">IF(OR($W129="",$AB129="",$AB129=0),"",$W129/$AB129)</f>
        <v/>
      </c>
      <c r="AD129" s="44" t="str">
        <f aca="false">IF(OR($Y129="",$E129="",$AA129=""),"",MAX(0,$Y129*$AA129-$E129*Assumptions!$B$7))</f>
        <v/>
      </c>
      <c r="AE129" s="44" t="str">
        <f aca="false">IF(OR($AD129="",$F129=""),"",$AD129-$F129)</f>
        <v/>
      </c>
      <c r="AF129" s="40" t="str">
        <f aca="false">IF($A129="","",IF($S129="FAIL","REJECT",IF($D129="","NEEDS PRICE",IF(OR($W129="",$X129=""),"NEEDS VALUATION",IF($AC129&lt;1,"OVERPRICED",IF(AND($AC129&gt;=Assumptions!$B$13,$V129&gt;=4),"BUY",IF($V129&gt;=3.4,"BUY CHEAPER",IF($V129&gt;=2.8,"FLOOR ONLY","SKIP"))))))))</f>
        <v/>
      </c>
      <c r="AG129" s="50" t="str">
        <f aca="false">IF($AF129="","",IF($AF129="REJECT","Do not buy at any price",IF($AF129="NEEDS PRICE","Enter the current closeout price",IF($AF129="NEEDS VALUATION","Enter a valuation AND its source before bidding",IF($AF129="OVERPRICED","Worth less than break-even - walk",IF($AF129="BUY","Take it on day 1 at $11 - will not reach the floor",IF($AF129="BUY CHEAPER","Wait to about $8 (day 3), walk if outbid",IF($AF129="FLOOR ONLY","Only at the $5 floor","Skip"))))))))</f>
        <v/>
      </c>
      <c r="AH129" s="35"/>
    </row>
    <row r="130" customFormat="false" ht="15" hidden="false" customHeight="false" outlineLevel="0" collapsed="false">
      <c r="A130" s="22"/>
      <c r="B130" s="36" t="str">
        <f aca="false">IF($A130="","",IF(ISERROR(FIND(".",$A130)),"",LOWER(MID($A130,FIND(CHAR(1),SUBSTITUTE($A130,".",CHAR(1),LEN($A130)-LEN(SUBSTITUTE($A130,".",""))))+1,LEN($A130)))))</f>
        <v/>
      </c>
      <c r="C130" s="37" t="str">
        <f aca="false">IF($B130="","",IFERROR(INDEX(Rubric!$B$14:$B$23,MATCH($B130,Rubric!$A$14:$A$23,0)),INDEX(Rubric!$B$14:$B$23,MATCH("other",Rubric!$A$14:$A$23,0))))</f>
        <v/>
      </c>
      <c r="D130" s="26"/>
      <c r="E130" s="38" t="str">
        <f aca="false">IF($B130="","",IFERROR(INDEX(Rubric!$C$14:$C$23,MATCH($B130,Rubric!$A$14:$A$23,0)),INDEX(Rubric!$C$14:$C$23,MATCH("other",Rubric!$A$14:$A$23,0))))</f>
        <v/>
      </c>
      <c r="F130" s="44" t="str">
        <f aca="false">IF(OR($A130="",$D130=""),"",$D130+$E130)</f>
        <v/>
      </c>
      <c r="G130" s="25"/>
      <c r="H130" s="25"/>
      <c r="I130" s="25"/>
      <c r="J130" s="25"/>
      <c r="K130" s="39" t="str">
        <f aca="false">IF($J130="","",IF($J130&gt;=15,5,IF($J130&gt;=10,4,IF($J130&gt;=5,3,IF($J130&gt;=2,2,1)))))</f>
        <v/>
      </c>
      <c r="L130" s="25"/>
      <c r="M130" s="25"/>
      <c r="N130" s="25"/>
      <c r="O130" s="25"/>
      <c r="P130" s="25"/>
      <c r="Q130" s="25"/>
      <c r="R130" s="25"/>
      <c r="S130" s="40" t="str">
        <f aca="false">IF($A130="","",IF(OR(UPPER($O130)="Y",UPPER($P130)="Y",UPPER($Q130)="Y",UPPER($R130)="Y"),"FAIL","PASS"))</f>
        <v/>
      </c>
      <c r="T130" s="39" t="str">
        <f aca="false">IF(OR($A130="",$C130=""),"",$C130*$B$6+$G130*$B$7+$H130*$B$8+$I130*$B$9)</f>
        <v/>
      </c>
      <c r="U130" s="39" t="str">
        <f aca="false">IF(OR($A130="",$K130=""),"",$K130*$B$13+$L130*$B$14+$M130*$B$15+$N130*$B$16)</f>
        <v/>
      </c>
      <c r="V130" s="39" t="str">
        <f aca="false">IF(OR($T130="",$U130=""),"",$T130*$B$19+$U130*(1-$B$19))</f>
        <v/>
      </c>
      <c r="W130" s="27"/>
      <c r="X130" s="22"/>
      <c r="Y130" s="42" t="str">
        <f aca="false">IF(OR($A130="",$W130=""),"",MAX(0,$W130-MAX($W130*Assumptions!$B$4,Assumptions!$B$5)))</f>
        <v/>
      </c>
      <c r="Z130" s="41" t="str">
        <f aca="false">IF($V130="","",Assumptions!$B$6*MAX(0.05,($V130/Assumptions!$B$11)^Assumptions!$B$12))</f>
        <v/>
      </c>
      <c r="AA130" s="41" t="str">
        <f aca="false">IF($Z130="","",1-(1-$Z130)^Assumptions!$B$7)</f>
        <v/>
      </c>
      <c r="AB130" s="42" t="str">
        <f aca="false">IF(OR($F130="",$AA130="",$AA130=0),"",($F130+$E130*Assumptions!$B$7)/($AA130*(1-Assumptions!$B$4)))</f>
        <v/>
      </c>
      <c r="AC130" s="43" t="str">
        <f aca="false">IF(OR($W130="",$AB130="",$AB130=0),"",$W130/$AB130)</f>
        <v/>
      </c>
      <c r="AD130" s="44" t="str">
        <f aca="false">IF(OR($Y130="",$E130="",$AA130=""),"",MAX(0,$Y130*$AA130-$E130*Assumptions!$B$7))</f>
        <v/>
      </c>
      <c r="AE130" s="44" t="str">
        <f aca="false">IF(OR($AD130="",$F130=""),"",$AD130-$F130)</f>
        <v/>
      </c>
      <c r="AF130" s="40" t="str">
        <f aca="false">IF($A130="","",IF($S130="FAIL","REJECT",IF($D130="","NEEDS PRICE",IF(OR($W130="",$X130=""),"NEEDS VALUATION",IF($AC130&lt;1,"OVERPRICED",IF(AND($AC130&gt;=Assumptions!$B$13,$V130&gt;=4),"BUY",IF($V130&gt;=3.4,"BUY CHEAPER",IF($V130&gt;=2.8,"FLOOR ONLY","SKIP"))))))))</f>
        <v/>
      </c>
      <c r="AG130" s="50" t="str">
        <f aca="false">IF($AF130="","",IF($AF130="REJECT","Do not buy at any price",IF($AF130="NEEDS PRICE","Enter the current closeout price",IF($AF130="NEEDS VALUATION","Enter a valuation AND its source before bidding",IF($AF130="OVERPRICED","Worth less than break-even - walk",IF($AF130="BUY","Take it on day 1 at $11 - will not reach the floor",IF($AF130="BUY CHEAPER","Wait to about $8 (day 3), walk if outbid",IF($AF130="FLOOR ONLY","Only at the $5 floor","Skip"))))))))</f>
        <v/>
      </c>
      <c r="AH130" s="35"/>
    </row>
    <row r="131" customFormat="false" ht="15" hidden="false" customHeight="false" outlineLevel="0" collapsed="false">
      <c r="A131" s="22"/>
      <c r="B131" s="36" t="str">
        <f aca="false">IF($A131="","",IF(ISERROR(FIND(".",$A131)),"",LOWER(MID($A131,FIND(CHAR(1),SUBSTITUTE($A131,".",CHAR(1),LEN($A131)-LEN(SUBSTITUTE($A131,".",""))))+1,LEN($A131)))))</f>
        <v/>
      </c>
      <c r="C131" s="37" t="str">
        <f aca="false">IF($B131="","",IFERROR(INDEX(Rubric!$B$14:$B$23,MATCH($B131,Rubric!$A$14:$A$23,0)),INDEX(Rubric!$B$14:$B$23,MATCH("other",Rubric!$A$14:$A$23,0))))</f>
        <v/>
      </c>
      <c r="D131" s="26"/>
      <c r="E131" s="38" t="str">
        <f aca="false">IF($B131="","",IFERROR(INDEX(Rubric!$C$14:$C$23,MATCH($B131,Rubric!$A$14:$A$23,0)),INDEX(Rubric!$C$14:$C$23,MATCH("other",Rubric!$A$14:$A$23,0))))</f>
        <v/>
      </c>
      <c r="F131" s="44" t="str">
        <f aca="false">IF(OR($A131="",$D131=""),"",$D131+$E131)</f>
        <v/>
      </c>
      <c r="G131" s="25"/>
      <c r="H131" s="25"/>
      <c r="I131" s="25"/>
      <c r="J131" s="25"/>
      <c r="K131" s="39" t="str">
        <f aca="false">IF($J131="","",IF($J131&gt;=15,5,IF($J131&gt;=10,4,IF($J131&gt;=5,3,IF($J131&gt;=2,2,1)))))</f>
        <v/>
      </c>
      <c r="L131" s="25"/>
      <c r="M131" s="25"/>
      <c r="N131" s="25"/>
      <c r="O131" s="25"/>
      <c r="P131" s="25"/>
      <c r="Q131" s="25"/>
      <c r="R131" s="25"/>
      <c r="S131" s="40" t="str">
        <f aca="false">IF($A131="","",IF(OR(UPPER($O131)="Y",UPPER($P131)="Y",UPPER($Q131)="Y",UPPER($R131)="Y"),"FAIL","PASS"))</f>
        <v/>
      </c>
      <c r="T131" s="39" t="str">
        <f aca="false">IF(OR($A131="",$C131=""),"",$C131*$B$6+$G131*$B$7+$H131*$B$8+$I131*$B$9)</f>
        <v/>
      </c>
      <c r="U131" s="39" t="str">
        <f aca="false">IF(OR($A131="",$K131=""),"",$K131*$B$13+$L131*$B$14+$M131*$B$15+$N131*$B$16)</f>
        <v/>
      </c>
      <c r="V131" s="39" t="str">
        <f aca="false">IF(OR($T131="",$U131=""),"",$T131*$B$19+$U131*(1-$B$19))</f>
        <v/>
      </c>
      <c r="W131" s="27"/>
      <c r="X131" s="22"/>
      <c r="Y131" s="42" t="str">
        <f aca="false">IF(OR($A131="",$W131=""),"",MAX(0,$W131-MAX($W131*Assumptions!$B$4,Assumptions!$B$5)))</f>
        <v/>
      </c>
      <c r="Z131" s="41" t="str">
        <f aca="false">IF($V131="","",Assumptions!$B$6*MAX(0.05,($V131/Assumptions!$B$11)^Assumptions!$B$12))</f>
        <v/>
      </c>
      <c r="AA131" s="41" t="str">
        <f aca="false">IF($Z131="","",1-(1-$Z131)^Assumptions!$B$7)</f>
        <v/>
      </c>
      <c r="AB131" s="42" t="str">
        <f aca="false">IF(OR($F131="",$AA131="",$AA131=0),"",($F131+$E131*Assumptions!$B$7)/($AA131*(1-Assumptions!$B$4)))</f>
        <v/>
      </c>
      <c r="AC131" s="43" t="str">
        <f aca="false">IF(OR($W131="",$AB131="",$AB131=0),"",$W131/$AB131)</f>
        <v/>
      </c>
      <c r="AD131" s="44" t="str">
        <f aca="false">IF(OR($Y131="",$E131="",$AA131=""),"",MAX(0,$Y131*$AA131-$E131*Assumptions!$B$7))</f>
        <v/>
      </c>
      <c r="AE131" s="44" t="str">
        <f aca="false">IF(OR($AD131="",$F131=""),"",$AD131-$F131)</f>
        <v/>
      </c>
      <c r="AF131" s="40" t="str">
        <f aca="false">IF($A131="","",IF($S131="FAIL","REJECT",IF($D131="","NEEDS PRICE",IF(OR($W131="",$X131=""),"NEEDS VALUATION",IF($AC131&lt;1,"OVERPRICED",IF(AND($AC131&gt;=Assumptions!$B$13,$V131&gt;=4),"BUY",IF($V131&gt;=3.4,"BUY CHEAPER",IF($V131&gt;=2.8,"FLOOR ONLY","SKIP"))))))))</f>
        <v/>
      </c>
      <c r="AG131" s="50" t="str">
        <f aca="false">IF($AF131="","",IF($AF131="REJECT","Do not buy at any price",IF($AF131="NEEDS PRICE","Enter the current closeout price",IF($AF131="NEEDS VALUATION","Enter a valuation AND its source before bidding",IF($AF131="OVERPRICED","Worth less than break-even - walk",IF($AF131="BUY","Take it on day 1 at $11 - will not reach the floor",IF($AF131="BUY CHEAPER","Wait to about $8 (day 3), walk if outbid",IF($AF131="FLOOR ONLY","Only at the $5 floor","Skip"))))))))</f>
        <v/>
      </c>
      <c r="AH131" s="35"/>
    </row>
    <row r="132" customFormat="false" ht="15" hidden="false" customHeight="false" outlineLevel="0" collapsed="false">
      <c r="A132" s="22"/>
      <c r="B132" s="36" t="str">
        <f aca="false">IF($A132="","",IF(ISERROR(FIND(".",$A132)),"",LOWER(MID($A132,FIND(CHAR(1),SUBSTITUTE($A132,".",CHAR(1),LEN($A132)-LEN(SUBSTITUTE($A132,".",""))))+1,LEN($A132)))))</f>
        <v/>
      </c>
      <c r="C132" s="37" t="str">
        <f aca="false">IF($B132="","",IFERROR(INDEX(Rubric!$B$14:$B$23,MATCH($B132,Rubric!$A$14:$A$23,0)),INDEX(Rubric!$B$14:$B$23,MATCH("other",Rubric!$A$14:$A$23,0))))</f>
        <v/>
      </c>
      <c r="D132" s="26"/>
      <c r="E132" s="38" t="str">
        <f aca="false">IF($B132="","",IFERROR(INDEX(Rubric!$C$14:$C$23,MATCH($B132,Rubric!$A$14:$A$23,0)),INDEX(Rubric!$C$14:$C$23,MATCH("other",Rubric!$A$14:$A$23,0))))</f>
        <v/>
      </c>
      <c r="F132" s="44" t="str">
        <f aca="false">IF(OR($A132="",$D132=""),"",$D132+$E132)</f>
        <v/>
      </c>
      <c r="G132" s="25"/>
      <c r="H132" s="25"/>
      <c r="I132" s="25"/>
      <c r="J132" s="25"/>
      <c r="K132" s="39" t="str">
        <f aca="false">IF($J132="","",IF($J132&gt;=15,5,IF($J132&gt;=10,4,IF($J132&gt;=5,3,IF($J132&gt;=2,2,1)))))</f>
        <v/>
      </c>
      <c r="L132" s="25"/>
      <c r="M132" s="25"/>
      <c r="N132" s="25"/>
      <c r="O132" s="25"/>
      <c r="P132" s="25"/>
      <c r="Q132" s="25"/>
      <c r="R132" s="25"/>
      <c r="S132" s="40" t="str">
        <f aca="false">IF($A132="","",IF(OR(UPPER($O132)="Y",UPPER($P132)="Y",UPPER($Q132)="Y",UPPER($R132)="Y"),"FAIL","PASS"))</f>
        <v/>
      </c>
      <c r="T132" s="39" t="str">
        <f aca="false">IF(OR($A132="",$C132=""),"",$C132*$B$6+$G132*$B$7+$H132*$B$8+$I132*$B$9)</f>
        <v/>
      </c>
      <c r="U132" s="39" t="str">
        <f aca="false">IF(OR($A132="",$K132=""),"",$K132*$B$13+$L132*$B$14+$M132*$B$15+$N132*$B$16)</f>
        <v/>
      </c>
      <c r="V132" s="39" t="str">
        <f aca="false">IF(OR($T132="",$U132=""),"",$T132*$B$19+$U132*(1-$B$19))</f>
        <v/>
      </c>
      <c r="W132" s="27"/>
      <c r="X132" s="22"/>
      <c r="Y132" s="42" t="str">
        <f aca="false">IF(OR($A132="",$W132=""),"",MAX(0,$W132-MAX($W132*Assumptions!$B$4,Assumptions!$B$5)))</f>
        <v/>
      </c>
      <c r="Z132" s="41" t="str">
        <f aca="false">IF($V132="","",Assumptions!$B$6*MAX(0.05,($V132/Assumptions!$B$11)^Assumptions!$B$12))</f>
        <v/>
      </c>
      <c r="AA132" s="41" t="str">
        <f aca="false">IF($Z132="","",1-(1-$Z132)^Assumptions!$B$7)</f>
        <v/>
      </c>
      <c r="AB132" s="42" t="str">
        <f aca="false">IF(OR($F132="",$AA132="",$AA132=0),"",($F132+$E132*Assumptions!$B$7)/($AA132*(1-Assumptions!$B$4)))</f>
        <v/>
      </c>
      <c r="AC132" s="43" t="str">
        <f aca="false">IF(OR($W132="",$AB132="",$AB132=0),"",$W132/$AB132)</f>
        <v/>
      </c>
      <c r="AD132" s="44" t="str">
        <f aca="false">IF(OR($Y132="",$E132="",$AA132=""),"",MAX(0,$Y132*$AA132-$E132*Assumptions!$B$7))</f>
        <v/>
      </c>
      <c r="AE132" s="44" t="str">
        <f aca="false">IF(OR($AD132="",$F132=""),"",$AD132-$F132)</f>
        <v/>
      </c>
      <c r="AF132" s="40" t="str">
        <f aca="false">IF($A132="","",IF($S132="FAIL","REJECT",IF($D132="","NEEDS PRICE",IF(OR($W132="",$X132=""),"NEEDS VALUATION",IF($AC132&lt;1,"OVERPRICED",IF(AND($AC132&gt;=Assumptions!$B$13,$V132&gt;=4),"BUY",IF($V132&gt;=3.4,"BUY CHEAPER",IF($V132&gt;=2.8,"FLOOR ONLY","SKIP"))))))))</f>
        <v/>
      </c>
      <c r="AG132" s="50" t="str">
        <f aca="false">IF($AF132="","",IF($AF132="REJECT","Do not buy at any price",IF($AF132="NEEDS PRICE","Enter the current closeout price",IF($AF132="NEEDS VALUATION","Enter a valuation AND its source before bidding",IF($AF132="OVERPRICED","Worth less than break-even - walk",IF($AF132="BUY","Take it on day 1 at $11 - will not reach the floor",IF($AF132="BUY CHEAPER","Wait to about $8 (day 3), walk if outbid",IF($AF132="FLOOR ONLY","Only at the $5 floor","Skip"))))))))</f>
        <v/>
      </c>
      <c r="AH132" s="35"/>
    </row>
    <row r="133" customFormat="false" ht="15" hidden="false" customHeight="false" outlineLevel="0" collapsed="false">
      <c r="A133" s="22"/>
      <c r="B133" s="36" t="str">
        <f aca="false">IF($A133="","",IF(ISERROR(FIND(".",$A133)),"",LOWER(MID($A133,FIND(CHAR(1),SUBSTITUTE($A133,".",CHAR(1),LEN($A133)-LEN(SUBSTITUTE($A133,".",""))))+1,LEN($A133)))))</f>
        <v/>
      </c>
      <c r="C133" s="37" t="str">
        <f aca="false">IF($B133="","",IFERROR(INDEX(Rubric!$B$14:$B$23,MATCH($B133,Rubric!$A$14:$A$23,0)),INDEX(Rubric!$B$14:$B$23,MATCH("other",Rubric!$A$14:$A$23,0))))</f>
        <v/>
      </c>
      <c r="D133" s="26"/>
      <c r="E133" s="38" t="str">
        <f aca="false">IF($B133="","",IFERROR(INDEX(Rubric!$C$14:$C$23,MATCH($B133,Rubric!$A$14:$A$23,0)),INDEX(Rubric!$C$14:$C$23,MATCH("other",Rubric!$A$14:$A$23,0))))</f>
        <v/>
      </c>
      <c r="F133" s="44" t="str">
        <f aca="false">IF(OR($A133="",$D133=""),"",$D133+$E133)</f>
        <v/>
      </c>
      <c r="G133" s="25"/>
      <c r="H133" s="25"/>
      <c r="I133" s="25"/>
      <c r="J133" s="25"/>
      <c r="K133" s="39" t="str">
        <f aca="false">IF($J133="","",IF($J133&gt;=15,5,IF($J133&gt;=10,4,IF($J133&gt;=5,3,IF($J133&gt;=2,2,1)))))</f>
        <v/>
      </c>
      <c r="L133" s="25"/>
      <c r="M133" s="25"/>
      <c r="N133" s="25"/>
      <c r="O133" s="25"/>
      <c r="P133" s="25"/>
      <c r="Q133" s="25"/>
      <c r="R133" s="25"/>
      <c r="S133" s="40" t="str">
        <f aca="false">IF($A133="","",IF(OR(UPPER($O133)="Y",UPPER($P133)="Y",UPPER($Q133)="Y",UPPER($R133)="Y"),"FAIL","PASS"))</f>
        <v/>
      </c>
      <c r="T133" s="39" t="str">
        <f aca="false">IF(OR($A133="",$C133=""),"",$C133*$B$6+$G133*$B$7+$H133*$B$8+$I133*$B$9)</f>
        <v/>
      </c>
      <c r="U133" s="39" t="str">
        <f aca="false">IF(OR($A133="",$K133=""),"",$K133*$B$13+$L133*$B$14+$M133*$B$15+$N133*$B$16)</f>
        <v/>
      </c>
      <c r="V133" s="39" t="str">
        <f aca="false">IF(OR($T133="",$U133=""),"",$T133*$B$19+$U133*(1-$B$19))</f>
        <v/>
      </c>
      <c r="W133" s="27"/>
      <c r="X133" s="22"/>
      <c r="Y133" s="42" t="str">
        <f aca="false">IF(OR($A133="",$W133=""),"",MAX(0,$W133-MAX($W133*Assumptions!$B$4,Assumptions!$B$5)))</f>
        <v/>
      </c>
      <c r="Z133" s="41" t="str">
        <f aca="false">IF($V133="","",Assumptions!$B$6*MAX(0.05,($V133/Assumptions!$B$11)^Assumptions!$B$12))</f>
        <v/>
      </c>
      <c r="AA133" s="41" t="str">
        <f aca="false">IF($Z133="","",1-(1-$Z133)^Assumptions!$B$7)</f>
        <v/>
      </c>
      <c r="AB133" s="42" t="str">
        <f aca="false">IF(OR($F133="",$AA133="",$AA133=0),"",($F133+$E133*Assumptions!$B$7)/($AA133*(1-Assumptions!$B$4)))</f>
        <v/>
      </c>
      <c r="AC133" s="43" t="str">
        <f aca="false">IF(OR($W133="",$AB133="",$AB133=0),"",$W133/$AB133)</f>
        <v/>
      </c>
      <c r="AD133" s="44" t="str">
        <f aca="false">IF(OR($Y133="",$E133="",$AA133=""),"",MAX(0,$Y133*$AA133-$E133*Assumptions!$B$7))</f>
        <v/>
      </c>
      <c r="AE133" s="44" t="str">
        <f aca="false">IF(OR($AD133="",$F133=""),"",$AD133-$F133)</f>
        <v/>
      </c>
      <c r="AF133" s="40" t="str">
        <f aca="false">IF($A133="","",IF($S133="FAIL","REJECT",IF($D133="","NEEDS PRICE",IF(OR($W133="",$X133=""),"NEEDS VALUATION",IF($AC133&lt;1,"OVERPRICED",IF(AND($AC133&gt;=Assumptions!$B$13,$V133&gt;=4),"BUY",IF($V133&gt;=3.4,"BUY CHEAPER",IF($V133&gt;=2.8,"FLOOR ONLY","SKIP"))))))))</f>
        <v/>
      </c>
      <c r="AG133" s="50" t="str">
        <f aca="false">IF($AF133="","",IF($AF133="REJECT","Do not buy at any price",IF($AF133="NEEDS PRICE","Enter the current closeout price",IF($AF133="NEEDS VALUATION","Enter a valuation AND its source before bidding",IF($AF133="OVERPRICED","Worth less than break-even - walk",IF($AF133="BUY","Take it on day 1 at $11 - will not reach the floor",IF($AF133="BUY CHEAPER","Wait to about $8 (day 3), walk if outbid",IF($AF133="FLOOR ONLY","Only at the $5 floor","Skip"))))))))</f>
        <v/>
      </c>
      <c r="AH133" s="35"/>
    </row>
    <row r="134" customFormat="false" ht="15" hidden="false" customHeight="false" outlineLevel="0" collapsed="false">
      <c r="A134" s="22"/>
      <c r="B134" s="36" t="str">
        <f aca="false">IF($A134="","",IF(ISERROR(FIND(".",$A134)),"",LOWER(MID($A134,FIND(CHAR(1),SUBSTITUTE($A134,".",CHAR(1),LEN($A134)-LEN(SUBSTITUTE($A134,".",""))))+1,LEN($A134)))))</f>
        <v/>
      </c>
      <c r="C134" s="37" t="str">
        <f aca="false">IF($B134="","",IFERROR(INDEX(Rubric!$B$14:$B$23,MATCH($B134,Rubric!$A$14:$A$23,0)),INDEX(Rubric!$B$14:$B$23,MATCH("other",Rubric!$A$14:$A$23,0))))</f>
        <v/>
      </c>
      <c r="D134" s="26"/>
      <c r="E134" s="38" t="str">
        <f aca="false">IF($B134="","",IFERROR(INDEX(Rubric!$C$14:$C$23,MATCH($B134,Rubric!$A$14:$A$23,0)),INDEX(Rubric!$C$14:$C$23,MATCH("other",Rubric!$A$14:$A$23,0))))</f>
        <v/>
      </c>
      <c r="F134" s="44" t="str">
        <f aca="false">IF(OR($A134="",$D134=""),"",$D134+$E134)</f>
        <v/>
      </c>
      <c r="G134" s="25"/>
      <c r="H134" s="25"/>
      <c r="I134" s="25"/>
      <c r="J134" s="25"/>
      <c r="K134" s="39" t="str">
        <f aca="false">IF($J134="","",IF($J134&gt;=15,5,IF($J134&gt;=10,4,IF($J134&gt;=5,3,IF($J134&gt;=2,2,1)))))</f>
        <v/>
      </c>
      <c r="L134" s="25"/>
      <c r="M134" s="25"/>
      <c r="N134" s="25"/>
      <c r="O134" s="25"/>
      <c r="P134" s="25"/>
      <c r="Q134" s="25"/>
      <c r="R134" s="25"/>
      <c r="S134" s="40" t="str">
        <f aca="false">IF($A134="","",IF(OR(UPPER($O134)="Y",UPPER($P134)="Y",UPPER($Q134)="Y",UPPER($R134)="Y"),"FAIL","PASS"))</f>
        <v/>
      </c>
      <c r="T134" s="39" t="str">
        <f aca="false">IF(OR($A134="",$C134=""),"",$C134*$B$6+$G134*$B$7+$H134*$B$8+$I134*$B$9)</f>
        <v/>
      </c>
      <c r="U134" s="39" t="str">
        <f aca="false">IF(OR($A134="",$K134=""),"",$K134*$B$13+$L134*$B$14+$M134*$B$15+$N134*$B$16)</f>
        <v/>
      </c>
      <c r="V134" s="39" t="str">
        <f aca="false">IF(OR($T134="",$U134=""),"",$T134*$B$19+$U134*(1-$B$19))</f>
        <v/>
      </c>
      <c r="W134" s="27"/>
      <c r="X134" s="22"/>
      <c r="Y134" s="42" t="str">
        <f aca="false">IF(OR($A134="",$W134=""),"",MAX(0,$W134-MAX($W134*Assumptions!$B$4,Assumptions!$B$5)))</f>
        <v/>
      </c>
      <c r="Z134" s="41" t="str">
        <f aca="false">IF($V134="","",Assumptions!$B$6*MAX(0.05,($V134/Assumptions!$B$11)^Assumptions!$B$12))</f>
        <v/>
      </c>
      <c r="AA134" s="41" t="str">
        <f aca="false">IF($Z134="","",1-(1-$Z134)^Assumptions!$B$7)</f>
        <v/>
      </c>
      <c r="AB134" s="42" t="str">
        <f aca="false">IF(OR($F134="",$AA134="",$AA134=0),"",($F134+$E134*Assumptions!$B$7)/($AA134*(1-Assumptions!$B$4)))</f>
        <v/>
      </c>
      <c r="AC134" s="43" t="str">
        <f aca="false">IF(OR($W134="",$AB134="",$AB134=0),"",$W134/$AB134)</f>
        <v/>
      </c>
      <c r="AD134" s="44" t="str">
        <f aca="false">IF(OR($Y134="",$E134="",$AA134=""),"",MAX(0,$Y134*$AA134-$E134*Assumptions!$B$7))</f>
        <v/>
      </c>
      <c r="AE134" s="44" t="str">
        <f aca="false">IF(OR($AD134="",$F134=""),"",$AD134-$F134)</f>
        <v/>
      </c>
      <c r="AF134" s="40" t="str">
        <f aca="false">IF($A134="","",IF($S134="FAIL","REJECT",IF($D134="","NEEDS PRICE",IF(OR($W134="",$X134=""),"NEEDS VALUATION",IF($AC134&lt;1,"OVERPRICED",IF(AND($AC134&gt;=Assumptions!$B$13,$V134&gt;=4),"BUY",IF($V134&gt;=3.4,"BUY CHEAPER",IF($V134&gt;=2.8,"FLOOR ONLY","SKIP"))))))))</f>
        <v/>
      </c>
      <c r="AG134" s="50" t="str">
        <f aca="false">IF($AF134="","",IF($AF134="REJECT","Do not buy at any price",IF($AF134="NEEDS PRICE","Enter the current closeout price",IF($AF134="NEEDS VALUATION","Enter a valuation AND its source before bidding",IF($AF134="OVERPRICED","Worth less than break-even - walk",IF($AF134="BUY","Take it on day 1 at $11 - will not reach the floor",IF($AF134="BUY CHEAPER","Wait to about $8 (day 3), walk if outbid",IF($AF134="FLOOR ONLY","Only at the $5 floor","Skip"))))))))</f>
        <v/>
      </c>
      <c r="AH134" s="35"/>
    </row>
    <row r="135" customFormat="false" ht="15" hidden="false" customHeight="false" outlineLevel="0" collapsed="false">
      <c r="A135" s="22"/>
      <c r="B135" s="36" t="str">
        <f aca="false">IF($A135="","",IF(ISERROR(FIND(".",$A135)),"",LOWER(MID($A135,FIND(CHAR(1),SUBSTITUTE($A135,".",CHAR(1),LEN($A135)-LEN(SUBSTITUTE($A135,".",""))))+1,LEN($A135)))))</f>
        <v/>
      </c>
      <c r="C135" s="37" t="str">
        <f aca="false">IF($B135="","",IFERROR(INDEX(Rubric!$B$14:$B$23,MATCH($B135,Rubric!$A$14:$A$23,0)),INDEX(Rubric!$B$14:$B$23,MATCH("other",Rubric!$A$14:$A$23,0))))</f>
        <v/>
      </c>
      <c r="D135" s="26"/>
      <c r="E135" s="38" t="str">
        <f aca="false">IF($B135="","",IFERROR(INDEX(Rubric!$C$14:$C$23,MATCH($B135,Rubric!$A$14:$A$23,0)),INDEX(Rubric!$C$14:$C$23,MATCH("other",Rubric!$A$14:$A$23,0))))</f>
        <v/>
      </c>
      <c r="F135" s="44" t="str">
        <f aca="false">IF(OR($A135="",$D135=""),"",$D135+$E135)</f>
        <v/>
      </c>
      <c r="G135" s="25"/>
      <c r="H135" s="25"/>
      <c r="I135" s="25"/>
      <c r="J135" s="25"/>
      <c r="K135" s="39" t="str">
        <f aca="false">IF($J135="","",IF($J135&gt;=15,5,IF($J135&gt;=10,4,IF($J135&gt;=5,3,IF($J135&gt;=2,2,1)))))</f>
        <v/>
      </c>
      <c r="L135" s="25"/>
      <c r="M135" s="25"/>
      <c r="N135" s="25"/>
      <c r="O135" s="25"/>
      <c r="P135" s="25"/>
      <c r="Q135" s="25"/>
      <c r="R135" s="25"/>
      <c r="S135" s="40" t="str">
        <f aca="false">IF($A135="","",IF(OR(UPPER($O135)="Y",UPPER($P135)="Y",UPPER($Q135)="Y",UPPER($R135)="Y"),"FAIL","PASS"))</f>
        <v/>
      </c>
      <c r="T135" s="39" t="str">
        <f aca="false">IF(OR($A135="",$C135=""),"",$C135*$B$6+$G135*$B$7+$H135*$B$8+$I135*$B$9)</f>
        <v/>
      </c>
      <c r="U135" s="39" t="str">
        <f aca="false">IF(OR($A135="",$K135=""),"",$K135*$B$13+$L135*$B$14+$M135*$B$15+$N135*$B$16)</f>
        <v/>
      </c>
      <c r="V135" s="39" t="str">
        <f aca="false">IF(OR($T135="",$U135=""),"",$T135*$B$19+$U135*(1-$B$19))</f>
        <v/>
      </c>
      <c r="W135" s="27"/>
      <c r="X135" s="22"/>
      <c r="Y135" s="42" t="str">
        <f aca="false">IF(OR($A135="",$W135=""),"",MAX(0,$W135-MAX($W135*Assumptions!$B$4,Assumptions!$B$5)))</f>
        <v/>
      </c>
      <c r="Z135" s="41" t="str">
        <f aca="false">IF($V135="","",Assumptions!$B$6*MAX(0.05,($V135/Assumptions!$B$11)^Assumptions!$B$12))</f>
        <v/>
      </c>
      <c r="AA135" s="41" t="str">
        <f aca="false">IF($Z135="","",1-(1-$Z135)^Assumptions!$B$7)</f>
        <v/>
      </c>
      <c r="AB135" s="42" t="str">
        <f aca="false">IF(OR($F135="",$AA135="",$AA135=0),"",($F135+$E135*Assumptions!$B$7)/($AA135*(1-Assumptions!$B$4)))</f>
        <v/>
      </c>
      <c r="AC135" s="43" t="str">
        <f aca="false">IF(OR($W135="",$AB135="",$AB135=0),"",$W135/$AB135)</f>
        <v/>
      </c>
      <c r="AD135" s="44" t="str">
        <f aca="false">IF(OR($Y135="",$E135="",$AA135=""),"",MAX(0,$Y135*$AA135-$E135*Assumptions!$B$7))</f>
        <v/>
      </c>
      <c r="AE135" s="44" t="str">
        <f aca="false">IF(OR($AD135="",$F135=""),"",$AD135-$F135)</f>
        <v/>
      </c>
      <c r="AF135" s="40" t="str">
        <f aca="false">IF($A135="","",IF($S135="FAIL","REJECT",IF($D135="","NEEDS PRICE",IF(OR($W135="",$X135=""),"NEEDS VALUATION",IF($AC135&lt;1,"OVERPRICED",IF(AND($AC135&gt;=Assumptions!$B$13,$V135&gt;=4),"BUY",IF($V135&gt;=3.4,"BUY CHEAPER",IF($V135&gt;=2.8,"FLOOR ONLY","SKIP"))))))))</f>
        <v/>
      </c>
      <c r="AG135" s="50" t="str">
        <f aca="false">IF($AF135="","",IF($AF135="REJECT","Do not buy at any price",IF($AF135="NEEDS PRICE","Enter the current closeout price",IF($AF135="NEEDS VALUATION","Enter a valuation AND its source before bidding",IF($AF135="OVERPRICED","Worth less than break-even - walk",IF($AF135="BUY","Take it on day 1 at $11 - will not reach the floor",IF($AF135="BUY CHEAPER","Wait to about $8 (day 3), walk if outbid",IF($AF135="FLOOR ONLY","Only at the $5 floor","Skip"))))))))</f>
        <v/>
      </c>
      <c r="AH135" s="35"/>
    </row>
    <row r="136" customFormat="false" ht="15" hidden="false" customHeight="false" outlineLevel="0" collapsed="false">
      <c r="A136" s="22"/>
      <c r="B136" s="36" t="str">
        <f aca="false">IF($A136="","",IF(ISERROR(FIND(".",$A136)),"",LOWER(MID($A136,FIND(CHAR(1),SUBSTITUTE($A136,".",CHAR(1),LEN($A136)-LEN(SUBSTITUTE($A136,".",""))))+1,LEN($A136)))))</f>
        <v/>
      </c>
      <c r="C136" s="37" t="str">
        <f aca="false">IF($B136="","",IFERROR(INDEX(Rubric!$B$14:$B$23,MATCH($B136,Rubric!$A$14:$A$23,0)),INDEX(Rubric!$B$14:$B$23,MATCH("other",Rubric!$A$14:$A$23,0))))</f>
        <v/>
      </c>
      <c r="D136" s="26"/>
      <c r="E136" s="38" t="str">
        <f aca="false">IF($B136="","",IFERROR(INDEX(Rubric!$C$14:$C$23,MATCH($B136,Rubric!$A$14:$A$23,0)),INDEX(Rubric!$C$14:$C$23,MATCH("other",Rubric!$A$14:$A$23,0))))</f>
        <v/>
      </c>
      <c r="F136" s="44" t="str">
        <f aca="false">IF(OR($A136="",$D136=""),"",$D136+$E136)</f>
        <v/>
      </c>
      <c r="G136" s="25"/>
      <c r="H136" s="25"/>
      <c r="I136" s="25"/>
      <c r="J136" s="25"/>
      <c r="K136" s="39" t="str">
        <f aca="false">IF($J136="","",IF($J136&gt;=15,5,IF($J136&gt;=10,4,IF($J136&gt;=5,3,IF($J136&gt;=2,2,1)))))</f>
        <v/>
      </c>
      <c r="L136" s="25"/>
      <c r="M136" s="25"/>
      <c r="N136" s="25"/>
      <c r="O136" s="25"/>
      <c r="P136" s="25"/>
      <c r="Q136" s="25"/>
      <c r="R136" s="25"/>
      <c r="S136" s="40" t="str">
        <f aca="false">IF($A136="","",IF(OR(UPPER($O136)="Y",UPPER($P136)="Y",UPPER($Q136)="Y",UPPER($R136)="Y"),"FAIL","PASS"))</f>
        <v/>
      </c>
      <c r="T136" s="39" t="str">
        <f aca="false">IF(OR($A136="",$C136=""),"",$C136*$B$6+$G136*$B$7+$H136*$B$8+$I136*$B$9)</f>
        <v/>
      </c>
      <c r="U136" s="39" t="str">
        <f aca="false">IF(OR($A136="",$K136=""),"",$K136*$B$13+$L136*$B$14+$M136*$B$15+$N136*$B$16)</f>
        <v/>
      </c>
      <c r="V136" s="39" t="str">
        <f aca="false">IF(OR($T136="",$U136=""),"",$T136*$B$19+$U136*(1-$B$19))</f>
        <v/>
      </c>
      <c r="W136" s="27"/>
      <c r="X136" s="22"/>
      <c r="Y136" s="42" t="str">
        <f aca="false">IF(OR($A136="",$W136=""),"",MAX(0,$W136-MAX($W136*Assumptions!$B$4,Assumptions!$B$5)))</f>
        <v/>
      </c>
      <c r="Z136" s="41" t="str">
        <f aca="false">IF($V136="","",Assumptions!$B$6*MAX(0.05,($V136/Assumptions!$B$11)^Assumptions!$B$12))</f>
        <v/>
      </c>
      <c r="AA136" s="41" t="str">
        <f aca="false">IF($Z136="","",1-(1-$Z136)^Assumptions!$B$7)</f>
        <v/>
      </c>
      <c r="AB136" s="42" t="str">
        <f aca="false">IF(OR($F136="",$AA136="",$AA136=0),"",($F136+$E136*Assumptions!$B$7)/($AA136*(1-Assumptions!$B$4)))</f>
        <v/>
      </c>
      <c r="AC136" s="43" t="str">
        <f aca="false">IF(OR($W136="",$AB136="",$AB136=0),"",$W136/$AB136)</f>
        <v/>
      </c>
      <c r="AD136" s="44" t="str">
        <f aca="false">IF(OR($Y136="",$E136="",$AA136=""),"",MAX(0,$Y136*$AA136-$E136*Assumptions!$B$7))</f>
        <v/>
      </c>
      <c r="AE136" s="44" t="str">
        <f aca="false">IF(OR($AD136="",$F136=""),"",$AD136-$F136)</f>
        <v/>
      </c>
      <c r="AF136" s="40" t="str">
        <f aca="false">IF($A136="","",IF($S136="FAIL","REJECT",IF($D136="","NEEDS PRICE",IF(OR($W136="",$X136=""),"NEEDS VALUATION",IF($AC136&lt;1,"OVERPRICED",IF(AND($AC136&gt;=Assumptions!$B$13,$V136&gt;=4),"BUY",IF($V136&gt;=3.4,"BUY CHEAPER",IF($V136&gt;=2.8,"FLOOR ONLY","SKIP"))))))))</f>
        <v/>
      </c>
      <c r="AG136" s="50" t="str">
        <f aca="false">IF($AF136="","",IF($AF136="REJECT","Do not buy at any price",IF($AF136="NEEDS PRICE","Enter the current closeout price",IF($AF136="NEEDS VALUATION","Enter a valuation AND its source before bidding",IF($AF136="OVERPRICED","Worth less than break-even - walk",IF($AF136="BUY","Take it on day 1 at $11 - will not reach the floor",IF($AF136="BUY CHEAPER","Wait to about $8 (day 3), walk if outbid",IF($AF136="FLOOR ONLY","Only at the $5 floor","Skip"))))))))</f>
        <v/>
      </c>
      <c r="AH136" s="35"/>
    </row>
    <row r="137" customFormat="false" ht="15" hidden="false" customHeight="false" outlineLevel="0" collapsed="false">
      <c r="A137" s="22"/>
      <c r="B137" s="36" t="str">
        <f aca="false">IF($A137="","",IF(ISERROR(FIND(".",$A137)),"",LOWER(MID($A137,FIND(CHAR(1),SUBSTITUTE($A137,".",CHAR(1),LEN($A137)-LEN(SUBSTITUTE($A137,".",""))))+1,LEN($A137)))))</f>
        <v/>
      </c>
      <c r="C137" s="37" t="str">
        <f aca="false">IF($B137="","",IFERROR(INDEX(Rubric!$B$14:$B$23,MATCH($B137,Rubric!$A$14:$A$23,0)),INDEX(Rubric!$B$14:$B$23,MATCH("other",Rubric!$A$14:$A$23,0))))</f>
        <v/>
      </c>
      <c r="D137" s="26"/>
      <c r="E137" s="38" t="str">
        <f aca="false">IF($B137="","",IFERROR(INDEX(Rubric!$C$14:$C$23,MATCH($B137,Rubric!$A$14:$A$23,0)),INDEX(Rubric!$C$14:$C$23,MATCH("other",Rubric!$A$14:$A$23,0))))</f>
        <v/>
      </c>
      <c r="F137" s="44" t="str">
        <f aca="false">IF(OR($A137="",$D137=""),"",$D137+$E137)</f>
        <v/>
      </c>
      <c r="G137" s="25"/>
      <c r="H137" s="25"/>
      <c r="I137" s="25"/>
      <c r="J137" s="25"/>
      <c r="K137" s="39" t="str">
        <f aca="false">IF($J137="","",IF($J137&gt;=15,5,IF($J137&gt;=10,4,IF($J137&gt;=5,3,IF($J137&gt;=2,2,1)))))</f>
        <v/>
      </c>
      <c r="L137" s="25"/>
      <c r="M137" s="25"/>
      <c r="N137" s="25"/>
      <c r="O137" s="25"/>
      <c r="P137" s="25"/>
      <c r="Q137" s="25"/>
      <c r="R137" s="25"/>
      <c r="S137" s="40" t="str">
        <f aca="false">IF($A137="","",IF(OR(UPPER($O137)="Y",UPPER($P137)="Y",UPPER($Q137)="Y",UPPER($R137)="Y"),"FAIL","PASS"))</f>
        <v/>
      </c>
      <c r="T137" s="39" t="str">
        <f aca="false">IF(OR($A137="",$C137=""),"",$C137*$B$6+$G137*$B$7+$H137*$B$8+$I137*$B$9)</f>
        <v/>
      </c>
      <c r="U137" s="39" t="str">
        <f aca="false">IF(OR($A137="",$K137=""),"",$K137*$B$13+$L137*$B$14+$M137*$B$15+$N137*$B$16)</f>
        <v/>
      </c>
      <c r="V137" s="39" t="str">
        <f aca="false">IF(OR($T137="",$U137=""),"",$T137*$B$19+$U137*(1-$B$19))</f>
        <v/>
      </c>
      <c r="W137" s="27"/>
      <c r="X137" s="22"/>
      <c r="Y137" s="42" t="str">
        <f aca="false">IF(OR($A137="",$W137=""),"",MAX(0,$W137-MAX($W137*Assumptions!$B$4,Assumptions!$B$5)))</f>
        <v/>
      </c>
      <c r="Z137" s="41" t="str">
        <f aca="false">IF($V137="","",Assumptions!$B$6*MAX(0.05,($V137/Assumptions!$B$11)^Assumptions!$B$12))</f>
        <v/>
      </c>
      <c r="AA137" s="41" t="str">
        <f aca="false">IF($Z137="","",1-(1-$Z137)^Assumptions!$B$7)</f>
        <v/>
      </c>
      <c r="AB137" s="42" t="str">
        <f aca="false">IF(OR($F137="",$AA137="",$AA137=0),"",($F137+$E137*Assumptions!$B$7)/($AA137*(1-Assumptions!$B$4)))</f>
        <v/>
      </c>
      <c r="AC137" s="43" t="str">
        <f aca="false">IF(OR($W137="",$AB137="",$AB137=0),"",$W137/$AB137)</f>
        <v/>
      </c>
      <c r="AD137" s="44" t="str">
        <f aca="false">IF(OR($Y137="",$E137="",$AA137=""),"",MAX(0,$Y137*$AA137-$E137*Assumptions!$B$7))</f>
        <v/>
      </c>
      <c r="AE137" s="44" t="str">
        <f aca="false">IF(OR($AD137="",$F137=""),"",$AD137-$F137)</f>
        <v/>
      </c>
      <c r="AF137" s="40" t="str">
        <f aca="false">IF($A137="","",IF($S137="FAIL","REJECT",IF($D137="","NEEDS PRICE",IF(OR($W137="",$X137=""),"NEEDS VALUATION",IF($AC137&lt;1,"OVERPRICED",IF(AND($AC137&gt;=Assumptions!$B$13,$V137&gt;=4),"BUY",IF($V137&gt;=3.4,"BUY CHEAPER",IF($V137&gt;=2.8,"FLOOR ONLY","SKIP"))))))))</f>
        <v/>
      </c>
      <c r="AG137" s="50" t="str">
        <f aca="false">IF($AF137="","",IF($AF137="REJECT","Do not buy at any price",IF($AF137="NEEDS PRICE","Enter the current closeout price",IF($AF137="NEEDS VALUATION","Enter a valuation AND its source before bidding",IF($AF137="OVERPRICED","Worth less than break-even - walk",IF($AF137="BUY","Take it on day 1 at $11 - will not reach the floor",IF($AF137="BUY CHEAPER","Wait to about $8 (day 3), walk if outbid",IF($AF137="FLOOR ONLY","Only at the $5 floor","Skip"))))))))</f>
        <v/>
      </c>
      <c r="AH137" s="35"/>
    </row>
    <row r="138" customFormat="false" ht="15" hidden="false" customHeight="false" outlineLevel="0" collapsed="false">
      <c r="A138" s="22"/>
      <c r="B138" s="36" t="str">
        <f aca="false">IF($A138="","",IF(ISERROR(FIND(".",$A138)),"",LOWER(MID($A138,FIND(CHAR(1),SUBSTITUTE($A138,".",CHAR(1),LEN($A138)-LEN(SUBSTITUTE($A138,".",""))))+1,LEN($A138)))))</f>
        <v/>
      </c>
      <c r="C138" s="37" t="str">
        <f aca="false">IF($B138="","",IFERROR(INDEX(Rubric!$B$14:$B$23,MATCH($B138,Rubric!$A$14:$A$23,0)),INDEX(Rubric!$B$14:$B$23,MATCH("other",Rubric!$A$14:$A$23,0))))</f>
        <v/>
      </c>
      <c r="D138" s="26"/>
      <c r="E138" s="38" t="str">
        <f aca="false">IF($B138="","",IFERROR(INDEX(Rubric!$C$14:$C$23,MATCH($B138,Rubric!$A$14:$A$23,0)),INDEX(Rubric!$C$14:$C$23,MATCH("other",Rubric!$A$14:$A$23,0))))</f>
        <v/>
      </c>
      <c r="F138" s="44" t="str">
        <f aca="false">IF(OR($A138="",$D138=""),"",$D138+$E138)</f>
        <v/>
      </c>
      <c r="G138" s="25"/>
      <c r="H138" s="25"/>
      <c r="I138" s="25"/>
      <c r="J138" s="25"/>
      <c r="K138" s="39" t="str">
        <f aca="false">IF($J138="","",IF($J138&gt;=15,5,IF($J138&gt;=10,4,IF($J138&gt;=5,3,IF($J138&gt;=2,2,1)))))</f>
        <v/>
      </c>
      <c r="L138" s="25"/>
      <c r="M138" s="25"/>
      <c r="N138" s="25"/>
      <c r="O138" s="25"/>
      <c r="P138" s="25"/>
      <c r="Q138" s="25"/>
      <c r="R138" s="25"/>
      <c r="S138" s="40" t="str">
        <f aca="false">IF($A138="","",IF(OR(UPPER($O138)="Y",UPPER($P138)="Y",UPPER($Q138)="Y",UPPER($R138)="Y"),"FAIL","PASS"))</f>
        <v/>
      </c>
      <c r="T138" s="39" t="str">
        <f aca="false">IF(OR($A138="",$C138=""),"",$C138*$B$6+$G138*$B$7+$H138*$B$8+$I138*$B$9)</f>
        <v/>
      </c>
      <c r="U138" s="39" t="str">
        <f aca="false">IF(OR($A138="",$K138=""),"",$K138*$B$13+$L138*$B$14+$M138*$B$15+$N138*$B$16)</f>
        <v/>
      </c>
      <c r="V138" s="39" t="str">
        <f aca="false">IF(OR($T138="",$U138=""),"",$T138*$B$19+$U138*(1-$B$19))</f>
        <v/>
      </c>
      <c r="W138" s="27"/>
      <c r="X138" s="22"/>
      <c r="Y138" s="42" t="str">
        <f aca="false">IF(OR($A138="",$W138=""),"",MAX(0,$W138-MAX($W138*Assumptions!$B$4,Assumptions!$B$5)))</f>
        <v/>
      </c>
      <c r="Z138" s="41" t="str">
        <f aca="false">IF($V138="","",Assumptions!$B$6*MAX(0.05,($V138/Assumptions!$B$11)^Assumptions!$B$12))</f>
        <v/>
      </c>
      <c r="AA138" s="41" t="str">
        <f aca="false">IF($Z138="","",1-(1-$Z138)^Assumptions!$B$7)</f>
        <v/>
      </c>
      <c r="AB138" s="42" t="str">
        <f aca="false">IF(OR($F138="",$AA138="",$AA138=0),"",($F138+$E138*Assumptions!$B$7)/($AA138*(1-Assumptions!$B$4)))</f>
        <v/>
      </c>
      <c r="AC138" s="43" t="str">
        <f aca="false">IF(OR($W138="",$AB138="",$AB138=0),"",$W138/$AB138)</f>
        <v/>
      </c>
      <c r="AD138" s="44" t="str">
        <f aca="false">IF(OR($Y138="",$E138="",$AA138=""),"",MAX(0,$Y138*$AA138-$E138*Assumptions!$B$7))</f>
        <v/>
      </c>
      <c r="AE138" s="44" t="str">
        <f aca="false">IF(OR($AD138="",$F138=""),"",$AD138-$F138)</f>
        <v/>
      </c>
      <c r="AF138" s="40" t="str">
        <f aca="false">IF($A138="","",IF($S138="FAIL","REJECT",IF($D138="","NEEDS PRICE",IF(OR($W138="",$X138=""),"NEEDS VALUATION",IF($AC138&lt;1,"OVERPRICED",IF(AND($AC138&gt;=Assumptions!$B$13,$V138&gt;=4),"BUY",IF($V138&gt;=3.4,"BUY CHEAPER",IF($V138&gt;=2.8,"FLOOR ONLY","SKIP"))))))))</f>
        <v/>
      </c>
      <c r="AG138" s="50" t="str">
        <f aca="false">IF($AF138="","",IF($AF138="REJECT","Do not buy at any price",IF($AF138="NEEDS PRICE","Enter the current closeout price",IF($AF138="NEEDS VALUATION","Enter a valuation AND its source before bidding",IF($AF138="OVERPRICED","Worth less than break-even - walk",IF($AF138="BUY","Take it on day 1 at $11 - will not reach the floor",IF($AF138="BUY CHEAPER","Wait to about $8 (day 3), walk if outbid",IF($AF138="FLOOR ONLY","Only at the $5 floor","Skip"))))))))</f>
        <v/>
      </c>
      <c r="AH138" s="35"/>
    </row>
    <row r="139" customFormat="false" ht="15" hidden="false" customHeight="false" outlineLevel="0" collapsed="false">
      <c r="A139" s="22"/>
      <c r="B139" s="36" t="str">
        <f aca="false">IF($A139="","",IF(ISERROR(FIND(".",$A139)),"",LOWER(MID($A139,FIND(CHAR(1),SUBSTITUTE($A139,".",CHAR(1),LEN($A139)-LEN(SUBSTITUTE($A139,".",""))))+1,LEN($A139)))))</f>
        <v/>
      </c>
      <c r="C139" s="37" t="str">
        <f aca="false">IF($B139="","",IFERROR(INDEX(Rubric!$B$14:$B$23,MATCH($B139,Rubric!$A$14:$A$23,0)),INDEX(Rubric!$B$14:$B$23,MATCH("other",Rubric!$A$14:$A$23,0))))</f>
        <v/>
      </c>
      <c r="D139" s="26"/>
      <c r="E139" s="38" t="str">
        <f aca="false">IF($B139="","",IFERROR(INDEX(Rubric!$C$14:$C$23,MATCH($B139,Rubric!$A$14:$A$23,0)),INDEX(Rubric!$C$14:$C$23,MATCH("other",Rubric!$A$14:$A$23,0))))</f>
        <v/>
      </c>
      <c r="F139" s="44" t="str">
        <f aca="false">IF(OR($A139="",$D139=""),"",$D139+$E139)</f>
        <v/>
      </c>
      <c r="G139" s="25"/>
      <c r="H139" s="25"/>
      <c r="I139" s="25"/>
      <c r="J139" s="25"/>
      <c r="K139" s="39" t="str">
        <f aca="false">IF($J139="","",IF($J139&gt;=15,5,IF($J139&gt;=10,4,IF($J139&gt;=5,3,IF($J139&gt;=2,2,1)))))</f>
        <v/>
      </c>
      <c r="L139" s="25"/>
      <c r="M139" s="25"/>
      <c r="N139" s="25"/>
      <c r="O139" s="25"/>
      <c r="P139" s="25"/>
      <c r="Q139" s="25"/>
      <c r="R139" s="25"/>
      <c r="S139" s="40" t="str">
        <f aca="false">IF($A139="","",IF(OR(UPPER($O139)="Y",UPPER($P139)="Y",UPPER($Q139)="Y",UPPER($R139)="Y"),"FAIL","PASS"))</f>
        <v/>
      </c>
      <c r="T139" s="39" t="str">
        <f aca="false">IF(OR($A139="",$C139=""),"",$C139*$B$6+$G139*$B$7+$H139*$B$8+$I139*$B$9)</f>
        <v/>
      </c>
      <c r="U139" s="39" t="str">
        <f aca="false">IF(OR($A139="",$K139=""),"",$K139*$B$13+$L139*$B$14+$M139*$B$15+$N139*$B$16)</f>
        <v/>
      </c>
      <c r="V139" s="39" t="str">
        <f aca="false">IF(OR($T139="",$U139=""),"",$T139*$B$19+$U139*(1-$B$19))</f>
        <v/>
      </c>
      <c r="W139" s="27"/>
      <c r="X139" s="22"/>
      <c r="Y139" s="42" t="str">
        <f aca="false">IF(OR($A139="",$W139=""),"",MAX(0,$W139-MAX($W139*Assumptions!$B$4,Assumptions!$B$5)))</f>
        <v/>
      </c>
      <c r="Z139" s="41" t="str">
        <f aca="false">IF($V139="","",Assumptions!$B$6*MAX(0.05,($V139/Assumptions!$B$11)^Assumptions!$B$12))</f>
        <v/>
      </c>
      <c r="AA139" s="41" t="str">
        <f aca="false">IF($Z139="","",1-(1-$Z139)^Assumptions!$B$7)</f>
        <v/>
      </c>
      <c r="AB139" s="42" t="str">
        <f aca="false">IF(OR($F139="",$AA139="",$AA139=0),"",($F139+$E139*Assumptions!$B$7)/($AA139*(1-Assumptions!$B$4)))</f>
        <v/>
      </c>
      <c r="AC139" s="43" t="str">
        <f aca="false">IF(OR($W139="",$AB139="",$AB139=0),"",$W139/$AB139)</f>
        <v/>
      </c>
      <c r="AD139" s="44" t="str">
        <f aca="false">IF(OR($Y139="",$E139="",$AA139=""),"",MAX(0,$Y139*$AA139-$E139*Assumptions!$B$7))</f>
        <v/>
      </c>
      <c r="AE139" s="44" t="str">
        <f aca="false">IF(OR($AD139="",$F139=""),"",$AD139-$F139)</f>
        <v/>
      </c>
      <c r="AF139" s="40" t="str">
        <f aca="false">IF($A139="","",IF($S139="FAIL","REJECT",IF($D139="","NEEDS PRICE",IF(OR($W139="",$X139=""),"NEEDS VALUATION",IF($AC139&lt;1,"OVERPRICED",IF(AND($AC139&gt;=Assumptions!$B$13,$V139&gt;=4),"BUY",IF($V139&gt;=3.4,"BUY CHEAPER",IF($V139&gt;=2.8,"FLOOR ONLY","SKIP"))))))))</f>
        <v/>
      </c>
      <c r="AG139" s="50" t="str">
        <f aca="false">IF($AF139="","",IF($AF139="REJECT","Do not buy at any price",IF($AF139="NEEDS PRICE","Enter the current closeout price",IF($AF139="NEEDS VALUATION","Enter a valuation AND its source before bidding",IF($AF139="OVERPRICED","Worth less than break-even - walk",IF($AF139="BUY","Take it on day 1 at $11 - will not reach the floor",IF($AF139="BUY CHEAPER","Wait to about $8 (day 3), walk if outbid",IF($AF139="FLOOR ONLY","Only at the $5 floor","Skip"))))))))</f>
        <v/>
      </c>
      <c r="AH139" s="35"/>
    </row>
    <row r="140" customFormat="false" ht="15" hidden="false" customHeight="false" outlineLevel="0" collapsed="false">
      <c r="A140" s="22"/>
      <c r="B140" s="36" t="str">
        <f aca="false">IF($A140="","",IF(ISERROR(FIND(".",$A140)),"",LOWER(MID($A140,FIND(CHAR(1),SUBSTITUTE($A140,".",CHAR(1),LEN($A140)-LEN(SUBSTITUTE($A140,".",""))))+1,LEN($A140)))))</f>
        <v/>
      </c>
      <c r="C140" s="37" t="str">
        <f aca="false">IF($B140="","",IFERROR(INDEX(Rubric!$B$14:$B$23,MATCH($B140,Rubric!$A$14:$A$23,0)),INDEX(Rubric!$B$14:$B$23,MATCH("other",Rubric!$A$14:$A$23,0))))</f>
        <v/>
      </c>
      <c r="D140" s="26"/>
      <c r="E140" s="38" t="str">
        <f aca="false">IF($B140="","",IFERROR(INDEX(Rubric!$C$14:$C$23,MATCH($B140,Rubric!$A$14:$A$23,0)),INDEX(Rubric!$C$14:$C$23,MATCH("other",Rubric!$A$14:$A$23,0))))</f>
        <v/>
      </c>
      <c r="F140" s="44" t="str">
        <f aca="false">IF(OR($A140="",$D140=""),"",$D140+$E140)</f>
        <v/>
      </c>
      <c r="G140" s="25"/>
      <c r="H140" s="25"/>
      <c r="I140" s="25"/>
      <c r="J140" s="25"/>
      <c r="K140" s="39" t="str">
        <f aca="false">IF($J140="","",IF($J140&gt;=15,5,IF($J140&gt;=10,4,IF($J140&gt;=5,3,IF($J140&gt;=2,2,1)))))</f>
        <v/>
      </c>
      <c r="L140" s="25"/>
      <c r="M140" s="25"/>
      <c r="N140" s="25"/>
      <c r="O140" s="25"/>
      <c r="P140" s="25"/>
      <c r="Q140" s="25"/>
      <c r="R140" s="25"/>
      <c r="S140" s="40" t="str">
        <f aca="false">IF($A140="","",IF(OR(UPPER($O140)="Y",UPPER($P140)="Y",UPPER($Q140)="Y",UPPER($R140)="Y"),"FAIL","PASS"))</f>
        <v/>
      </c>
      <c r="T140" s="39" t="str">
        <f aca="false">IF(OR($A140="",$C140=""),"",$C140*$B$6+$G140*$B$7+$H140*$B$8+$I140*$B$9)</f>
        <v/>
      </c>
      <c r="U140" s="39" t="str">
        <f aca="false">IF(OR($A140="",$K140=""),"",$K140*$B$13+$L140*$B$14+$M140*$B$15+$N140*$B$16)</f>
        <v/>
      </c>
      <c r="V140" s="39" t="str">
        <f aca="false">IF(OR($T140="",$U140=""),"",$T140*$B$19+$U140*(1-$B$19))</f>
        <v/>
      </c>
      <c r="W140" s="27"/>
      <c r="X140" s="22"/>
      <c r="Y140" s="42" t="str">
        <f aca="false">IF(OR($A140="",$W140=""),"",MAX(0,$W140-MAX($W140*Assumptions!$B$4,Assumptions!$B$5)))</f>
        <v/>
      </c>
      <c r="Z140" s="41" t="str">
        <f aca="false">IF($V140="","",Assumptions!$B$6*MAX(0.05,($V140/Assumptions!$B$11)^Assumptions!$B$12))</f>
        <v/>
      </c>
      <c r="AA140" s="41" t="str">
        <f aca="false">IF($Z140="","",1-(1-$Z140)^Assumptions!$B$7)</f>
        <v/>
      </c>
      <c r="AB140" s="42" t="str">
        <f aca="false">IF(OR($F140="",$AA140="",$AA140=0),"",($F140+$E140*Assumptions!$B$7)/($AA140*(1-Assumptions!$B$4)))</f>
        <v/>
      </c>
      <c r="AC140" s="43" t="str">
        <f aca="false">IF(OR($W140="",$AB140="",$AB140=0),"",$W140/$AB140)</f>
        <v/>
      </c>
      <c r="AD140" s="44" t="str">
        <f aca="false">IF(OR($Y140="",$E140="",$AA140=""),"",MAX(0,$Y140*$AA140-$E140*Assumptions!$B$7))</f>
        <v/>
      </c>
      <c r="AE140" s="44" t="str">
        <f aca="false">IF(OR($AD140="",$F140=""),"",$AD140-$F140)</f>
        <v/>
      </c>
      <c r="AF140" s="40" t="str">
        <f aca="false">IF($A140="","",IF($S140="FAIL","REJECT",IF($D140="","NEEDS PRICE",IF(OR($W140="",$X140=""),"NEEDS VALUATION",IF($AC140&lt;1,"OVERPRICED",IF(AND($AC140&gt;=Assumptions!$B$13,$V140&gt;=4),"BUY",IF($V140&gt;=3.4,"BUY CHEAPER",IF($V140&gt;=2.8,"FLOOR ONLY","SKIP"))))))))</f>
        <v/>
      </c>
      <c r="AG140" s="50" t="str">
        <f aca="false">IF($AF140="","",IF($AF140="REJECT","Do not buy at any price",IF($AF140="NEEDS PRICE","Enter the current closeout price",IF($AF140="NEEDS VALUATION","Enter a valuation AND its source before bidding",IF($AF140="OVERPRICED","Worth less than break-even - walk",IF($AF140="BUY","Take it on day 1 at $11 - will not reach the floor",IF($AF140="BUY CHEAPER","Wait to about $8 (day 3), walk if outbid",IF($AF140="FLOOR ONLY","Only at the $5 floor","Skip"))))))))</f>
        <v/>
      </c>
      <c r="AH140" s="35"/>
    </row>
    <row r="141" customFormat="false" ht="15" hidden="false" customHeight="false" outlineLevel="0" collapsed="false">
      <c r="A141" s="22"/>
      <c r="B141" s="36" t="str">
        <f aca="false">IF($A141="","",IF(ISERROR(FIND(".",$A141)),"",LOWER(MID($A141,FIND(CHAR(1),SUBSTITUTE($A141,".",CHAR(1),LEN($A141)-LEN(SUBSTITUTE($A141,".",""))))+1,LEN($A141)))))</f>
        <v/>
      </c>
      <c r="C141" s="37" t="str">
        <f aca="false">IF($B141="","",IFERROR(INDEX(Rubric!$B$14:$B$23,MATCH($B141,Rubric!$A$14:$A$23,0)),INDEX(Rubric!$B$14:$B$23,MATCH("other",Rubric!$A$14:$A$23,0))))</f>
        <v/>
      </c>
      <c r="D141" s="26"/>
      <c r="E141" s="38" t="str">
        <f aca="false">IF($B141="","",IFERROR(INDEX(Rubric!$C$14:$C$23,MATCH($B141,Rubric!$A$14:$A$23,0)),INDEX(Rubric!$C$14:$C$23,MATCH("other",Rubric!$A$14:$A$23,0))))</f>
        <v/>
      </c>
      <c r="F141" s="44" t="str">
        <f aca="false">IF(OR($A141="",$D141=""),"",$D141+$E141)</f>
        <v/>
      </c>
      <c r="G141" s="25"/>
      <c r="H141" s="25"/>
      <c r="I141" s="25"/>
      <c r="J141" s="25"/>
      <c r="K141" s="39" t="str">
        <f aca="false">IF($J141="","",IF($J141&gt;=15,5,IF($J141&gt;=10,4,IF($J141&gt;=5,3,IF($J141&gt;=2,2,1)))))</f>
        <v/>
      </c>
      <c r="L141" s="25"/>
      <c r="M141" s="25"/>
      <c r="N141" s="25"/>
      <c r="O141" s="25"/>
      <c r="P141" s="25"/>
      <c r="Q141" s="25"/>
      <c r="R141" s="25"/>
      <c r="S141" s="40" t="str">
        <f aca="false">IF($A141="","",IF(OR(UPPER($O141)="Y",UPPER($P141)="Y",UPPER($Q141)="Y",UPPER($R141)="Y"),"FAIL","PASS"))</f>
        <v/>
      </c>
      <c r="T141" s="39" t="str">
        <f aca="false">IF(OR($A141="",$C141=""),"",$C141*$B$6+$G141*$B$7+$H141*$B$8+$I141*$B$9)</f>
        <v/>
      </c>
      <c r="U141" s="39" t="str">
        <f aca="false">IF(OR($A141="",$K141=""),"",$K141*$B$13+$L141*$B$14+$M141*$B$15+$N141*$B$16)</f>
        <v/>
      </c>
      <c r="V141" s="39" t="str">
        <f aca="false">IF(OR($T141="",$U141=""),"",$T141*$B$19+$U141*(1-$B$19))</f>
        <v/>
      </c>
      <c r="W141" s="27"/>
      <c r="X141" s="22"/>
      <c r="Y141" s="42" t="str">
        <f aca="false">IF(OR($A141="",$W141=""),"",MAX(0,$W141-MAX($W141*Assumptions!$B$4,Assumptions!$B$5)))</f>
        <v/>
      </c>
      <c r="Z141" s="41" t="str">
        <f aca="false">IF($V141="","",Assumptions!$B$6*MAX(0.05,($V141/Assumptions!$B$11)^Assumptions!$B$12))</f>
        <v/>
      </c>
      <c r="AA141" s="41" t="str">
        <f aca="false">IF($Z141="","",1-(1-$Z141)^Assumptions!$B$7)</f>
        <v/>
      </c>
      <c r="AB141" s="42" t="str">
        <f aca="false">IF(OR($F141="",$AA141="",$AA141=0),"",($F141+$E141*Assumptions!$B$7)/($AA141*(1-Assumptions!$B$4)))</f>
        <v/>
      </c>
      <c r="AC141" s="43" t="str">
        <f aca="false">IF(OR($W141="",$AB141="",$AB141=0),"",$W141/$AB141)</f>
        <v/>
      </c>
      <c r="AD141" s="44" t="str">
        <f aca="false">IF(OR($Y141="",$E141="",$AA141=""),"",MAX(0,$Y141*$AA141-$E141*Assumptions!$B$7))</f>
        <v/>
      </c>
      <c r="AE141" s="44" t="str">
        <f aca="false">IF(OR($AD141="",$F141=""),"",$AD141-$F141)</f>
        <v/>
      </c>
      <c r="AF141" s="40" t="str">
        <f aca="false">IF($A141="","",IF($S141="FAIL","REJECT",IF($D141="","NEEDS PRICE",IF(OR($W141="",$X141=""),"NEEDS VALUATION",IF($AC141&lt;1,"OVERPRICED",IF(AND($AC141&gt;=Assumptions!$B$13,$V141&gt;=4),"BUY",IF($V141&gt;=3.4,"BUY CHEAPER",IF($V141&gt;=2.8,"FLOOR ONLY","SKIP"))))))))</f>
        <v/>
      </c>
      <c r="AG141" s="50" t="str">
        <f aca="false">IF($AF141="","",IF($AF141="REJECT","Do not buy at any price",IF($AF141="NEEDS PRICE","Enter the current closeout price",IF($AF141="NEEDS VALUATION","Enter a valuation AND its source before bidding",IF($AF141="OVERPRICED","Worth less than break-even - walk",IF($AF141="BUY","Take it on day 1 at $11 - will not reach the floor",IF($AF141="BUY CHEAPER","Wait to about $8 (day 3), walk if outbid",IF($AF141="FLOOR ONLY","Only at the $5 floor","Skip"))))))))</f>
        <v/>
      </c>
      <c r="AH141" s="35"/>
    </row>
    <row r="142" customFormat="false" ht="15" hidden="false" customHeight="false" outlineLevel="0" collapsed="false">
      <c r="A142" s="22"/>
      <c r="B142" s="36" t="str">
        <f aca="false">IF($A142="","",IF(ISERROR(FIND(".",$A142)),"",LOWER(MID($A142,FIND(CHAR(1),SUBSTITUTE($A142,".",CHAR(1),LEN($A142)-LEN(SUBSTITUTE($A142,".",""))))+1,LEN($A142)))))</f>
        <v/>
      </c>
      <c r="C142" s="37" t="str">
        <f aca="false">IF($B142="","",IFERROR(INDEX(Rubric!$B$14:$B$23,MATCH($B142,Rubric!$A$14:$A$23,0)),INDEX(Rubric!$B$14:$B$23,MATCH("other",Rubric!$A$14:$A$23,0))))</f>
        <v/>
      </c>
      <c r="D142" s="26"/>
      <c r="E142" s="38" t="str">
        <f aca="false">IF($B142="","",IFERROR(INDEX(Rubric!$C$14:$C$23,MATCH($B142,Rubric!$A$14:$A$23,0)),INDEX(Rubric!$C$14:$C$23,MATCH("other",Rubric!$A$14:$A$23,0))))</f>
        <v/>
      </c>
      <c r="F142" s="44" t="str">
        <f aca="false">IF(OR($A142="",$D142=""),"",$D142+$E142)</f>
        <v/>
      </c>
      <c r="G142" s="25"/>
      <c r="H142" s="25"/>
      <c r="I142" s="25"/>
      <c r="J142" s="25"/>
      <c r="K142" s="39" t="str">
        <f aca="false">IF($J142="","",IF($J142&gt;=15,5,IF($J142&gt;=10,4,IF($J142&gt;=5,3,IF($J142&gt;=2,2,1)))))</f>
        <v/>
      </c>
      <c r="L142" s="25"/>
      <c r="M142" s="25"/>
      <c r="N142" s="25"/>
      <c r="O142" s="25"/>
      <c r="P142" s="25"/>
      <c r="Q142" s="25"/>
      <c r="R142" s="25"/>
      <c r="S142" s="40" t="str">
        <f aca="false">IF($A142="","",IF(OR(UPPER($O142)="Y",UPPER($P142)="Y",UPPER($Q142)="Y",UPPER($R142)="Y"),"FAIL","PASS"))</f>
        <v/>
      </c>
      <c r="T142" s="39" t="str">
        <f aca="false">IF(OR($A142="",$C142=""),"",$C142*$B$6+$G142*$B$7+$H142*$B$8+$I142*$B$9)</f>
        <v/>
      </c>
      <c r="U142" s="39" t="str">
        <f aca="false">IF(OR($A142="",$K142=""),"",$K142*$B$13+$L142*$B$14+$M142*$B$15+$N142*$B$16)</f>
        <v/>
      </c>
      <c r="V142" s="39" t="str">
        <f aca="false">IF(OR($T142="",$U142=""),"",$T142*$B$19+$U142*(1-$B$19))</f>
        <v/>
      </c>
      <c r="W142" s="27"/>
      <c r="X142" s="22"/>
      <c r="Y142" s="42" t="str">
        <f aca="false">IF(OR($A142="",$W142=""),"",MAX(0,$W142-MAX($W142*Assumptions!$B$4,Assumptions!$B$5)))</f>
        <v/>
      </c>
      <c r="Z142" s="41" t="str">
        <f aca="false">IF($V142="","",Assumptions!$B$6*MAX(0.05,($V142/Assumptions!$B$11)^Assumptions!$B$12))</f>
        <v/>
      </c>
      <c r="AA142" s="41" t="str">
        <f aca="false">IF($Z142="","",1-(1-$Z142)^Assumptions!$B$7)</f>
        <v/>
      </c>
      <c r="AB142" s="42" t="str">
        <f aca="false">IF(OR($F142="",$AA142="",$AA142=0),"",($F142+$E142*Assumptions!$B$7)/($AA142*(1-Assumptions!$B$4)))</f>
        <v/>
      </c>
      <c r="AC142" s="43" t="str">
        <f aca="false">IF(OR($W142="",$AB142="",$AB142=0),"",$W142/$AB142)</f>
        <v/>
      </c>
      <c r="AD142" s="44" t="str">
        <f aca="false">IF(OR($Y142="",$E142="",$AA142=""),"",MAX(0,$Y142*$AA142-$E142*Assumptions!$B$7))</f>
        <v/>
      </c>
      <c r="AE142" s="44" t="str">
        <f aca="false">IF(OR($AD142="",$F142=""),"",$AD142-$F142)</f>
        <v/>
      </c>
      <c r="AF142" s="40" t="str">
        <f aca="false">IF($A142="","",IF($S142="FAIL","REJECT",IF($D142="","NEEDS PRICE",IF(OR($W142="",$X142=""),"NEEDS VALUATION",IF($AC142&lt;1,"OVERPRICED",IF(AND($AC142&gt;=Assumptions!$B$13,$V142&gt;=4),"BUY",IF($V142&gt;=3.4,"BUY CHEAPER",IF($V142&gt;=2.8,"FLOOR ONLY","SKIP"))))))))</f>
        <v/>
      </c>
      <c r="AG142" s="50" t="str">
        <f aca="false">IF($AF142="","",IF($AF142="REJECT","Do not buy at any price",IF($AF142="NEEDS PRICE","Enter the current closeout price",IF($AF142="NEEDS VALUATION","Enter a valuation AND its source before bidding",IF($AF142="OVERPRICED","Worth less than break-even - walk",IF($AF142="BUY","Take it on day 1 at $11 - will not reach the floor",IF($AF142="BUY CHEAPER","Wait to about $8 (day 3), walk if outbid",IF($AF142="FLOOR ONLY","Only at the $5 floor","Skip"))))))))</f>
        <v/>
      </c>
      <c r="AH142" s="35"/>
    </row>
    <row r="143" customFormat="false" ht="15" hidden="false" customHeight="false" outlineLevel="0" collapsed="false">
      <c r="A143" s="22"/>
      <c r="B143" s="36" t="str">
        <f aca="false">IF($A143="","",IF(ISERROR(FIND(".",$A143)),"",LOWER(MID($A143,FIND(CHAR(1),SUBSTITUTE($A143,".",CHAR(1),LEN($A143)-LEN(SUBSTITUTE($A143,".",""))))+1,LEN($A143)))))</f>
        <v/>
      </c>
      <c r="C143" s="37" t="str">
        <f aca="false">IF($B143="","",IFERROR(INDEX(Rubric!$B$14:$B$23,MATCH($B143,Rubric!$A$14:$A$23,0)),INDEX(Rubric!$B$14:$B$23,MATCH("other",Rubric!$A$14:$A$23,0))))</f>
        <v/>
      </c>
      <c r="D143" s="26"/>
      <c r="E143" s="38" t="str">
        <f aca="false">IF($B143="","",IFERROR(INDEX(Rubric!$C$14:$C$23,MATCH($B143,Rubric!$A$14:$A$23,0)),INDEX(Rubric!$C$14:$C$23,MATCH("other",Rubric!$A$14:$A$23,0))))</f>
        <v/>
      </c>
      <c r="F143" s="44" t="str">
        <f aca="false">IF(OR($A143="",$D143=""),"",$D143+$E143)</f>
        <v/>
      </c>
      <c r="G143" s="25"/>
      <c r="H143" s="25"/>
      <c r="I143" s="25"/>
      <c r="J143" s="25"/>
      <c r="K143" s="39" t="str">
        <f aca="false">IF($J143="","",IF($J143&gt;=15,5,IF($J143&gt;=10,4,IF($J143&gt;=5,3,IF($J143&gt;=2,2,1)))))</f>
        <v/>
      </c>
      <c r="L143" s="25"/>
      <c r="M143" s="25"/>
      <c r="N143" s="25"/>
      <c r="O143" s="25"/>
      <c r="P143" s="25"/>
      <c r="Q143" s="25"/>
      <c r="R143" s="25"/>
      <c r="S143" s="40" t="str">
        <f aca="false">IF($A143="","",IF(OR(UPPER($O143)="Y",UPPER($P143)="Y",UPPER($Q143)="Y",UPPER($R143)="Y"),"FAIL","PASS"))</f>
        <v/>
      </c>
      <c r="T143" s="39" t="str">
        <f aca="false">IF(OR($A143="",$C143=""),"",$C143*$B$6+$G143*$B$7+$H143*$B$8+$I143*$B$9)</f>
        <v/>
      </c>
      <c r="U143" s="39" t="str">
        <f aca="false">IF(OR($A143="",$K143=""),"",$K143*$B$13+$L143*$B$14+$M143*$B$15+$N143*$B$16)</f>
        <v/>
      </c>
      <c r="V143" s="39" t="str">
        <f aca="false">IF(OR($T143="",$U143=""),"",$T143*$B$19+$U143*(1-$B$19))</f>
        <v/>
      </c>
      <c r="W143" s="27"/>
      <c r="X143" s="22"/>
      <c r="Y143" s="42" t="str">
        <f aca="false">IF(OR($A143="",$W143=""),"",MAX(0,$W143-MAX($W143*Assumptions!$B$4,Assumptions!$B$5)))</f>
        <v/>
      </c>
      <c r="Z143" s="41" t="str">
        <f aca="false">IF($V143="","",Assumptions!$B$6*MAX(0.05,($V143/Assumptions!$B$11)^Assumptions!$B$12))</f>
        <v/>
      </c>
      <c r="AA143" s="41" t="str">
        <f aca="false">IF($Z143="","",1-(1-$Z143)^Assumptions!$B$7)</f>
        <v/>
      </c>
      <c r="AB143" s="42" t="str">
        <f aca="false">IF(OR($F143="",$AA143="",$AA143=0),"",($F143+$E143*Assumptions!$B$7)/($AA143*(1-Assumptions!$B$4)))</f>
        <v/>
      </c>
      <c r="AC143" s="43" t="str">
        <f aca="false">IF(OR($W143="",$AB143="",$AB143=0),"",$W143/$AB143)</f>
        <v/>
      </c>
      <c r="AD143" s="44" t="str">
        <f aca="false">IF(OR($Y143="",$E143="",$AA143=""),"",MAX(0,$Y143*$AA143-$E143*Assumptions!$B$7))</f>
        <v/>
      </c>
      <c r="AE143" s="44" t="str">
        <f aca="false">IF(OR($AD143="",$F143=""),"",$AD143-$F143)</f>
        <v/>
      </c>
      <c r="AF143" s="40" t="str">
        <f aca="false">IF($A143="","",IF($S143="FAIL","REJECT",IF($D143="","NEEDS PRICE",IF(OR($W143="",$X143=""),"NEEDS VALUATION",IF($AC143&lt;1,"OVERPRICED",IF(AND($AC143&gt;=Assumptions!$B$13,$V143&gt;=4),"BUY",IF($V143&gt;=3.4,"BUY CHEAPER",IF($V143&gt;=2.8,"FLOOR ONLY","SKIP"))))))))</f>
        <v/>
      </c>
      <c r="AG143" s="50" t="str">
        <f aca="false">IF($AF143="","",IF($AF143="REJECT","Do not buy at any price",IF($AF143="NEEDS PRICE","Enter the current closeout price",IF($AF143="NEEDS VALUATION","Enter a valuation AND its source before bidding",IF($AF143="OVERPRICED","Worth less than break-even - walk",IF($AF143="BUY","Take it on day 1 at $11 - will not reach the floor",IF($AF143="BUY CHEAPER","Wait to about $8 (day 3), walk if outbid",IF($AF143="FLOOR ONLY","Only at the $5 floor","Skip"))))))))</f>
        <v/>
      </c>
      <c r="AH143" s="35"/>
    </row>
    <row r="144" customFormat="false" ht="15" hidden="false" customHeight="false" outlineLevel="0" collapsed="false">
      <c r="A144" s="22"/>
      <c r="B144" s="36" t="str">
        <f aca="false">IF($A144="","",IF(ISERROR(FIND(".",$A144)),"",LOWER(MID($A144,FIND(CHAR(1),SUBSTITUTE($A144,".",CHAR(1),LEN($A144)-LEN(SUBSTITUTE($A144,".",""))))+1,LEN($A144)))))</f>
        <v/>
      </c>
      <c r="C144" s="37" t="str">
        <f aca="false">IF($B144="","",IFERROR(INDEX(Rubric!$B$14:$B$23,MATCH($B144,Rubric!$A$14:$A$23,0)),INDEX(Rubric!$B$14:$B$23,MATCH("other",Rubric!$A$14:$A$23,0))))</f>
        <v/>
      </c>
      <c r="D144" s="26"/>
      <c r="E144" s="38" t="str">
        <f aca="false">IF($B144="","",IFERROR(INDEX(Rubric!$C$14:$C$23,MATCH($B144,Rubric!$A$14:$A$23,0)),INDEX(Rubric!$C$14:$C$23,MATCH("other",Rubric!$A$14:$A$23,0))))</f>
        <v/>
      </c>
      <c r="F144" s="44" t="str">
        <f aca="false">IF(OR($A144="",$D144=""),"",$D144+$E144)</f>
        <v/>
      </c>
      <c r="G144" s="25"/>
      <c r="H144" s="25"/>
      <c r="I144" s="25"/>
      <c r="J144" s="25"/>
      <c r="K144" s="39" t="str">
        <f aca="false">IF($J144="","",IF($J144&gt;=15,5,IF($J144&gt;=10,4,IF($J144&gt;=5,3,IF($J144&gt;=2,2,1)))))</f>
        <v/>
      </c>
      <c r="L144" s="25"/>
      <c r="M144" s="25"/>
      <c r="N144" s="25"/>
      <c r="O144" s="25"/>
      <c r="P144" s="25"/>
      <c r="Q144" s="25"/>
      <c r="R144" s="25"/>
      <c r="S144" s="40" t="str">
        <f aca="false">IF($A144="","",IF(OR(UPPER($O144)="Y",UPPER($P144)="Y",UPPER($Q144)="Y",UPPER($R144)="Y"),"FAIL","PASS"))</f>
        <v/>
      </c>
      <c r="T144" s="39" t="str">
        <f aca="false">IF(OR($A144="",$C144=""),"",$C144*$B$6+$G144*$B$7+$H144*$B$8+$I144*$B$9)</f>
        <v/>
      </c>
      <c r="U144" s="39" t="str">
        <f aca="false">IF(OR($A144="",$K144=""),"",$K144*$B$13+$L144*$B$14+$M144*$B$15+$N144*$B$16)</f>
        <v/>
      </c>
      <c r="V144" s="39" t="str">
        <f aca="false">IF(OR($T144="",$U144=""),"",$T144*$B$19+$U144*(1-$B$19))</f>
        <v/>
      </c>
      <c r="W144" s="27"/>
      <c r="X144" s="22"/>
      <c r="Y144" s="42" t="str">
        <f aca="false">IF(OR($A144="",$W144=""),"",MAX(0,$W144-MAX($W144*Assumptions!$B$4,Assumptions!$B$5)))</f>
        <v/>
      </c>
      <c r="Z144" s="41" t="str">
        <f aca="false">IF($V144="","",Assumptions!$B$6*MAX(0.05,($V144/Assumptions!$B$11)^Assumptions!$B$12))</f>
        <v/>
      </c>
      <c r="AA144" s="41" t="str">
        <f aca="false">IF($Z144="","",1-(1-$Z144)^Assumptions!$B$7)</f>
        <v/>
      </c>
      <c r="AB144" s="42" t="str">
        <f aca="false">IF(OR($F144="",$AA144="",$AA144=0),"",($F144+$E144*Assumptions!$B$7)/($AA144*(1-Assumptions!$B$4)))</f>
        <v/>
      </c>
      <c r="AC144" s="43" t="str">
        <f aca="false">IF(OR($W144="",$AB144="",$AB144=0),"",$W144/$AB144)</f>
        <v/>
      </c>
      <c r="AD144" s="44" t="str">
        <f aca="false">IF(OR($Y144="",$E144="",$AA144=""),"",MAX(0,$Y144*$AA144-$E144*Assumptions!$B$7))</f>
        <v/>
      </c>
      <c r="AE144" s="44" t="str">
        <f aca="false">IF(OR($AD144="",$F144=""),"",$AD144-$F144)</f>
        <v/>
      </c>
      <c r="AF144" s="40" t="str">
        <f aca="false">IF($A144="","",IF($S144="FAIL","REJECT",IF($D144="","NEEDS PRICE",IF(OR($W144="",$X144=""),"NEEDS VALUATION",IF($AC144&lt;1,"OVERPRICED",IF(AND($AC144&gt;=Assumptions!$B$13,$V144&gt;=4),"BUY",IF($V144&gt;=3.4,"BUY CHEAPER",IF($V144&gt;=2.8,"FLOOR ONLY","SKIP"))))))))</f>
        <v/>
      </c>
      <c r="AG144" s="50" t="str">
        <f aca="false">IF($AF144="","",IF($AF144="REJECT","Do not buy at any price",IF($AF144="NEEDS PRICE","Enter the current closeout price",IF($AF144="NEEDS VALUATION","Enter a valuation AND its source before bidding",IF($AF144="OVERPRICED","Worth less than break-even - walk",IF($AF144="BUY","Take it on day 1 at $11 - will not reach the floor",IF($AF144="BUY CHEAPER","Wait to about $8 (day 3), walk if outbid",IF($AF144="FLOOR ONLY","Only at the $5 floor","Skip"))))))))</f>
        <v/>
      </c>
      <c r="AH144" s="35"/>
    </row>
    <row r="145" customFormat="false" ht="15" hidden="false" customHeight="false" outlineLevel="0" collapsed="false">
      <c r="A145" s="22"/>
      <c r="B145" s="36" t="str">
        <f aca="false">IF($A145="","",IF(ISERROR(FIND(".",$A145)),"",LOWER(MID($A145,FIND(CHAR(1),SUBSTITUTE($A145,".",CHAR(1),LEN($A145)-LEN(SUBSTITUTE($A145,".",""))))+1,LEN($A145)))))</f>
        <v/>
      </c>
      <c r="C145" s="37" t="str">
        <f aca="false">IF($B145="","",IFERROR(INDEX(Rubric!$B$14:$B$23,MATCH($B145,Rubric!$A$14:$A$23,0)),INDEX(Rubric!$B$14:$B$23,MATCH("other",Rubric!$A$14:$A$23,0))))</f>
        <v/>
      </c>
      <c r="D145" s="26"/>
      <c r="E145" s="38" t="str">
        <f aca="false">IF($B145="","",IFERROR(INDEX(Rubric!$C$14:$C$23,MATCH($B145,Rubric!$A$14:$A$23,0)),INDEX(Rubric!$C$14:$C$23,MATCH("other",Rubric!$A$14:$A$23,0))))</f>
        <v/>
      </c>
      <c r="F145" s="44" t="str">
        <f aca="false">IF(OR($A145="",$D145=""),"",$D145+$E145)</f>
        <v/>
      </c>
      <c r="G145" s="25"/>
      <c r="H145" s="25"/>
      <c r="I145" s="25"/>
      <c r="J145" s="25"/>
      <c r="K145" s="39" t="str">
        <f aca="false">IF($J145="","",IF($J145&gt;=15,5,IF($J145&gt;=10,4,IF($J145&gt;=5,3,IF($J145&gt;=2,2,1)))))</f>
        <v/>
      </c>
      <c r="L145" s="25"/>
      <c r="M145" s="25"/>
      <c r="N145" s="25"/>
      <c r="O145" s="25"/>
      <c r="P145" s="25"/>
      <c r="Q145" s="25"/>
      <c r="R145" s="25"/>
      <c r="S145" s="40" t="str">
        <f aca="false">IF($A145="","",IF(OR(UPPER($O145)="Y",UPPER($P145)="Y",UPPER($Q145)="Y",UPPER($R145)="Y"),"FAIL","PASS"))</f>
        <v/>
      </c>
      <c r="T145" s="39" t="str">
        <f aca="false">IF(OR($A145="",$C145=""),"",$C145*$B$6+$G145*$B$7+$H145*$B$8+$I145*$B$9)</f>
        <v/>
      </c>
      <c r="U145" s="39" t="str">
        <f aca="false">IF(OR($A145="",$K145=""),"",$K145*$B$13+$L145*$B$14+$M145*$B$15+$N145*$B$16)</f>
        <v/>
      </c>
      <c r="V145" s="39" t="str">
        <f aca="false">IF(OR($T145="",$U145=""),"",$T145*$B$19+$U145*(1-$B$19))</f>
        <v/>
      </c>
      <c r="W145" s="27"/>
      <c r="X145" s="22"/>
      <c r="Y145" s="42" t="str">
        <f aca="false">IF(OR($A145="",$W145=""),"",MAX(0,$W145-MAX($W145*Assumptions!$B$4,Assumptions!$B$5)))</f>
        <v/>
      </c>
      <c r="Z145" s="41" t="str">
        <f aca="false">IF($V145="","",Assumptions!$B$6*MAX(0.05,($V145/Assumptions!$B$11)^Assumptions!$B$12))</f>
        <v/>
      </c>
      <c r="AA145" s="41" t="str">
        <f aca="false">IF($Z145="","",1-(1-$Z145)^Assumptions!$B$7)</f>
        <v/>
      </c>
      <c r="AB145" s="42" t="str">
        <f aca="false">IF(OR($F145="",$AA145="",$AA145=0),"",($F145+$E145*Assumptions!$B$7)/($AA145*(1-Assumptions!$B$4)))</f>
        <v/>
      </c>
      <c r="AC145" s="43" t="str">
        <f aca="false">IF(OR($W145="",$AB145="",$AB145=0),"",$W145/$AB145)</f>
        <v/>
      </c>
      <c r="AD145" s="44" t="str">
        <f aca="false">IF(OR($Y145="",$E145="",$AA145=""),"",MAX(0,$Y145*$AA145-$E145*Assumptions!$B$7))</f>
        <v/>
      </c>
      <c r="AE145" s="44" t="str">
        <f aca="false">IF(OR($AD145="",$F145=""),"",$AD145-$F145)</f>
        <v/>
      </c>
      <c r="AF145" s="40" t="str">
        <f aca="false">IF($A145="","",IF($S145="FAIL","REJECT",IF($D145="","NEEDS PRICE",IF(OR($W145="",$X145=""),"NEEDS VALUATION",IF($AC145&lt;1,"OVERPRICED",IF(AND($AC145&gt;=Assumptions!$B$13,$V145&gt;=4),"BUY",IF($V145&gt;=3.4,"BUY CHEAPER",IF($V145&gt;=2.8,"FLOOR ONLY","SKIP"))))))))</f>
        <v/>
      </c>
      <c r="AG145" s="50" t="str">
        <f aca="false">IF($AF145="","",IF($AF145="REJECT","Do not buy at any price",IF($AF145="NEEDS PRICE","Enter the current closeout price",IF($AF145="NEEDS VALUATION","Enter a valuation AND its source before bidding",IF($AF145="OVERPRICED","Worth less than break-even - walk",IF($AF145="BUY","Take it on day 1 at $11 - will not reach the floor",IF($AF145="BUY CHEAPER","Wait to about $8 (day 3), walk if outbid",IF($AF145="FLOOR ONLY","Only at the $5 floor","Skip"))))))))</f>
        <v/>
      </c>
      <c r="AH145" s="35"/>
    </row>
    <row r="146" customFormat="false" ht="15" hidden="false" customHeight="false" outlineLevel="0" collapsed="false">
      <c r="A146" s="22"/>
      <c r="B146" s="36" t="str">
        <f aca="false">IF($A146="","",IF(ISERROR(FIND(".",$A146)),"",LOWER(MID($A146,FIND(CHAR(1),SUBSTITUTE($A146,".",CHAR(1),LEN($A146)-LEN(SUBSTITUTE($A146,".",""))))+1,LEN($A146)))))</f>
        <v/>
      </c>
      <c r="C146" s="37" t="str">
        <f aca="false">IF($B146="","",IFERROR(INDEX(Rubric!$B$14:$B$23,MATCH($B146,Rubric!$A$14:$A$23,0)),INDEX(Rubric!$B$14:$B$23,MATCH("other",Rubric!$A$14:$A$23,0))))</f>
        <v/>
      </c>
      <c r="D146" s="26"/>
      <c r="E146" s="38" t="str">
        <f aca="false">IF($B146="","",IFERROR(INDEX(Rubric!$C$14:$C$23,MATCH($B146,Rubric!$A$14:$A$23,0)),INDEX(Rubric!$C$14:$C$23,MATCH("other",Rubric!$A$14:$A$23,0))))</f>
        <v/>
      </c>
      <c r="F146" s="44" t="str">
        <f aca="false">IF(OR($A146="",$D146=""),"",$D146+$E146)</f>
        <v/>
      </c>
      <c r="G146" s="25"/>
      <c r="H146" s="25"/>
      <c r="I146" s="25"/>
      <c r="J146" s="25"/>
      <c r="K146" s="39" t="str">
        <f aca="false">IF($J146="","",IF($J146&gt;=15,5,IF($J146&gt;=10,4,IF($J146&gt;=5,3,IF($J146&gt;=2,2,1)))))</f>
        <v/>
      </c>
      <c r="L146" s="25"/>
      <c r="M146" s="25"/>
      <c r="N146" s="25"/>
      <c r="O146" s="25"/>
      <c r="P146" s="25"/>
      <c r="Q146" s="25"/>
      <c r="R146" s="25"/>
      <c r="S146" s="40" t="str">
        <f aca="false">IF($A146="","",IF(OR(UPPER($O146)="Y",UPPER($P146)="Y",UPPER($Q146)="Y",UPPER($R146)="Y"),"FAIL","PASS"))</f>
        <v/>
      </c>
      <c r="T146" s="39" t="str">
        <f aca="false">IF(OR($A146="",$C146=""),"",$C146*$B$6+$G146*$B$7+$H146*$B$8+$I146*$B$9)</f>
        <v/>
      </c>
      <c r="U146" s="39" t="str">
        <f aca="false">IF(OR($A146="",$K146=""),"",$K146*$B$13+$L146*$B$14+$M146*$B$15+$N146*$B$16)</f>
        <v/>
      </c>
      <c r="V146" s="39" t="str">
        <f aca="false">IF(OR($T146="",$U146=""),"",$T146*$B$19+$U146*(1-$B$19))</f>
        <v/>
      </c>
      <c r="W146" s="27"/>
      <c r="X146" s="22"/>
      <c r="Y146" s="42" t="str">
        <f aca="false">IF(OR($A146="",$W146=""),"",MAX(0,$W146-MAX($W146*Assumptions!$B$4,Assumptions!$B$5)))</f>
        <v/>
      </c>
      <c r="Z146" s="41" t="str">
        <f aca="false">IF($V146="","",Assumptions!$B$6*MAX(0.05,($V146/Assumptions!$B$11)^Assumptions!$B$12))</f>
        <v/>
      </c>
      <c r="AA146" s="41" t="str">
        <f aca="false">IF($Z146="","",1-(1-$Z146)^Assumptions!$B$7)</f>
        <v/>
      </c>
      <c r="AB146" s="42" t="str">
        <f aca="false">IF(OR($F146="",$AA146="",$AA146=0),"",($F146+$E146*Assumptions!$B$7)/($AA146*(1-Assumptions!$B$4)))</f>
        <v/>
      </c>
      <c r="AC146" s="43" t="str">
        <f aca="false">IF(OR($W146="",$AB146="",$AB146=0),"",$W146/$AB146)</f>
        <v/>
      </c>
      <c r="AD146" s="44" t="str">
        <f aca="false">IF(OR($Y146="",$E146="",$AA146=""),"",MAX(0,$Y146*$AA146-$E146*Assumptions!$B$7))</f>
        <v/>
      </c>
      <c r="AE146" s="44" t="str">
        <f aca="false">IF(OR($AD146="",$F146=""),"",$AD146-$F146)</f>
        <v/>
      </c>
      <c r="AF146" s="40" t="str">
        <f aca="false">IF($A146="","",IF($S146="FAIL","REJECT",IF($D146="","NEEDS PRICE",IF(OR($W146="",$X146=""),"NEEDS VALUATION",IF($AC146&lt;1,"OVERPRICED",IF(AND($AC146&gt;=Assumptions!$B$13,$V146&gt;=4),"BUY",IF($V146&gt;=3.4,"BUY CHEAPER",IF($V146&gt;=2.8,"FLOOR ONLY","SKIP"))))))))</f>
        <v/>
      </c>
      <c r="AG146" s="50" t="str">
        <f aca="false">IF($AF146="","",IF($AF146="REJECT","Do not buy at any price",IF($AF146="NEEDS PRICE","Enter the current closeout price",IF($AF146="NEEDS VALUATION","Enter a valuation AND its source before bidding",IF($AF146="OVERPRICED","Worth less than break-even - walk",IF($AF146="BUY","Take it on day 1 at $11 - will not reach the floor",IF($AF146="BUY CHEAPER","Wait to about $8 (day 3), walk if outbid",IF($AF146="FLOOR ONLY","Only at the $5 floor","Skip"))))))))</f>
        <v/>
      </c>
      <c r="AH146" s="35"/>
    </row>
    <row r="147" customFormat="false" ht="15" hidden="false" customHeight="false" outlineLevel="0" collapsed="false">
      <c r="A147" s="22"/>
      <c r="B147" s="36" t="str">
        <f aca="false">IF($A147="","",IF(ISERROR(FIND(".",$A147)),"",LOWER(MID($A147,FIND(CHAR(1),SUBSTITUTE($A147,".",CHAR(1),LEN($A147)-LEN(SUBSTITUTE($A147,".",""))))+1,LEN($A147)))))</f>
        <v/>
      </c>
      <c r="C147" s="37" t="str">
        <f aca="false">IF($B147="","",IFERROR(INDEX(Rubric!$B$14:$B$23,MATCH($B147,Rubric!$A$14:$A$23,0)),INDEX(Rubric!$B$14:$B$23,MATCH("other",Rubric!$A$14:$A$23,0))))</f>
        <v/>
      </c>
      <c r="D147" s="26"/>
      <c r="E147" s="38" t="str">
        <f aca="false">IF($B147="","",IFERROR(INDEX(Rubric!$C$14:$C$23,MATCH($B147,Rubric!$A$14:$A$23,0)),INDEX(Rubric!$C$14:$C$23,MATCH("other",Rubric!$A$14:$A$23,0))))</f>
        <v/>
      </c>
      <c r="F147" s="44" t="str">
        <f aca="false">IF(OR($A147="",$D147=""),"",$D147+$E147)</f>
        <v/>
      </c>
      <c r="G147" s="25"/>
      <c r="H147" s="25"/>
      <c r="I147" s="25"/>
      <c r="J147" s="25"/>
      <c r="K147" s="39" t="str">
        <f aca="false">IF($J147="","",IF($J147&gt;=15,5,IF($J147&gt;=10,4,IF($J147&gt;=5,3,IF($J147&gt;=2,2,1)))))</f>
        <v/>
      </c>
      <c r="L147" s="25"/>
      <c r="M147" s="25"/>
      <c r="N147" s="25"/>
      <c r="O147" s="25"/>
      <c r="P147" s="25"/>
      <c r="Q147" s="25"/>
      <c r="R147" s="25"/>
      <c r="S147" s="40" t="str">
        <f aca="false">IF($A147="","",IF(OR(UPPER($O147)="Y",UPPER($P147)="Y",UPPER($Q147)="Y",UPPER($R147)="Y"),"FAIL","PASS"))</f>
        <v/>
      </c>
      <c r="T147" s="39" t="str">
        <f aca="false">IF(OR($A147="",$C147=""),"",$C147*$B$6+$G147*$B$7+$H147*$B$8+$I147*$B$9)</f>
        <v/>
      </c>
      <c r="U147" s="39" t="str">
        <f aca="false">IF(OR($A147="",$K147=""),"",$K147*$B$13+$L147*$B$14+$M147*$B$15+$N147*$B$16)</f>
        <v/>
      </c>
      <c r="V147" s="39" t="str">
        <f aca="false">IF(OR($T147="",$U147=""),"",$T147*$B$19+$U147*(1-$B$19))</f>
        <v/>
      </c>
      <c r="W147" s="27"/>
      <c r="X147" s="22"/>
      <c r="Y147" s="42" t="str">
        <f aca="false">IF(OR($A147="",$W147=""),"",MAX(0,$W147-MAX($W147*Assumptions!$B$4,Assumptions!$B$5)))</f>
        <v/>
      </c>
      <c r="Z147" s="41" t="str">
        <f aca="false">IF($V147="","",Assumptions!$B$6*MAX(0.05,($V147/Assumptions!$B$11)^Assumptions!$B$12))</f>
        <v/>
      </c>
      <c r="AA147" s="41" t="str">
        <f aca="false">IF($Z147="","",1-(1-$Z147)^Assumptions!$B$7)</f>
        <v/>
      </c>
      <c r="AB147" s="42" t="str">
        <f aca="false">IF(OR($F147="",$AA147="",$AA147=0),"",($F147+$E147*Assumptions!$B$7)/($AA147*(1-Assumptions!$B$4)))</f>
        <v/>
      </c>
      <c r="AC147" s="43" t="str">
        <f aca="false">IF(OR($W147="",$AB147="",$AB147=0),"",$W147/$AB147)</f>
        <v/>
      </c>
      <c r="AD147" s="44" t="str">
        <f aca="false">IF(OR($Y147="",$E147="",$AA147=""),"",MAX(0,$Y147*$AA147-$E147*Assumptions!$B$7))</f>
        <v/>
      </c>
      <c r="AE147" s="44" t="str">
        <f aca="false">IF(OR($AD147="",$F147=""),"",$AD147-$F147)</f>
        <v/>
      </c>
      <c r="AF147" s="40" t="str">
        <f aca="false">IF($A147="","",IF($S147="FAIL","REJECT",IF($D147="","NEEDS PRICE",IF(OR($W147="",$X147=""),"NEEDS VALUATION",IF($AC147&lt;1,"OVERPRICED",IF(AND($AC147&gt;=Assumptions!$B$13,$V147&gt;=4),"BUY",IF($V147&gt;=3.4,"BUY CHEAPER",IF($V147&gt;=2.8,"FLOOR ONLY","SKIP"))))))))</f>
        <v/>
      </c>
      <c r="AG147" s="50" t="str">
        <f aca="false">IF($AF147="","",IF($AF147="REJECT","Do not buy at any price",IF($AF147="NEEDS PRICE","Enter the current closeout price",IF($AF147="NEEDS VALUATION","Enter a valuation AND its source before bidding",IF($AF147="OVERPRICED","Worth less than break-even - walk",IF($AF147="BUY","Take it on day 1 at $11 - will not reach the floor",IF($AF147="BUY CHEAPER","Wait to about $8 (day 3), walk if outbid",IF($AF147="FLOOR ONLY","Only at the $5 floor","Skip"))))))))</f>
        <v/>
      </c>
      <c r="AH147" s="35"/>
    </row>
    <row r="148" customFormat="false" ht="15" hidden="false" customHeight="false" outlineLevel="0" collapsed="false">
      <c r="A148" s="22"/>
      <c r="B148" s="36" t="str">
        <f aca="false">IF($A148="","",IF(ISERROR(FIND(".",$A148)),"",LOWER(MID($A148,FIND(CHAR(1),SUBSTITUTE($A148,".",CHAR(1),LEN($A148)-LEN(SUBSTITUTE($A148,".",""))))+1,LEN($A148)))))</f>
        <v/>
      </c>
      <c r="C148" s="37" t="str">
        <f aca="false">IF($B148="","",IFERROR(INDEX(Rubric!$B$14:$B$23,MATCH($B148,Rubric!$A$14:$A$23,0)),INDEX(Rubric!$B$14:$B$23,MATCH("other",Rubric!$A$14:$A$23,0))))</f>
        <v/>
      </c>
      <c r="D148" s="26"/>
      <c r="E148" s="38" t="str">
        <f aca="false">IF($B148="","",IFERROR(INDEX(Rubric!$C$14:$C$23,MATCH($B148,Rubric!$A$14:$A$23,0)),INDEX(Rubric!$C$14:$C$23,MATCH("other",Rubric!$A$14:$A$23,0))))</f>
        <v/>
      </c>
      <c r="F148" s="44" t="str">
        <f aca="false">IF(OR($A148="",$D148=""),"",$D148+$E148)</f>
        <v/>
      </c>
      <c r="G148" s="25"/>
      <c r="H148" s="25"/>
      <c r="I148" s="25"/>
      <c r="J148" s="25"/>
      <c r="K148" s="39" t="str">
        <f aca="false">IF($J148="","",IF($J148&gt;=15,5,IF($J148&gt;=10,4,IF($J148&gt;=5,3,IF($J148&gt;=2,2,1)))))</f>
        <v/>
      </c>
      <c r="L148" s="25"/>
      <c r="M148" s="25"/>
      <c r="N148" s="25"/>
      <c r="O148" s="25"/>
      <c r="P148" s="25"/>
      <c r="Q148" s="25"/>
      <c r="R148" s="25"/>
      <c r="S148" s="40" t="str">
        <f aca="false">IF($A148="","",IF(OR(UPPER($O148)="Y",UPPER($P148)="Y",UPPER($Q148)="Y",UPPER($R148)="Y"),"FAIL","PASS"))</f>
        <v/>
      </c>
      <c r="T148" s="39" t="str">
        <f aca="false">IF(OR($A148="",$C148=""),"",$C148*$B$6+$G148*$B$7+$H148*$B$8+$I148*$B$9)</f>
        <v/>
      </c>
      <c r="U148" s="39" t="str">
        <f aca="false">IF(OR($A148="",$K148=""),"",$K148*$B$13+$L148*$B$14+$M148*$B$15+$N148*$B$16)</f>
        <v/>
      </c>
      <c r="V148" s="39" t="str">
        <f aca="false">IF(OR($T148="",$U148=""),"",$T148*$B$19+$U148*(1-$B$19))</f>
        <v/>
      </c>
      <c r="W148" s="27"/>
      <c r="X148" s="22"/>
      <c r="Y148" s="42" t="str">
        <f aca="false">IF(OR($A148="",$W148=""),"",MAX(0,$W148-MAX($W148*Assumptions!$B$4,Assumptions!$B$5)))</f>
        <v/>
      </c>
      <c r="Z148" s="41" t="str">
        <f aca="false">IF($V148="","",Assumptions!$B$6*MAX(0.05,($V148/Assumptions!$B$11)^Assumptions!$B$12))</f>
        <v/>
      </c>
      <c r="AA148" s="41" t="str">
        <f aca="false">IF($Z148="","",1-(1-$Z148)^Assumptions!$B$7)</f>
        <v/>
      </c>
      <c r="AB148" s="42" t="str">
        <f aca="false">IF(OR($F148="",$AA148="",$AA148=0),"",($F148+$E148*Assumptions!$B$7)/($AA148*(1-Assumptions!$B$4)))</f>
        <v/>
      </c>
      <c r="AC148" s="43" t="str">
        <f aca="false">IF(OR($W148="",$AB148="",$AB148=0),"",$W148/$AB148)</f>
        <v/>
      </c>
      <c r="AD148" s="44" t="str">
        <f aca="false">IF(OR($Y148="",$E148="",$AA148=""),"",MAX(0,$Y148*$AA148-$E148*Assumptions!$B$7))</f>
        <v/>
      </c>
      <c r="AE148" s="44" t="str">
        <f aca="false">IF(OR($AD148="",$F148=""),"",$AD148-$F148)</f>
        <v/>
      </c>
      <c r="AF148" s="40" t="str">
        <f aca="false">IF($A148="","",IF($S148="FAIL","REJECT",IF($D148="","NEEDS PRICE",IF(OR($W148="",$X148=""),"NEEDS VALUATION",IF($AC148&lt;1,"OVERPRICED",IF(AND($AC148&gt;=Assumptions!$B$13,$V148&gt;=4),"BUY",IF($V148&gt;=3.4,"BUY CHEAPER",IF($V148&gt;=2.8,"FLOOR ONLY","SKIP"))))))))</f>
        <v/>
      </c>
      <c r="AG148" s="50" t="str">
        <f aca="false">IF($AF148="","",IF($AF148="REJECT","Do not buy at any price",IF($AF148="NEEDS PRICE","Enter the current closeout price",IF($AF148="NEEDS VALUATION","Enter a valuation AND its source before bidding",IF($AF148="OVERPRICED","Worth less than break-even - walk",IF($AF148="BUY","Take it on day 1 at $11 - will not reach the floor",IF($AF148="BUY CHEAPER","Wait to about $8 (day 3), walk if outbid",IF($AF148="FLOOR ONLY","Only at the $5 floor","Skip"))))))))</f>
        <v/>
      </c>
      <c r="AH148" s="35"/>
    </row>
    <row r="149" customFormat="false" ht="15" hidden="false" customHeight="false" outlineLevel="0" collapsed="false">
      <c r="A149" s="22"/>
      <c r="B149" s="36" t="str">
        <f aca="false">IF($A149="","",IF(ISERROR(FIND(".",$A149)),"",LOWER(MID($A149,FIND(CHAR(1),SUBSTITUTE($A149,".",CHAR(1),LEN($A149)-LEN(SUBSTITUTE($A149,".",""))))+1,LEN($A149)))))</f>
        <v/>
      </c>
      <c r="C149" s="37" t="str">
        <f aca="false">IF($B149="","",IFERROR(INDEX(Rubric!$B$14:$B$23,MATCH($B149,Rubric!$A$14:$A$23,0)),INDEX(Rubric!$B$14:$B$23,MATCH("other",Rubric!$A$14:$A$23,0))))</f>
        <v/>
      </c>
      <c r="D149" s="26"/>
      <c r="E149" s="38" t="str">
        <f aca="false">IF($B149="","",IFERROR(INDEX(Rubric!$C$14:$C$23,MATCH($B149,Rubric!$A$14:$A$23,0)),INDEX(Rubric!$C$14:$C$23,MATCH("other",Rubric!$A$14:$A$23,0))))</f>
        <v/>
      </c>
      <c r="F149" s="44" t="str">
        <f aca="false">IF(OR($A149="",$D149=""),"",$D149+$E149)</f>
        <v/>
      </c>
      <c r="G149" s="25"/>
      <c r="H149" s="25"/>
      <c r="I149" s="25"/>
      <c r="J149" s="25"/>
      <c r="K149" s="39" t="str">
        <f aca="false">IF($J149="","",IF($J149&gt;=15,5,IF($J149&gt;=10,4,IF($J149&gt;=5,3,IF($J149&gt;=2,2,1)))))</f>
        <v/>
      </c>
      <c r="L149" s="25"/>
      <c r="M149" s="25"/>
      <c r="N149" s="25"/>
      <c r="O149" s="25"/>
      <c r="P149" s="25"/>
      <c r="Q149" s="25"/>
      <c r="R149" s="25"/>
      <c r="S149" s="40" t="str">
        <f aca="false">IF($A149="","",IF(OR(UPPER($O149)="Y",UPPER($P149)="Y",UPPER($Q149)="Y",UPPER($R149)="Y"),"FAIL","PASS"))</f>
        <v/>
      </c>
      <c r="T149" s="39" t="str">
        <f aca="false">IF(OR($A149="",$C149=""),"",$C149*$B$6+$G149*$B$7+$H149*$B$8+$I149*$B$9)</f>
        <v/>
      </c>
      <c r="U149" s="39" t="str">
        <f aca="false">IF(OR($A149="",$K149=""),"",$K149*$B$13+$L149*$B$14+$M149*$B$15+$N149*$B$16)</f>
        <v/>
      </c>
      <c r="V149" s="39" t="str">
        <f aca="false">IF(OR($T149="",$U149=""),"",$T149*$B$19+$U149*(1-$B$19))</f>
        <v/>
      </c>
      <c r="W149" s="27"/>
      <c r="X149" s="22"/>
      <c r="Y149" s="42" t="str">
        <f aca="false">IF(OR($A149="",$W149=""),"",MAX(0,$W149-MAX($W149*Assumptions!$B$4,Assumptions!$B$5)))</f>
        <v/>
      </c>
      <c r="Z149" s="41" t="str">
        <f aca="false">IF($V149="","",Assumptions!$B$6*MAX(0.05,($V149/Assumptions!$B$11)^Assumptions!$B$12))</f>
        <v/>
      </c>
      <c r="AA149" s="41" t="str">
        <f aca="false">IF($Z149="","",1-(1-$Z149)^Assumptions!$B$7)</f>
        <v/>
      </c>
      <c r="AB149" s="42" t="str">
        <f aca="false">IF(OR($F149="",$AA149="",$AA149=0),"",($F149+$E149*Assumptions!$B$7)/($AA149*(1-Assumptions!$B$4)))</f>
        <v/>
      </c>
      <c r="AC149" s="43" t="str">
        <f aca="false">IF(OR($W149="",$AB149="",$AB149=0),"",$W149/$AB149)</f>
        <v/>
      </c>
      <c r="AD149" s="44" t="str">
        <f aca="false">IF(OR($Y149="",$E149="",$AA149=""),"",MAX(0,$Y149*$AA149-$E149*Assumptions!$B$7))</f>
        <v/>
      </c>
      <c r="AE149" s="44" t="str">
        <f aca="false">IF(OR($AD149="",$F149=""),"",$AD149-$F149)</f>
        <v/>
      </c>
      <c r="AF149" s="40" t="str">
        <f aca="false">IF($A149="","",IF($S149="FAIL","REJECT",IF($D149="","NEEDS PRICE",IF(OR($W149="",$X149=""),"NEEDS VALUATION",IF($AC149&lt;1,"OVERPRICED",IF(AND($AC149&gt;=Assumptions!$B$13,$V149&gt;=4),"BUY",IF($V149&gt;=3.4,"BUY CHEAPER",IF($V149&gt;=2.8,"FLOOR ONLY","SKIP"))))))))</f>
        <v/>
      </c>
      <c r="AG149" s="50" t="str">
        <f aca="false">IF($AF149="","",IF($AF149="REJECT","Do not buy at any price",IF($AF149="NEEDS PRICE","Enter the current closeout price",IF($AF149="NEEDS VALUATION","Enter a valuation AND its source before bidding",IF($AF149="OVERPRICED","Worth less than break-even - walk",IF($AF149="BUY","Take it on day 1 at $11 - will not reach the floor",IF($AF149="BUY CHEAPER","Wait to about $8 (day 3), walk if outbid",IF($AF149="FLOOR ONLY","Only at the $5 floor","Skip"))))))))</f>
        <v/>
      </c>
      <c r="AH149" s="35"/>
    </row>
    <row r="150" customFormat="false" ht="15" hidden="false" customHeight="false" outlineLevel="0" collapsed="false">
      <c r="A150" s="22"/>
      <c r="B150" s="36" t="str">
        <f aca="false">IF($A150="","",IF(ISERROR(FIND(".",$A150)),"",LOWER(MID($A150,FIND(CHAR(1),SUBSTITUTE($A150,".",CHAR(1),LEN($A150)-LEN(SUBSTITUTE($A150,".",""))))+1,LEN($A150)))))</f>
        <v/>
      </c>
      <c r="C150" s="37" t="str">
        <f aca="false">IF($B150="","",IFERROR(INDEX(Rubric!$B$14:$B$23,MATCH($B150,Rubric!$A$14:$A$23,0)),INDEX(Rubric!$B$14:$B$23,MATCH("other",Rubric!$A$14:$A$23,0))))</f>
        <v/>
      </c>
      <c r="D150" s="26"/>
      <c r="E150" s="38" t="str">
        <f aca="false">IF($B150="","",IFERROR(INDEX(Rubric!$C$14:$C$23,MATCH($B150,Rubric!$A$14:$A$23,0)),INDEX(Rubric!$C$14:$C$23,MATCH("other",Rubric!$A$14:$A$23,0))))</f>
        <v/>
      </c>
      <c r="F150" s="44" t="str">
        <f aca="false">IF(OR($A150="",$D150=""),"",$D150+$E150)</f>
        <v/>
      </c>
      <c r="G150" s="25"/>
      <c r="H150" s="25"/>
      <c r="I150" s="25"/>
      <c r="J150" s="25"/>
      <c r="K150" s="39" t="str">
        <f aca="false">IF($J150="","",IF($J150&gt;=15,5,IF($J150&gt;=10,4,IF($J150&gt;=5,3,IF($J150&gt;=2,2,1)))))</f>
        <v/>
      </c>
      <c r="L150" s="25"/>
      <c r="M150" s="25"/>
      <c r="N150" s="25"/>
      <c r="O150" s="25"/>
      <c r="P150" s="25"/>
      <c r="Q150" s="25"/>
      <c r="R150" s="25"/>
      <c r="S150" s="40" t="str">
        <f aca="false">IF($A150="","",IF(OR(UPPER($O150)="Y",UPPER($P150)="Y",UPPER($Q150)="Y",UPPER($R150)="Y"),"FAIL","PASS"))</f>
        <v/>
      </c>
      <c r="T150" s="39" t="str">
        <f aca="false">IF(OR($A150="",$C150=""),"",$C150*$B$6+$G150*$B$7+$H150*$B$8+$I150*$B$9)</f>
        <v/>
      </c>
      <c r="U150" s="39" t="str">
        <f aca="false">IF(OR($A150="",$K150=""),"",$K150*$B$13+$L150*$B$14+$M150*$B$15+$N150*$B$16)</f>
        <v/>
      </c>
      <c r="V150" s="39" t="str">
        <f aca="false">IF(OR($T150="",$U150=""),"",$T150*$B$19+$U150*(1-$B$19))</f>
        <v/>
      </c>
      <c r="W150" s="27"/>
      <c r="X150" s="22"/>
      <c r="Y150" s="42" t="str">
        <f aca="false">IF(OR($A150="",$W150=""),"",MAX(0,$W150-MAX($W150*Assumptions!$B$4,Assumptions!$B$5)))</f>
        <v/>
      </c>
      <c r="Z150" s="41" t="str">
        <f aca="false">IF($V150="","",Assumptions!$B$6*MAX(0.05,($V150/Assumptions!$B$11)^Assumptions!$B$12))</f>
        <v/>
      </c>
      <c r="AA150" s="41" t="str">
        <f aca="false">IF($Z150="","",1-(1-$Z150)^Assumptions!$B$7)</f>
        <v/>
      </c>
      <c r="AB150" s="42" t="str">
        <f aca="false">IF(OR($F150="",$AA150="",$AA150=0),"",($F150+$E150*Assumptions!$B$7)/($AA150*(1-Assumptions!$B$4)))</f>
        <v/>
      </c>
      <c r="AC150" s="43" t="str">
        <f aca="false">IF(OR($W150="",$AB150="",$AB150=0),"",$W150/$AB150)</f>
        <v/>
      </c>
      <c r="AD150" s="44" t="str">
        <f aca="false">IF(OR($Y150="",$E150="",$AA150=""),"",MAX(0,$Y150*$AA150-$E150*Assumptions!$B$7))</f>
        <v/>
      </c>
      <c r="AE150" s="44" t="str">
        <f aca="false">IF(OR($AD150="",$F150=""),"",$AD150-$F150)</f>
        <v/>
      </c>
      <c r="AF150" s="40" t="str">
        <f aca="false">IF($A150="","",IF($S150="FAIL","REJECT",IF($D150="","NEEDS PRICE",IF(OR($W150="",$X150=""),"NEEDS VALUATION",IF($AC150&lt;1,"OVERPRICED",IF(AND($AC150&gt;=Assumptions!$B$13,$V150&gt;=4),"BUY",IF($V150&gt;=3.4,"BUY CHEAPER",IF($V150&gt;=2.8,"FLOOR ONLY","SKIP"))))))))</f>
        <v/>
      </c>
      <c r="AG150" s="50" t="str">
        <f aca="false">IF($AF150="","",IF($AF150="REJECT","Do not buy at any price",IF($AF150="NEEDS PRICE","Enter the current closeout price",IF($AF150="NEEDS VALUATION","Enter a valuation AND its source before bidding",IF($AF150="OVERPRICED","Worth less than break-even - walk",IF($AF150="BUY","Take it on day 1 at $11 - will not reach the floor",IF($AF150="BUY CHEAPER","Wait to about $8 (day 3), walk if outbid",IF($AF150="FLOOR ONLY","Only at the $5 floor","Skip"))))))))</f>
        <v/>
      </c>
      <c r="AH150" s="35"/>
    </row>
    <row r="151" customFormat="false" ht="15" hidden="false" customHeight="false" outlineLevel="0" collapsed="false">
      <c r="A151" s="22"/>
      <c r="B151" s="36" t="str">
        <f aca="false">IF($A151="","",IF(ISERROR(FIND(".",$A151)),"",LOWER(MID($A151,FIND(CHAR(1),SUBSTITUTE($A151,".",CHAR(1),LEN($A151)-LEN(SUBSTITUTE($A151,".",""))))+1,LEN($A151)))))</f>
        <v/>
      </c>
      <c r="C151" s="37" t="str">
        <f aca="false">IF($B151="","",IFERROR(INDEX(Rubric!$B$14:$B$23,MATCH($B151,Rubric!$A$14:$A$23,0)),INDEX(Rubric!$B$14:$B$23,MATCH("other",Rubric!$A$14:$A$23,0))))</f>
        <v/>
      </c>
      <c r="D151" s="26"/>
      <c r="E151" s="38" t="str">
        <f aca="false">IF($B151="","",IFERROR(INDEX(Rubric!$C$14:$C$23,MATCH($B151,Rubric!$A$14:$A$23,0)),INDEX(Rubric!$C$14:$C$23,MATCH("other",Rubric!$A$14:$A$23,0))))</f>
        <v/>
      </c>
      <c r="F151" s="44" t="str">
        <f aca="false">IF(OR($A151="",$D151=""),"",$D151+$E151)</f>
        <v/>
      </c>
      <c r="G151" s="25"/>
      <c r="H151" s="25"/>
      <c r="I151" s="25"/>
      <c r="J151" s="25"/>
      <c r="K151" s="39" t="str">
        <f aca="false">IF($J151="","",IF($J151&gt;=15,5,IF($J151&gt;=10,4,IF($J151&gt;=5,3,IF($J151&gt;=2,2,1)))))</f>
        <v/>
      </c>
      <c r="L151" s="25"/>
      <c r="M151" s="25"/>
      <c r="N151" s="25"/>
      <c r="O151" s="25"/>
      <c r="P151" s="25"/>
      <c r="Q151" s="25"/>
      <c r="R151" s="25"/>
      <c r="S151" s="40" t="str">
        <f aca="false">IF($A151="","",IF(OR(UPPER($O151)="Y",UPPER($P151)="Y",UPPER($Q151)="Y",UPPER($R151)="Y"),"FAIL","PASS"))</f>
        <v/>
      </c>
      <c r="T151" s="39" t="str">
        <f aca="false">IF(OR($A151="",$C151=""),"",$C151*$B$6+$G151*$B$7+$H151*$B$8+$I151*$B$9)</f>
        <v/>
      </c>
      <c r="U151" s="39" t="str">
        <f aca="false">IF(OR($A151="",$K151=""),"",$K151*$B$13+$L151*$B$14+$M151*$B$15+$N151*$B$16)</f>
        <v/>
      </c>
      <c r="V151" s="39" t="str">
        <f aca="false">IF(OR($T151="",$U151=""),"",$T151*$B$19+$U151*(1-$B$19))</f>
        <v/>
      </c>
      <c r="W151" s="27"/>
      <c r="X151" s="22"/>
      <c r="Y151" s="42" t="str">
        <f aca="false">IF(OR($A151="",$W151=""),"",MAX(0,$W151-MAX($W151*Assumptions!$B$4,Assumptions!$B$5)))</f>
        <v/>
      </c>
      <c r="Z151" s="41" t="str">
        <f aca="false">IF($V151="","",Assumptions!$B$6*MAX(0.05,($V151/Assumptions!$B$11)^Assumptions!$B$12))</f>
        <v/>
      </c>
      <c r="AA151" s="41" t="str">
        <f aca="false">IF($Z151="","",1-(1-$Z151)^Assumptions!$B$7)</f>
        <v/>
      </c>
      <c r="AB151" s="42" t="str">
        <f aca="false">IF(OR($F151="",$AA151="",$AA151=0),"",($F151+$E151*Assumptions!$B$7)/($AA151*(1-Assumptions!$B$4)))</f>
        <v/>
      </c>
      <c r="AC151" s="43" t="str">
        <f aca="false">IF(OR($W151="",$AB151="",$AB151=0),"",$W151/$AB151)</f>
        <v/>
      </c>
      <c r="AD151" s="44" t="str">
        <f aca="false">IF(OR($Y151="",$E151="",$AA151=""),"",MAX(0,$Y151*$AA151-$E151*Assumptions!$B$7))</f>
        <v/>
      </c>
      <c r="AE151" s="44" t="str">
        <f aca="false">IF(OR($AD151="",$F151=""),"",$AD151-$F151)</f>
        <v/>
      </c>
      <c r="AF151" s="40" t="str">
        <f aca="false">IF($A151="","",IF($S151="FAIL","REJECT",IF($D151="","NEEDS PRICE",IF(OR($W151="",$X151=""),"NEEDS VALUATION",IF($AC151&lt;1,"OVERPRICED",IF(AND($AC151&gt;=Assumptions!$B$13,$V151&gt;=4),"BUY",IF($V151&gt;=3.4,"BUY CHEAPER",IF($V151&gt;=2.8,"FLOOR ONLY","SKIP"))))))))</f>
        <v/>
      </c>
      <c r="AG151" s="50" t="str">
        <f aca="false">IF($AF151="","",IF($AF151="REJECT","Do not buy at any price",IF($AF151="NEEDS PRICE","Enter the current closeout price",IF($AF151="NEEDS VALUATION","Enter a valuation AND its source before bidding",IF($AF151="OVERPRICED","Worth less than break-even - walk",IF($AF151="BUY","Take it on day 1 at $11 - will not reach the floor",IF($AF151="BUY CHEAPER","Wait to about $8 (day 3), walk if outbid",IF($AF151="FLOOR ONLY","Only at the $5 floor","Skip"))))))))</f>
        <v/>
      </c>
      <c r="AH151" s="35"/>
    </row>
    <row r="152" customFormat="false" ht="15" hidden="false" customHeight="false" outlineLevel="0" collapsed="false">
      <c r="A152" s="22"/>
      <c r="B152" s="36" t="str">
        <f aca="false">IF($A152="","",IF(ISERROR(FIND(".",$A152)),"",LOWER(MID($A152,FIND(CHAR(1),SUBSTITUTE($A152,".",CHAR(1),LEN($A152)-LEN(SUBSTITUTE($A152,".",""))))+1,LEN($A152)))))</f>
        <v/>
      </c>
      <c r="C152" s="37" t="str">
        <f aca="false">IF($B152="","",IFERROR(INDEX(Rubric!$B$14:$B$23,MATCH($B152,Rubric!$A$14:$A$23,0)),INDEX(Rubric!$B$14:$B$23,MATCH("other",Rubric!$A$14:$A$23,0))))</f>
        <v/>
      </c>
      <c r="D152" s="26"/>
      <c r="E152" s="38" t="str">
        <f aca="false">IF($B152="","",IFERROR(INDEX(Rubric!$C$14:$C$23,MATCH($B152,Rubric!$A$14:$A$23,0)),INDEX(Rubric!$C$14:$C$23,MATCH("other",Rubric!$A$14:$A$23,0))))</f>
        <v/>
      </c>
      <c r="F152" s="44" t="str">
        <f aca="false">IF(OR($A152="",$D152=""),"",$D152+$E152)</f>
        <v/>
      </c>
      <c r="G152" s="25"/>
      <c r="H152" s="25"/>
      <c r="I152" s="25"/>
      <c r="J152" s="25"/>
      <c r="K152" s="39" t="str">
        <f aca="false">IF($J152="","",IF($J152&gt;=15,5,IF($J152&gt;=10,4,IF($J152&gt;=5,3,IF($J152&gt;=2,2,1)))))</f>
        <v/>
      </c>
      <c r="L152" s="25"/>
      <c r="M152" s="25"/>
      <c r="N152" s="25"/>
      <c r="O152" s="25"/>
      <c r="P152" s="25"/>
      <c r="Q152" s="25"/>
      <c r="R152" s="25"/>
      <c r="S152" s="40" t="str">
        <f aca="false">IF($A152="","",IF(OR(UPPER($O152)="Y",UPPER($P152)="Y",UPPER($Q152)="Y",UPPER($R152)="Y"),"FAIL","PASS"))</f>
        <v/>
      </c>
      <c r="T152" s="39" t="str">
        <f aca="false">IF(OR($A152="",$C152=""),"",$C152*$B$6+$G152*$B$7+$H152*$B$8+$I152*$B$9)</f>
        <v/>
      </c>
      <c r="U152" s="39" t="str">
        <f aca="false">IF(OR($A152="",$K152=""),"",$K152*$B$13+$L152*$B$14+$M152*$B$15+$N152*$B$16)</f>
        <v/>
      </c>
      <c r="V152" s="39" t="str">
        <f aca="false">IF(OR($T152="",$U152=""),"",$T152*$B$19+$U152*(1-$B$19))</f>
        <v/>
      </c>
      <c r="W152" s="27"/>
      <c r="X152" s="22"/>
      <c r="Y152" s="42" t="str">
        <f aca="false">IF(OR($A152="",$W152=""),"",MAX(0,$W152-MAX($W152*Assumptions!$B$4,Assumptions!$B$5)))</f>
        <v/>
      </c>
      <c r="Z152" s="41" t="str">
        <f aca="false">IF($V152="","",Assumptions!$B$6*MAX(0.05,($V152/Assumptions!$B$11)^Assumptions!$B$12))</f>
        <v/>
      </c>
      <c r="AA152" s="41" t="str">
        <f aca="false">IF($Z152="","",1-(1-$Z152)^Assumptions!$B$7)</f>
        <v/>
      </c>
      <c r="AB152" s="42" t="str">
        <f aca="false">IF(OR($F152="",$AA152="",$AA152=0),"",($F152+$E152*Assumptions!$B$7)/($AA152*(1-Assumptions!$B$4)))</f>
        <v/>
      </c>
      <c r="AC152" s="43" t="str">
        <f aca="false">IF(OR($W152="",$AB152="",$AB152=0),"",$W152/$AB152)</f>
        <v/>
      </c>
      <c r="AD152" s="44" t="str">
        <f aca="false">IF(OR($Y152="",$E152="",$AA152=""),"",MAX(0,$Y152*$AA152-$E152*Assumptions!$B$7))</f>
        <v/>
      </c>
      <c r="AE152" s="44" t="str">
        <f aca="false">IF(OR($AD152="",$F152=""),"",$AD152-$F152)</f>
        <v/>
      </c>
      <c r="AF152" s="40" t="str">
        <f aca="false">IF($A152="","",IF($S152="FAIL","REJECT",IF($D152="","NEEDS PRICE",IF(OR($W152="",$X152=""),"NEEDS VALUATION",IF($AC152&lt;1,"OVERPRICED",IF(AND($AC152&gt;=Assumptions!$B$13,$V152&gt;=4),"BUY",IF($V152&gt;=3.4,"BUY CHEAPER",IF($V152&gt;=2.8,"FLOOR ONLY","SKIP"))))))))</f>
        <v/>
      </c>
      <c r="AG152" s="50" t="str">
        <f aca="false">IF($AF152="","",IF($AF152="REJECT","Do not buy at any price",IF($AF152="NEEDS PRICE","Enter the current closeout price",IF($AF152="NEEDS VALUATION","Enter a valuation AND its source before bidding",IF($AF152="OVERPRICED","Worth less than break-even - walk",IF($AF152="BUY","Take it on day 1 at $11 - will not reach the floor",IF($AF152="BUY CHEAPER","Wait to about $8 (day 3), walk if outbid",IF($AF152="FLOOR ONLY","Only at the $5 floor","Skip"))))))))</f>
        <v/>
      </c>
      <c r="AH152" s="35"/>
    </row>
    <row r="153" customFormat="false" ht="15" hidden="false" customHeight="false" outlineLevel="0" collapsed="false">
      <c r="A153" s="22"/>
      <c r="B153" s="36" t="str">
        <f aca="false">IF($A153="","",IF(ISERROR(FIND(".",$A153)),"",LOWER(MID($A153,FIND(CHAR(1),SUBSTITUTE($A153,".",CHAR(1),LEN($A153)-LEN(SUBSTITUTE($A153,".",""))))+1,LEN($A153)))))</f>
        <v/>
      </c>
      <c r="C153" s="37" t="str">
        <f aca="false">IF($B153="","",IFERROR(INDEX(Rubric!$B$14:$B$23,MATCH($B153,Rubric!$A$14:$A$23,0)),INDEX(Rubric!$B$14:$B$23,MATCH("other",Rubric!$A$14:$A$23,0))))</f>
        <v/>
      </c>
      <c r="D153" s="26"/>
      <c r="E153" s="38" t="str">
        <f aca="false">IF($B153="","",IFERROR(INDEX(Rubric!$C$14:$C$23,MATCH($B153,Rubric!$A$14:$A$23,0)),INDEX(Rubric!$C$14:$C$23,MATCH("other",Rubric!$A$14:$A$23,0))))</f>
        <v/>
      </c>
      <c r="F153" s="44" t="str">
        <f aca="false">IF(OR($A153="",$D153=""),"",$D153+$E153)</f>
        <v/>
      </c>
      <c r="G153" s="25"/>
      <c r="H153" s="25"/>
      <c r="I153" s="25"/>
      <c r="J153" s="25"/>
      <c r="K153" s="39" t="str">
        <f aca="false">IF($J153="","",IF($J153&gt;=15,5,IF($J153&gt;=10,4,IF($J153&gt;=5,3,IF($J153&gt;=2,2,1)))))</f>
        <v/>
      </c>
      <c r="L153" s="25"/>
      <c r="M153" s="25"/>
      <c r="N153" s="25"/>
      <c r="O153" s="25"/>
      <c r="P153" s="25"/>
      <c r="Q153" s="25"/>
      <c r="R153" s="25"/>
      <c r="S153" s="40" t="str">
        <f aca="false">IF($A153="","",IF(OR(UPPER($O153)="Y",UPPER($P153)="Y",UPPER($Q153)="Y",UPPER($R153)="Y"),"FAIL","PASS"))</f>
        <v/>
      </c>
      <c r="T153" s="39" t="str">
        <f aca="false">IF(OR($A153="",$C153=""),"",$C153*$B$6+$G153*$B$7+$H153*$B$8+$I153*$B$9)</f>
        <v/>
      </c>
      <c r="U153" s="39" t="str">
        <f aca="false">IF(OR($A153="",$K153=""),"",$K153*$B$13+$L153*$B$14+$M153*$B$15+$N153*$B$16)</f>
        <v/>
      </c>
      <c r="V153" s="39" t="str">
        <f aca="false">IF(OR($T153="",$U153=""),"",$T153*$B$19+$U153*(1-$B$19))</f>
        <v/>
      </c>
      <c r="W153" s="27"/>
      <c r="X153" s="22"/>
      <c r="Y153" s="42" t="str">
        <f aca="false">IF(OR($A153="",$W153=""),"",MAX(0,$W153-MAX($W153*Assumptions!$B$4,Assumptions!$B$5)))</f>
        <v/>
      </c>
      <c r="Z153" s="41" t="str">
        <f aca="false">IF($V153="","",Assumptions!$B$6*MAX(0.05,($V153/Assumptions!$B$11)^Assumptions!$B$12))</f>
        <v/>
      </c>
      <c r="AA153" s="41" t="str">
        <f aca="false">IF($Z153="","",1-(1-$Z153)^Assumptions!$B$7)</f>
        <v/>
      </c>
      <c r="AB153" s="42" t="str">
        <f aca="false">IF(OR($F153="",$AA153="",$AA153=0),"",($F153+$E153*Assumptions!$B$7)/($AA153*(1-Assumptions!$B$4)))</f>
        <v/>
      </c>
      <c r="AC153" s="43" t="str">
        <f aca="false">IF(OR($W153="",$AB153="",$AB153=0),"",$W153/$AB153)</f>
        <v/>
      </c>
      <c r="AD153" s="44" t="str">
        <f aca="false">IF(OR($Y153="",$E153="",$AA153=""),"",MAX(0,$Y153*$AA153-$E153*Assumptions!$B$7))</f>
        <v/>
      </c>
      <c r="AE153" s="44" t="str">
        <f aca="false">IF(OR($AD153="",$F153=""),"",$AD153-$F153)</f>
        <v/>
      </c>
      <c r="AF153" s="40" t="str">
        <f aca="false">IF($A153="","",IF($S153="FAIL","REJECT",IF($D153="","NEEDS PRICE",IF(OR($W153="",$X153=""),"NEEDS VALUATION",IF($AC153&lt;1,"OVERPRICED",IF(AND($AC153&gt;=Assumptions!$B$13,$V153&gt;=4),"BUY",IF($V153&gt;=3.4,"BUY CHEAPER",IF($V153&gt;=2.8,"FLOOR ONLY","SKIP"))))))))</f>
        <v/>
      </c>
      <c r="AG153" s="50" t="str">
        <f aca="false">IF($AF153="","",IF($AF153="REJECT","Do not buy at any price",IF($AF153="NEEDS PRICE","Enter the current closeout price",IF($AF153="NEEDS VALUATION","Enter a valuation AND its source before bidding",IF($AF153="OVERPRICED","Worth less than break-even - walk",IF($AF153="BUY","Take it on day 1 at $11 - will not reach the floor",IF($AF153="BUY CHEAPER","Wait to about $8 (day 3), walk if outbid",IF($AF153="FLOOR ONLY","Only at the $5 floor","Skip"))))))))</f>
        <v/>
      </c>
      <c r="AH153" s="35"/>
    </row>
    <row r="154" customFormat="false" ht="15" hidden="false" customHeight="false" outlineLevel="0" collapsed="false">
      <c r="A154" s="22"/>
      <c r="B154" s="36" t="str">
        <f aca="false">IF($A154="","",IF(ISERROR(FIND(".",$A154)),"",LOWER(MID($A154,FIND(CHAR(1),SUBSTITUTE($A154,".",CHAR(1),LEN($A154)-LEN(SUBSTITUTE($A154,".",""))))+1,LEN($A154)))))</f>
        <v/>
      </c>
      <c r="C154" s="37" t="str">
        <f aca="false">IF($B154="","",IFERROR(INDEX(Rubric!$B$14:$B$23,MATCH($B154,Rubric!$A$14:$A$23,0)),INDEX(Rubric!$B$14:$B$23,MATCH("other",Rubric!$A$14:$A$23,0))))</f>
        <v/>
      </c>
      <c r="D154" s="26"/>
      <c r="E154" s="38" t="str">
        <f aca="false">IF($B154="","",IFERROR(INDEX(Rubric!$C$14:$C$23,MATCH($B154,Rubric!$A$14:$A$23,0)),INDEX(Rubric!$C$14:$C$23,MATCH("other",Rubric!$A$14:$A$23,0))))</f>
        <v/>
      </c>
      <c r="F154" s="44" t="str">
        <f aca="false">IF(OR($A154="",$D154=""),"",$D154+$E154)</f>
        <v/>
      </c>
      <c r="G154" s="25"/>
      <c r="H154" s="25"/>
      <c r="I154" s="25"/>
      <c r="J154" s="25"/>
      <c r="K154" s="39" t="str">
        <f aca="false">IF($J154="","",IF($J154&gt;=15,5,IF($J154&gt;=10,4,IF($J154&gt;=5,3,IF($J154&gt;=2,2,1)))))</f>
        <v/>
      </c>
      <c r="L154" s="25"/>
      <c r="M154" s="25"/>
      <c r="N154" s="25"/>
      <c r="O154" s="25"/>
      <c r="P154" s="25"/>
      <c r="Q154" s="25"/>
      <c r="R154" s="25"/>
      <c r="S154" s="40" t="str">
        <f aca="false">IF($A154="","",IF(OR(UPPER($O154)="Y",UPPER($P154)="Y",UPPER($Q154)="Y",UPPER($R154)="Y"),"FAIL","PASS"))</f>
        <v/>
      </c>
      <c r="T154" s="39" t="str">
        <f aca="false">IF(OR($A154="",$C154=""),"",$C154*$B$6+$G154*$B$7+$H154*$B$8+$I154*$B$9)</f>
        <v/>
      </c>
      <c r="U154" s="39" t="str">
        <f aca="false">IF(OR($A154="",$K154=""),"",$K154*$B$13+$L154*$B$14+$M154*$B$15+$N154*$B$16)</f>
        <v/>
      </c>
      <c r="V154" s="39" t="str">
        <f aca="false">IF(OR($T154="",$U154=""),"",$T154*$B$19+$U154*(1-$B$19))</f>
        <v/>
      </c>
      <c r="W154" s="27"/>
      <c r="X154" s="22"/>
      <c r="Y154" s="42" t="str">
        <f aca="false">IF(OR($A154="",$W154=""),"",MAX(0,$W154-MAX($W154*Assumptions!$B$4,Assumptions!$B$5)))</f>
        <v/>
      </c>
      <c r="Z154" s="41" t="str">
        <f aca="false">IF($V154="","",Assumptions!$B$6*MAX(0.05,($V154/Assumptions!$B$11)^Assumptions!$B$12))</f>
        <v/>
      </c>
      <c r="AA154" s="41" t="str">
        <f aca="false">IF($Z154="","",1-(1-$Z154)^Assumptions!$B$7)</f>
        <v/>
      </c>
      <c r="AB154" s="42" t="str">
        <f aca="false">IF(OR($F154="",$AA154="",$AA154=0),"",($F154+$E154*Assumptions!$B$7)/($AA154*(1-Assumptions!$B$4)))</f>
        <v/>
      </c>
      <c r="AC154" s="43" t="str">
        <f aca="false">IF(OR($W154="",$AB154="",$AB154=0),"",$W154/$AB154)</f>
        <v/>
      </c>
      <c r="AD154" s="44" t="str">
        <f aca="false">IF(OR($Y154="",$E154="",$AA154=""),"",MAX(0,$Y154*$AA154-$E154*Assumptions!$B$7))</f>
        <v/>
      </c>
      <c r="AE154" s="44" t="str">
        <f aca="false">IF(OR($AD154="",$F154=""),"",$AD154-$F154)</f>
        <v/>
      </c>
      <c r="AF154" s="40" t="str">
        <f aca="false">IF($A154="","",IF($S154="FAIL","REJECT",IF($D154="","NEEDS PRICE",IF(OR($W154="",$X154=""),"NEEDS VALUATION",IF($AC154&lt;1,"OVERPRICED",IF(AND($AC154&gt;=Assumptions!$B$13,$V154&gt;=4),"BUY",IF($V154&gt;=3.4,"BUY CHEAPER",IF($V154&gt;=2.8,"FLOOR ONLY","SKIP"))))))))</f>
        <v/>
      </c>
      <c r="AG154" s="50" t="str">
        <f aca="false">IF($AF154="","",IF($AF154="REJECT","Do not buy at any price",IF($AF154="NEEDS PRICE","Enter the current closeout price",IF($AF154="NEEDS VALUATION","Enter a valuation AND its source before bidding",IF($AF154="OVERPRICED","Worth less than break-even - walk",IF($AF154="BUY","Take it on day 1 at $11 - will not reach the floor",IF($AF154="BUY CHEAPER","Wait to about $8 (day 3), walk if outbid",IF($AF154="FLOOR ONLY","Only at the $5 floor","Skip"))))))))</f>
        <v/>
      </c>
      <c r="AH154" s="35"/>
    </row>
    <row r="155" customFormat="false" ht="15" hidden="false" customHeight="false" outlineLevel="0" collapsed="false">
      <c r="A155" s="22"/>
      <c r="B155" s="36" t="str">
        <f aca="false">IF($A155="","",IF(ISERROR(FIND(".",$A155)),"",LOWER(MID($A155,FIND(CHAR(1),SUBSTITUTE($A155,".",CHAR(1),LEN($A155)-LEN(SUBSTITUTE($A155,".",""))))+1,LEN($A155)))))</f>
        <v/>
      </c>
      <c r="C155" s="37" t="str">
        <f aca="false">IF($B155="","",IFERROR(INDEX(Rubric!$B$14:$B$23,MATCH($B155,Rubric!$A$14:$A$23,0)),INDEX(Rubric!$B$14:$B$23,MATCH("other",Rubric!$A$14:$A$23,0))))</f>
        <v/>
      </c>
      <c r="D155" s="26"/>
      <c r="E155" s="38" t="str">
        <f aca="false">IF($B155="","",IFERROR(INDEX(Rubric!$C$14:$C$23,MATCH($B155,Rubric!$A$14:$A$23,0)),INDEX(Rubric!$C$14:$C$23,MATCH("other",Rubric!$A$14:$A$23,0))))</f>
        <v/>
      </c>
      <c r="F155" s="44" t="str">
        <f aca="false">IF(OR($A155="",$D155=""),"",$D155+$E155)</f>
        <v/>
      </c>
      <c r="G155" s="25"/>
      <c r="H155" s="25"/>
      <c r="I155" s="25"/>
      <c r="J155" s="25"/>
      <c r="K155" s="39" t="str">
        <f aca="false">IF($J155="","",IF($J155&gt;=15,5,IF($J155&gt;=10,4,IF($J155&gt;=5,3,IF($J155&gt;=2,2,1)))))</f>
        <v/>
      </c>
      <c r="L155" s="25"/>
      <c r="M155" s="25"/>
      <c r="N155" s="25"/>
      <c r="O155" s="25"/>
      <c r="P155" s="25"/>
      <c r="Q155" s="25"/>
      <c r="R155" s="25"/>
      <c r="S155" s="40" t="str">
        <f aca="false">IF($A155="","",IF(OR(UPPER($O155)="Y",UPPER($P155)="Y",UPPER($Q155)="Y",UPPER($R155)="Y"),"FAIL","PASS"))</f>
        <v/>
      </c>
      <c r="T155" s="39" t="str">
        <f aca="false">IF(OR($A155="",$C155=""),"",$C155*$B$6+$G155*$B$7+$H155*$B$8+$I155*$B$9)</f>
        <v/>
      </c>
      <c r="U155" s="39" t="str">
        <f aca="false">IF(OR($A155="",$K155=""),"",$K155*$B$13+$L155*$B$14+$M155*$B$15+$N155*$B$16)</f>
        <v/>
      </c>
      <c r="V155" s="39" t="str">
        <f aca="false">IF(OR($T155="",$U155=""),"",$T155*$B$19+$U155*(1-$B$19))</f>
        <v/>
      </c>
      <c r="W155" s="27"/>
      <c r="X155" s="22"/>
      <c r="Y155" s="42" t="str">
        <f aca="false">IF(OR($A155="",$W155=""),"",MAX(0,$W155-MAX($W155*Assumptions!$B$4,Assumptions!$B$5)))</f>
        <v/>
      </c>
      <c r="Z155" s="41" t="str">
        <f aca="false">IF($V155="","",Assumptions!$B$6*MAX(0.05,($V155/Assumptions!$B$11)^Assumptions!$B$12))</f>
        <v/>
      </c>
      <c r="AA155" s="41" t="str">
        <f aca="false">IF($Z155="","",1-(1-$Z155)^Assumptions!$B$7)</f>
        <v/>
      </c>
      <c r="AB155" s="42" t="str">
        <f aca="false">IF(OR($F155="",$AA155="",$AA155=0),"",($F155+$E155*Assumptions!$B$7)/($AA155*(1-Assumptions!$B$4)))</f>
        <v/>
      </c>
      <c r="AC155" s="43" t="str">
        <f aca="false">IF(OR($W155="",$AB155="",$AB155=0),"",$W155/$AB155)</f>
        <v/>
      </c>
      <c r="AD155" s="44" t="str">
        <f aca="false">IF(OR($Y155="",$E155="",$AA155=""),"",MAX(0,$Y155*$AA155-$E155*Assumptions!$B$7))</f>
        <v/>
      </c>
      <c r="AE155" s="44" t="str">
        <f aca="false">IF(OR($AD155="",$F155=""),"",$AD155-$F155)</f>
        <v/>
      </c>
      <c r="AF155" s="40" t="str">
        <f aca="false">IF($A155="","",IF($S155="FAIL","REJECT",IF($D155="","NEEDS PRICE",IF(OR($W155="",$X155=""),"NEEDS VALUATION",IF($AC155&lt;1,"OVERPRICED",IF(AND($AC155&gt;=Assumptions!$B$13,$V155&gt;=4),"BUY",IF($V155&gt;=3.4,"BUY CHEAPER",IF($V155&gt;=2.8,"FLOOR ONLY","SKIP"))))))))</f>
        <v/>
      </c>
      <c r="AG155" s="50" t="str">
        <f aca="false">IF($AF155="","",IF($AF155="REJECT","Do not buy at any price",IF($AF155="NEEDS PRICE","Enter the current closeout price",IF($AF155="NEEDS VALUATION","Enter a valuation AND its source before bidding",IF($AF155="OVERPRICED","Worth less than break-even - walk",IF($AF155="BUY","Take it on day 1 at $11 - will not reach the floor",IF($AF155="BUY CHEAPER","Wait to about $8 (day 3), walk if outbid",IF($AF155="FLOOR ONLY","Only at the $5 floor","Skip"))))))))</f>
        <v/>
      </c>
      <c r="AH155" s="35"/>
    </row>
    <row r="156" customFormat="false" ht="15" hidden="false" customHeight="false" outlineLevel="0" collapsed="false">
      <c r="A156" s="22"/>
      <c r="B156" s="36" t="str">
        <f aca="false">IF($A156="","",IF(ISERROR(FIND(".",$A156)),"",LOWER(MID($A156,FIND(CHAR(1),SUBSTITUTE($A156,".",CHAR(1),LEN($A156)-LEN(SUBSTITUTE($A156,".",""))))+1,LEN($A156)))))</f>
        <v/>
      </c>
      <c r="C156" s="37" t="str">
        <f aca="false">IF($B156="","",IFERROR(INDEX(Rubric!$B$14:$B$23,MATCH($B156,Rubric!$A$14:$A$23,0)),INDEX(Rubric!$B$14:$B$23,MATCH("other",Rubric!$A$14:$A$23,0))))</f>
        <v/>
      </c>
      <c r="D156" s="26"/>
      <c r="E156" s="38" t="str">
        <f aca="false">IF($B156="","",IFERROR(INDEX(Rubric!$C$14:$C$23,MATCH($B156,Rubric!$A$14:$A$23,0)),INDEX(Rubric!$C$14:$C$23,MATCH("other",Rubric!$A$14:$A$23,0))))</f>
        <v/>
      </c>
      <c r="F156" s="44" t="str">
        <f aca="false">IF(OR($A156="",$D156=""),"",$D156+$E156)</f>
        <v/>
      </c>
      <c r="G156" s="25"/>
      <c r="H156" s="25"/>
      <c r="I156" s="25"/>
      <c r="J156" s="25"/>
      <c r="K156" s="39" t="str">
        <f aca="false">IF($J156="","",IF($J156&gt;=15,5,IF($J156&gt;=10,4,IF($J156&gt;=5,3,IF($J156&gt;=2,2,1)))))</f>
        <v/>
      </c>
      <c r="L156" s="25"/>
      <c r="M156" s="25"/>
      <c r="N156" s="25"/>
      <c r="O156" s="25"/>
      <c r="P156" s="25"/>
      <c r="Q156" s="25"/>
      <c r="R156" s="25"/>
      <c r="S156" s="40" t="str">
        <f aca="false">IF($A156="","",IF(OR(UPPER($O156)="Y",UPPER($P156)="Y",UPPER($Q156)="Y",UPPER($R156)="Y"),"FAIL","PASS"))</f>
        <v/>
      </c>
      <c r="T156" s="39" t="str">
        <f aca="false">IF(OR($A156="",$C156=""),"",$C156*$B$6+$G156*$B$7+$H156*$B$8+$I156*$B$9)</f>
        <v/>
      </c>
      <c r="U156" s="39" t="str">
        <f aca="false">IF(OR($A156="",$K156=""),"",$K156*$B$13+$L156*$B$14+$M156*$B$15+$N156*$B$16)</f>
        <v/>
      </c>
      <c r="V156" s="39" t="str">
        <f aca="false">IF(OR($T156="",$U156=""),"",$T156*$B$19+$U156*(1-$B$19))</f>
        <v/>
      </c>
      <c r="W156" s="27"/>
      <c r="X156" s="22"/>
      <c r="Y156" s="42" t="str">
        <f aca="false">IF(OR($A156="",$W156=""),"",MAX(0,$W156-MAX($W156*Assumptions!$B$4,Assumptions!$B$5)))</f>
        <v/>
      </c>
      <c r="Z156" s="41" t="str">
        <f aca="false">IF($V156="","",Assumptions!$B$6*MAX(0.05,($V156/Assumptions!$B$11)^Assumptions!$B$12))</f>
        <v/>
      </c>
      <c r="AA156" s="41" t="str">
        <f aca="false">IF($Z156="","",1-(1-$Z156)^Assumptions!$B$7)</f>
        <v/>
      </c>
      <c r="AB156" s="42" t="str">
        <f aca="false">IF(OR($F156="",$AA156="",$AA156=0),"",($F156+$E156*Assumptions!$B$7)/($AA156*(1-Assumptions!$B$4)))</f>
        <v/>
      </c>
      <c r="AC156" s="43" t="str">
        <f aca="false">IF(OR($W156="",$AB156="",$AB156=0),"",$W156/$AB156)</f>
        <v/>
      </c>
      <c r="AD156" s="44" t="str">
        <f aca="false">IF(OR($Y156="",$E156="",$AA156=""),"",MAX(0,$Y156*$AA156-$E156*Assumptions!$B$7))</f>
        <v/>
      </c>
      <c r="AE156" s="44" t="str">
        <f aca="false">IF(OR($AD156="",$F156=""),"",$AD156-$F156)</f>
        <v/>
      </c>
      <c r="AF156" s="40" t="str">
        <f aca="false">IF($A156="","",IF($S156="FAIL","REJECT",IF($D156="","NEEDS PRICE",IF(OR($W156="",$X156=""),"NEEDS VALUATION",IF($AC156&lt;1,"OVERPRICED",IF(AND($AC156&gt;=Assumptions!$B$13,$V156&gt;=4),"BUY",IF($V156&gt;=3.4,"BUY CHEAPER",IF($V156&gt;=2.8,"FLOOR ONLY","SKIP"))))))))</f>
        <v/>
      </c>
      <c r="AG156" s="50" t="str">
        <f aca="false">IF($AF156="","",IF($AF156="REJECT","Do not buy at any price",IF($AF156="NEEDS PRICE","Enter the current closeout price",IF($AF156="NEEDS VALUATION","Enter a valuation AND its source before bidding",IF($AF156="OVERPRICED","Worth less than break-even - walk",IF($AF156="BUY","Take it on day 1 at $11 - will not reach the floor",IF($AF156="BUY CHEAPER","Wait to about $8 (day 3), walk if outbid",IF($AF156="FLOOR ONLY","Only at the $5 floor","Skip"))))))))</f>
        <v/>
      </c>
      <c r="AH156" s="35"/>
    </row>
    <row r="157" customFormat="false" ht="15" hidden="false" customHeight="false" outlineLevel="0" collapsed="false">
      <c r="A157" s="22"/>
      <c r="B157" s="36" t="str">
        <f aca="false">IF($A157="","",IF(ISERROR(FIND(".",$A157)),"",LOWER(MID($A157,FIND(CHAR(1),SUBSTITUTE($A157,".",CHAR(1),LEN($A157)-LEN(SUBSTITUTE($A157,".",""))))+1,LEN($A157)))))</f>
        <v/>
      </c>
      <c r="C157" s="37" t="str">
        <f aca="false">IF($B157="","",IFERROR(INDEX(Rubric!$B$14:$B$23,MATCH($B157,Rubric!$A$14:$A$23,0)),INDEX(Rubric!$B$14:$B$23,MATCH("other",Rubric!$A$14:$A$23,0))))</f>
        <v/>
      </c>
      <c r="D157" s="26"/>
      <c r="E157" s="38" t="str">
        <f aca="false">IF($B157="","",IFERROR(INDEX(Rubric!$C$14:$C$23,MATCH($B157,Rubric!$A$14:$A$23,0)),INDEX(Rubric!$C$14:$C$23,MATCH("other",Rubric!$A$14:$A$23,0))))</f>
        <v/>
      </c>
      <c r="F157" s="44" t="str">
        <f aca="false">IF(OR($A157="",$D157=""),"",$D157+$E157)</f>
        <v/>
      </c>
      <c r="G157" s="25"/>
      <c r="H157" s="25"/>
      <c r="I157" s="25"/>
      <c r="J157" s="25"/>
      <c r="K157" s="39" t="str">
        <f aca="false">IF($J157="","",IF($J157&gt;=15,5,IF($J157&gt;=10,4,IF($J157&gt;=5,3,IF($J157&gt;=2,2,1)))))</f>
        <v/>
      </c>
      <c r="L157" s="25"/>
      <c r="M157" s="25"/>
      <c r="N157" s="25"/>
      <c r="O157" s="25"/>
      <c r="P157" s="25"/>
      <c r="Q157" s="25"/>
      <c r="R157" s="25"/>
      <c r="S157" s="40" t="str">
        <f aca="false">IF($A157="","",IF(OR(UPPER($O157)="Y",UPPER($P157)="Y",UPPER($Q157)="Y",UPPER($R157)="Y"),"FAIL","PASS"))</f>
        <v/>
      </c>
      <c r="T157" s="39" t="str">
        <f aca="false">IF(OR($A157="",$C157=""),"",$C157*$B$6+$G157*$B$7+$H157*$B$8+$I157*$B$9)</f>
        <v/>
      </c>
      <c r="U157" s="39" t="str">
        <f aca="false">IF(OR($A157="",$K157=""),"",$K157*$B$13+$L157*$B$14+$M157*$B$15+$N157*$B$16)</f>
        <v/>
      </c>
      <c r="V157" s="39" t="str">
        <f aca="false">IF(OR($T157="",$U157=""),"",$T157*$B$19+$U157*(1-$B$19))</f>
        <v/>
      </c>
      <c r="W157" s="27"/>
      <c r="X157" s="22"/>
      <c r="Y157" s="42" t="str">
        <f aca="false">IF(OR($A157="",$W157=""),"",MAX(0,$W157-MAX($W157*Assumptions!$B$4,Assumptions!$B$5)))</f>
        <v/>
      </c>
      <c r="Z157" s="41" t="str">
        <f aca="false">IF($V157="","",Assumptions!$B$6*MAX(0.05,($V157/Assumptions!$B$11)^Assumptions!$B$12))</f>
        <v/>
      </c>
      <c r="AA157" s="41" t="str">
        <f aca="false">IF($Z157="","",1-(1-$Z157)^Assumptions!$B$7)</f>
        <v/>
      </c>
      <c r="AB157" s="42" t="str">
        <f aca="false">IF(OR($F157="",$AA157="",$AA157=0),"",($F157+$E157*Assumptions!$B$7)/($AA157*(1-Assumptions!$B$4)))</f>
        <v/>
      </c>
      <c r="AC157" s="43" t="str">
        <f aca="false">IF(OR($W157="",$AB157="",$AB157=0),"",$W157/$AB157)</f>
        <v/>
      </c>
      <c r="AD157" s="44" t="str">
        <f aca="false">IF(OR($Y157="",$E157="",$AA157=""),"",MAX(0,$Y157*$AA157-$E157*Assumptions!$B$7))</f>
        <v/>
      </c>
      <c r="AE157" s="44" t="str">
        <f aca="false">IF(OR($AD157="",$F157=""),"",$AD157-$F157)</f>
        <v/>
      </c>
      <c r="AF157" s="40" t="str">
        <f aca="false">IF($A157="","",IF($S157="FAIL","REJECT",IF($D157="","NEEDS PRICE",IF(OR($W157="",$X157=""),"NEEDS VALUATION",IF($AC157&lt;1,"OVERPRICED",IF(AND($AC157&gt;=Assumptions!$B$13,$V157&gt;=4),"BUY",IF($V157&gt;=3.4,"BUY CHEAPER",IF($V157&gt;=2.8,"FLOOR ONLY","SKIP"))))))))</f>
        <v/>
      </c>
      <c r="AG157" s="50" t="str">
        <f aca="false">IF($AF157="","",IF($AF157="REJECT","Do not buy at any price",IF($AF157="NEEDS PRICE","Enter the current closeout price",IF($AF157="NEEDS VALUATION","Enter a valuation AND its source before bidding",IF($AF157="OVERPRICED","Worth less than break-even - walk",IF($AF157="BUY","Take it on day 1 at $11 - will not reach the floor",IF($AF157="BUY CHEAPER","Wait to about $8 (day 3), walk if outbid",IF($AF157="FLOOR ONLY","Only at the $5 floor","Skip"))))))))</f>
        <v/>
      </c>
      <c r="AH157" s="35"/>
    </row>
    <row r="158" customFormat="false" ht="15" hidden="false" customHeight="false" outlineLevel="0" collapsed="false">
      <c r="A158" s="22"/>
      <c r="B158" s="36" t="str">
        <f aca="false">IF($A158="","",IF(ISERROR(FIND(".",$A158)),"",LOWER(MID($A158,FIND(CHAR(1),SUBSTITUTE($A158,".",CHAR(1),LEN($A158)-LEN(SUBSTITUTE($A158,".",""))))+1,LEN($A158)))))</f>
        <v/>
      </c>
      <c r="C158" s="37" t="str">
        <f aca="false">IF($B158="","",IFERROR(INDEX(Rubric!$B$14:$B$23,MATCH($B158,Rubric!$A$14:$A$23,0)),INDEX(Rubric!$B$14:$B$23,MATCH("other",Rubric!$A$14:$A$23,0))))</f>
        <v/>
      </c>
      <c r="D158" s="26"/>
      <c r="E158" s="38" t="str">
        <f aca="false">IF($B158="","",IFERROR(INDEX(Rubric!$C$14:$C$23,MATCH($B158,Rubric!$A$14:$A$23,0)),INDEX(Rubric!$C$14:$C$23,MATCH("other",Rubric!$A$14:$A$23,0))))</f>
        <v/>
      </c>
      <c r="F158" s="44" t="str">
        <f aca="false">IF(OR($A158="",$D158=""),"",$D158+$E158)</f>
        <v/>
      </c>
      <c r="G158" s="25"/>
      <c r="H158" s="25"/>
      <c r="I158" s="25"/>
      <c r="J158" s="25"/>
      <c r="K158" s="39" t="str">
        <f aca="false">IF($J158="","",IF($J158&gt;=15,5,IF($J158&gt;=10,4,IF($J158&gt;=5,3,IF($J158&gt;=2,2,1)))))</f>
        <v/>
      </c>
      <c r="L158" s="25"/>
      <c r="M158" s="25"/>
      <c r="N158" s="25"/>
      <c r="O158" s="25"/>
      <c r="P158" s="25"/>
      <c r="Q158" s="25"/>
      <c r="R158" s="25"/>
      <c r="S158" s="40" t="str">
        <f aca="false">IF($A158="","",IF(OR(UPPER($O158)="Y",UPPER($P158)="Y",UPPER($Q158)="Y",UPPER($R158)="Y"),"FAIL","PASS"))</f>
        <v/>
      </c>
      <c r="T158" s="39" t="str">
        <f aca="false">IF(OR($A158="",$C158=""),"",$C158*$B$6+$G158*$B$7+$H158*$B$8+$I158*$B$9)</f>
        <v/>
      </c>
      <c r="U158" s="39" t="str">
        <f aca="false">IF(OR($A158="",$K158=""),"",$K158*$B$13+$L158*$B$14+$M158*$B$15+$N158*$B$16)</f>
        <v/>
      </c>
      <c r="V158" s="39" t="str">
        <f aca="false">IF(OR($T158="",$U158=""),"",$T158*$B$19+$U158*(1-$B$19))</f>
        <v/>
      </c>
      <c r="W158" s="27"/>
      <c r="X158" s="22"/>
      <c r="Y158" s="42" t="str">
        <f aca="false">IF(OR($A158="",$W158=""),"",MAX(0,$W158-MAX($W158*Assumptions!$B$4,Assumptions!$B$5)))</f>
        <v/>
      </c>
      <c r="Z158" s="41" t="str">
        <f aca="false">IF($V158="","",Assumptions!$B$6*MAX(0.05,($V158/Assumptions!$B$11)^Assumptions!$B$12))</f>
        <v/>
      </c>
      <c r="AA158" s="41" t="str">
        <f aca="false">IF($Z158="","",1-(1-$Z158)^Assumptions!$B$7)</f>
        <v/>
      </c>
      <c r="AB158" s="42" t="str">
        <f aca="false">IF(OR($F158="",$AA158="",$AA158=0),"",($F158+$E158*Assumptions!$B$7)/($AA158*(1-Assumptions!$B$4)))</f>
        <v/>
      </c>
      <c r="AC158" s="43" t="str">
        <f aca="false">IF(OR($W158="",$AB158="",$AB158=0),"",$W158/$AB158)</f>
        <v/>
      </c>
      <c r="AD158" s="44" t="str">
        <f aca="false">IF(OR($Y158="",$E158="",$AA158=""),"",MAX(0,$Y158*$AA158-$E158*Assumptions!$B$7))</f>
        <v/>
      </c>
      <c r="AE158" s="44" t="str">
        <f aca="false">IF(OR($AD158="",$F158=""),"",$AD158-$F158)</f>
        <v/>
      </c>
      <c r="AF158" s="40" t="str">
        <f aca="false">IF($A158="","",IF($S158="FAIL","REJECT",IF($D158="","NEEDS PRICE",IF(OR($W158="",$X158=""),"NEEDS VALUATION",IF($AC158&lt;1,"OVERPRICED",IF(AND($AC158&gt;=Assumptions!$B$13,$V158&gt;=4),"BUY",IF($V158&gt;=3.4,"BUY CHEAPER",IF($V158&gt;=2.8,"FLOOR ONLY","SKIP"))))))))</f>
        <v/>
      </c>
      <c r="AG158" s="50" t="str">
        <f aca="false">IF($AF158="","",IF($AF158="REJECT","Do not buy at any price",IF($AF158="NEEDS PRICE","Enter the current closeout price",IF($AF158="NEEDS VALUATION","Enter a valuation AND its source before bidding",IF($AF158="OVERPRICED","Worth less than break-even - walk",IF($AF158="BUY","Take it on day 1 at $11 - will not reach the floor",IF($AF158="BUY CHEAPER","Wait to about $8 (day 3), walk if outbid",IF($AF158="FLOOR ONLY","Only at the $5 floor","Skip"))))))))</f>
        <v/>
      </c>
      <c r="AH158" s="35"/>
    </row>
    <row r="159" customFormat="false" ht="15" hidden="false" customHeight="false" outlineLevel="0" collapsed="false">
      <c r="A159" s="22"/>
      <c r="B159" s="36" t="str">
        <f aca="false">IF($A159="","",IF(ISERROR(FIND(".",$A159)),"",LOWER(MID($A159,FIND(CHAR(1),SUBSTITUTE($A159,".",CHAR(1),LEN($A159)-LEN(SUBSTITUTE($A159,".",""))))+1,LEN($A159)))))</f>
        <v/>
      </c>
      <c r="C159" s="37" t="str">
        <f aca="false">IF($B159="","",IFERROR(INDEX(Rubric!$B$14:$B$23,MATCH($B159,Rubric!$A$14:$A$23,0)),INDEX(Rubric!$B$14:$B$23,MATCH("other",Rubric!$A$14:$A$23,0))))</f>
        <v/>
      </c>
      <c r="D159" s="26"/>
      <c r="E159" s="38" t="str">
        <f aca="false">IF($B159="","",IFERROR(INDEX(Rubric!$C$14:$C$23,MATCH($B159,Rubric!$A$14:$A$23,0)),INDEX(Rubric!$C$14:$C$23,MATCH("other",Rubric!$A$14:$A$23,0))))</f>
        <v/>
      </c>
      <c r="F159" s="44" t="str">
        <f aca="false">IF(OR($A159="",$D159=""),"",$D159+$E159)</f>
        <v/>
      </c>
      <c r="G159" s="25"/>
      <c r="H159" s="25"/>
      <c r="I159" s="25"/>
      <c r="J159" s="25"/>
      <c r="K159" s="39" t="str">
        <f aca="false">IF($J159="","",IF($J159&gt;=15,5,IF($J159&gt;=10,4,IF($J159&gt;=5,3,IF($J159&gt;=2,2,1)))))</f>
        <v/>
      </c>
      <c r="L159" s="25"/>
      <c r="M159" s="25"/>
      <c r="N159" s="25"/>
      <c r="O159" s="25"/>
      <c r="P159" s="25"/>
      <c r="Q159" s="25"/>
      <c r="R159" s="25"/>
      <c r="S159" s="40" t="str">
        <f aca="false">IF($A159="","",IF(OR(UPPER($O159)="Y",UPPER($P159)="Y",UPPER($Q159)="Y",UPPER($R159)="Y"),"FAIL","PASS"))</f>
        <v/>
      </c>
      <c r="T159" s="39" t="str">
        <f aca="false">IF(OR($A159="",$C159=""),"",$C159*$B$6+$G159*$B$7+$H159*$B$8+$I159*$B$9)</f>
        <v/>
      </c>
      <c r="U159" s="39" t="str">
        <f aca="false">IF(OR($A159="",$K159=""),"",$K159*$B$13+$L159*$B$14+$M159*$B$15+$N159*$B$16)</f>
        <v/>
      </c>
      <c r="V159" s="39" t="str">
        <f aca="false">IF(OR($T159="",$U159=""),"",$T159*$B$19+$U159*(1-$B$19))</f>
        <v/>
      </c>
      <c r="W159" s="27"/>
      <c r="X159" s="22"/>
      <c r="Y159" s="42" t="str">
        <f aca="false">IF(OR($A159="",$W159=""),"",MAX(0,$W159-MAX($W159*Assumptions!$B$4,Assumptions!$B$5)))</f>
        <v/>
      </c>
      <c r="Z159" s="41" t="str">
        <f aca="false">IF($V159="","",Assumptions!$B$6*MAX(0.05,($V159/Assumptions!$B$11)^Assumptions!$B$12))</f>
        <v/>
      </c>
      <c r="AA159" s="41" t="str">
        <f aca="false">IF($Z159="","",1-(1-$Z159)^Assumptions!$B$7)</f>
        <v/>
      </c>
      <c r="AB159" s="42" t="str">
        <f aca="false">IF(OR($F159="",$AA159="",$AA159=0),"",($F159+$E159*Assumptions!$B$7)/($AA159*(1-Assumptions!$B$4)))</f>
        <v/>
      </c>
      <c r="AC159" s="43" t="str">
        <f aca="false">IF(OR($W159="",$AB159="",$AB159=0),"",$W159/$AB159)</f>
        <v/>
      </c>
      <c r="AD159" s="44" t="str">
        <f aca="false">IF(OR($Y159="",$E159="",$AA159=""),"",MAX(0,$Y159*$AA159-$E159*Assumptions!$B$7))</f>
        <v/>
      </c>
      <c r="AE159" s="44" t="str">
        <f aca="false">IF(OR($AD159="",$F159=""),"",$AD159-$F159)</f>
        <v/>
      </c>
      <c r="AF159" s="40" t="str">
        <f aca="false">IF($A159="","",IF($S159="FAIL","REJECT",IF($D159="","NEEDS PRICE",IF(OR($W159="",$X159=""),"NEEDS VALUATION",IF($AC159&lt;1,"OVERPRICED",IF(AND($AC159&gt;=Assumptions!$B$13,$V159&gt;=4),"BUY",IF($V159&gt;=3.4,"BUY CHEAPER",IF($V159&gt;=2.8,"FLOOR ONLY","SKIP"))))))))</f>
        <v/>
      </c>
      <c r="AG159" s="50" t="str">
        <f aca="false">IF($AF159="","",IF($AF159="REJECT","Do not buy at any price",IF($AF159="NEEDS PRICE","Enter the current closeout price",IF($AF159="NEEDS VALUATION","Enter a valuation AND its source before bidding",IF($AF159="OVERPRICED","Worth less than break-even - walk",IF($AF159="BUY","Take it on day 1 at $11 - will not reach the floor",IF($AF159="BUY CHEAPER","Wait to about $8 (day 3), walk if outbid",IF($AF159="FLOOR ONLY","Only at the $5 floor","Skip"))))))))</f>
        <v/>
      </c>
      <c r="AH159" s="35"/>
    </row>
    <row r="160" customFormat="false" ht="15" hidden="false" customHeight="false" outlineLevel="0" collapsed="false">
      <c r="A160" s="22"/>
      <c r="B160" s="36" t="str">
        <f aca="false">IF($A160="","",IF(ISERROR(FIND(".",$A160)),"",LOWER(MID($A160,FIND(CHAR(1),SUBSTITUTE($A160,".",CHAR(1),LEN($A160)-LEN(SUBSTITUTE($A160,".",""))))+1,LEN($A160)))))</f>
        <v/>
      </c>
      <c r="C160" s="37" t="str">
        <f aca="false">IF($B160="","",IFERROR(INDEX(Rubric!$B$14:$B$23,MATCH($B160,Rubric!$A$14:$A$23,0)),INDEX(Rubric!$B$14:$B$23,MATCH("other",Rubric!$A$14:$A$23,0))))</f>
        <v/>
      </c>
      <c r="D160" s="26"/>
      <c r="E160" s="38" t="str">
        <f aca="false">IF($B160="","",IFERROR(INDEX(Rubric!$C$14:$C$23,MATCH($B160,Rubric!$A$14:$A$23,0)),INDEX(Rubric!$C$14:$C$23,MATCH("other",Rubric!$A$14:$A$23,0))))</f>
        <v/>
      </c>
      <c r="F160" s="44" t="str">
        <f aca="false">IF(OR($A160="",$D160=""),"",$D160+$E160)</f>
        <v/>
      </c>
      <c r="G160" s="25"/>
      <c r="H160" s="25"/>
      <c r="I160" s="25"/>
      <c r="J160" s="25"/>
      <c r="K160" s="39" t="str">
        <f aca="false">IF($J160="","",IF($J160&gt;=15,5,IF($J160&gt;=10,4,IF($J160&gt;=5,3,IF($J160&gt;=2,2,1)))))</f>
        <v/>
      </c>
      <c r="L160" s="25"/>
      <c r="M160" s="25"/>
      <c r="N160" s="25"/>
      <c r="O160" s="25"/>
      <c r="P160" s="25"/>
      <c r="Q160" s="25"/>
      <c r="R160" s="25"/>
      <c r="S160" s="40" t="str">
        <f aca="false">IF($A160="","",IF(OR(UPPER($O160)="Y",UPPER($P160)="Y",UPPER($Q160)="Y",UPPER($R160)="Y"),"FAIL","PASS"))</f>
        <v/>
      </c>
      <c r="T160" s="39" t="str">
        <f aca="false">IF(OR($A160="",$C160=""),"",$C160*$B$6+$G160*$B$7+$H160*$B$8+$I160*$B$9)</f>
        <v/>
      </c>
      <c r="U160" s="39" t="str">
        <f aca="false">IF(OR($A160="",$K160=""),"",$K160*$B$13+$L160*$B$14+$M160*$B$15+$N160*$B$16)</f>
        <v/>
      </c>
      <c r="V160" s="39" t="str">
        <f aca="false">IF(OR($T160="",$U160=""),"",$T160*$B$19+$U160*(1-$B$19))</f>
        <v/>
      </c>
      <c r="W160" s="27"/>
      <c r="X160" s="22"/>
      <c r="Y160" s="42" t="str">
        <f aca="false">IF(OR($A160="",$W160=""),"",MAX(0,$W160-MAX($W160*Assumptions!$B$4,Assumptions!$B$5)))</f>
        <v/>
      </c>
      <c r="Z160" s="41" t="str">
        <f aca="false">IF($V160="","",Assumptions!$B$6*MAX(0.05,($V160/Assumptions!$B$11)^Assumptions!$B$12))</f>
        <v/>
      </c>
      <c r="AA160" s="41" t="str">
        <f aca="false">IF($Z160="","",1-(1-$Z160)^Assumptions!$B$7)</f>
        <v/>
      </c>
      <c r="AB160" s="42" t="str">
        <f aca="false">IF(OR($F160="",$AA160="",$AA160=0),"",($F160+$E160*Assumptions!$B$7)/($AA160*(1-Assumptions!$B$4)))</f>
        <v/>
      </c>
      <c r="AC160" s="43" t="str">
        <f aca="false">IF(OR($W160="",$AB160="",$AB160=0),"",$W160/$AB160)</f>
        <v/>
      </c>
      <c r="AD160" s="44" t="str">
        <f aca="false">IF(OR($Y160="",$E160="",$AA160=""),"",MAX(0,$Y160*$AA160-$E160*Assumptions!$B$7))</f>
        <v/>
      </c>
      <c r="AE160" s="44" t="str">
        <f aca="false">IF(OR($AD160="",$F160=""),"",$AD160-$F160)</f>
        <v/>
      </c>
      <c r="AF160" s="40" t="str">
        <f aca="false">IF($A160="","",IF($S160="FAIL","REJECT",IF($D160="","NEEDS PRICE",IF(OR($W160="",$X160=""),"NEEDS VALUATION",IF($AC160&lt;1,"OVERPRICED",IF(AND($AC160&gt;=Assumptions!$B$13,$V160&gt;=4),"BUY",IF($V160&gt;=3.4,"BUY CHEAPER",IF($V160&gt;=2.8,"FLOOR ONLY","SKIP"))))))))</f>
        <v/>
      </c>
      <c r="AG160" s="50" t="str">
        <f aca="false">IF($AF160="","",IF($AF160="REJECT","Do not buy at any price",IF($AF160="NEEDS PRICE","Enter the current closeout price",IF($AF160="NEEDS VALUATION","Enter a valuation AND its source before bidding",IF($AF160="OVERPRICED","Worth less than break-even - walk",IF($AF160="BUY","Take it on day 1 at $11 - will not reach the floor",IF($AF160="BUY CHEAPER","Wait to about $8 (day 3), walk if outbid",IF($AF160="FLOOR ONLY","Only at the $5 floor","Skip"))))))))</f>
        <v/>
      </c>
      <c r="AH160" s="35"/>
    </row>
    <row r="161" customFormat="false" ht="15" hidden="false" customHeight="false" outlineLevel="0" collapsed="false">
      <c r="A161" s="22"/>
      <c r="B161" s="36" t="str">
        <f aca="false">IF($A161="","",IF(ISERROR(FIND(".",$A161)),"",LOWER(MID($A161,FIND(CHAR(1),SUBSTITUTE($A161,".",CHAR(1),LEN($A161)-LEN(SUBSTITUTE($A161,".",""))))+1,LEN($A161)))))</f>
        <v/>
      </c>
      <c r="C161" s="37" t="str">
        <f aca="false">IF($B161="","",IFERROR(INDEX(Rubric!$B$14:$B$23,MATCH($B161,Rubric!$A$14:$A$23,0)),INDEX(Rubric!$B$14:$B$23,MATCH("other",Rubric!$A$14:$A$23,0))))</f>
        <v/>
      </c>
      <c r="D161" s="26"/>
      <c r="E161" s="38" t="str">
        <f aca="false">IF($B161="","",IFERROR(INDEX(Rubric!$C$14:$C$23,MATCH($B161,Rubric!$A$14:$A$23,0)),INDEX(Rubric!$C$14:$C$23,MATCH("other",Rubric!$A$14:$A$23,0))))</f>
        <v/>
      </c>
      <c r="F161" s="44" t="str">
        <f aca="false">IF(OR($A161="",$D161=""),"",$D161+$E161)</f>
        <v/>
      </c>
      <c r="G161" s="25"/>
      <c r="H161" s="25"/>
      <c r="I161" s="25"/>
      <c r="J161" s="25"/>
      <c r="K161" s="39" t="str">
        <f aca="false">IF($J161="","",IF($J161&gt;=15,5,IF($J161&gt;=10,4,IF($J161&gt;=5,3,IF($J161&gt;=2,2,1)))))</f>
        <v/>
      </c>
      <c r="L161" s="25"/>
      <c r="M161" s="25"/>
      <c r="N161" s="25"/>
      <c r="O161" s="25"/>
      <c r="P161" s="25"/>
      <c r="Q161" s="25"/>
      <c r="R161" s="25"/>
      <c r="S161" s="40" t="str">
        <f aca="false">IF($A161="","",IF(OR(UPPER($O161)="Y",UPPER($P161)="Y",UPPER($Q161)="Y",UPPER($R161)="Y"),"FAIL","PASS"))</f>
        <v/>
      </c>
      <c r="T161" s="39" t="str">
        <f aca="false">IF(OR($A161="",$C161=""),"",$C161*$B$6+$G161*$B$7+$H161*$B$8+$I161*$B$9)</f>
        <v/>
      </c>
      <c r="U161" s="39" t="str">
        <f aca="false">IF(OR($A161="",$K161=""),"",$K161*$B$13+$L161*$B$14+$M161*$B$15+$N161*$B$16)</f>
        <v/>
      </c>
      <c r="V161" s="39" t="str">
        <f aca="false">IF(OR($T161="",$U161=""),"",$T161*$B$19+$U161*(1-$B$19))</f>
        <v/>
      </c>
      <c r="W161" s="27"/>
      <c r="X161" s="22"/>
      <c r="Y161" s="42" t="str">
        <f aca="false">IF(OR($A161="",$W161=""),"",MAX(0,$W161-MAX($W161*Assumptions!$B$4,Assumptions!$B$5)))</f>
        <v/>
      </c>
      <c r="Z161" s="41" t="str">
        <f aca="false">IF($V161="","",Assumptions!$B$6*MAX(0.05,($V161/Assumptions!$B$11)^Assumptions!$B$12))</f>
        <v/>
      </c>
      <c r="AA161" s="41" t="str">
        <f aca="false">IF($Z161="","",1-(1-$Z161)^Assumptions!$B$7)</f>
        <v/>
      </c>
      <c r="AB161" s="42" t="str">
        <f aca="false">IF(OR($F161="",$AA161="",$AA161=0),"",($F161+$E161*Assumptions!$B$7)/($AA161*(1-Assumptions!$B$4)))</f>
        <v/>
      </c>
      <c r="AC161" s="43" t="str">
        <f aca="false">IF(OR($W161="",$AB161="",$AB161=0),"",$W161/$AB161)</f>
        <v/>
      </c>
      <c r="AD161" s="44" t="str">
        <f aca="false">IF(OR($Y161="",$E161="",$AA161=""),"",MAX(0,$Y161*$AA161-$E161*Assumptions!$B$7))</f>
        <v/>
      </c>
      <c r="AE161" s="44" t="str">
        <f aca="false">IF(OR($AD161="",$F161=""),"",$AD161-$F161)</f>
        <v/>
      </c>
      <c r="AF161" s="40" t="str">
        <f aca="false">IF($A161="","",IF($S161="FAIL","REJECT",IF($D161="","NEEDS PRICE",IF(OR($W161="",$X161=""),"NEEDS VALUATION",IF($AC161&lt;1,"OVERPRICED",IF(AND($AC161&gt;=Assumptions!$B$13,$V161&gt;=4),"BUY",IF($V161&gt;=3.4,"BUY CHEAPER",IF($V161&gt;=2.8,"FLOOR ONLY","SKIP"))))))))</f>
        <v/>
      </c>
      <c r="AG161" s="50" t="str">
        <f aca="false">IF($AF161="","",IF($AF161="REJECT","Do not buy at any price",IF($AF161="NEEDS PRICE","Enter the current closeout price",IF($AF161="NEEDS VALUATION","Enter a valuation AND its source before bidding",IF($AF161="OVERPRICED","Worth less than break-even - walk",IF($AF161="BUY","Take it on day 1 at $11 - will not reach the floor",IF($AF161="BUY CHEAPER","Wait to about $8 (day 3), walk if outbid",IF($AF161="FLOOR ONLY","Only at the $5 floor","Skip"))))))))</f>
        <v/>
      </c>
      <c r="AH161" s="35"/>
    </row>
    <row r="162" customFormat="false" ht="15" hidden="false" customHeight="false" outlineLevel="0" collapsed="false">
      <c r="A162" s="22"/>
      <c r="B162" s="36" t="str">
        <f aca="false">IF($A162="","",IF(ISERROR(FIND(".",$A162)),"",LOWER(MID($A162,FIND(CHAR(1),SUBSTITUTE($A162,".",CHAR(1),LEN($A162)-LEN(SUBSTITUTE($A162,".",""))))+1,LEN($A162)))))</f>
        <v/>
      </c>
      <c r="C162" s="37" t="str">
        <f aca="false">IF($B162="","",IFERROR(INDEX(Rubric!$B$14:$B$23,MATCH($B162,Rubric!$A$14:$A$23,0)),INDEX(Rubric!$B$14:$B$23,MATCH("other",Rubric!$A$14:$A$23,0))))</f>
        <v/>
      </c>
      <c r="D162" s="26"/>
      <c r="E162" s="38" t="str">
        <f aca="false">IF($B162="","",IFERROR(INDEX(Rubric!$C$14:$C$23,MATCH($B162,Rubric!$A$14:$A$23,0)),INDEX(Rubric!$C$14:$C$23,MATCH("other",Rubric!$A$14:$A$23,0))))</f>
        <v/>
      </c>
      <c r="F162" s="44" t="str">
        <f aca="false">IF(OR($A162="",$D162=""),"",$D162+$E162)</f>
        <v/>
      </c>
      <c r="G162" s="25"/>
      <c r="H162" s="25"/>
      <c r="I162" s="25"/>
      <c r="J162" s="25"/>
      <c r="K162" s="39" t="str">
        <f aca="false">IF($J162="","",IF($J162&gt;=15,5,IF($J162&gt;=10,4,IF($J162&gt;=5,3,IF($J162&gt;=2,2,1)))))</f>
        <v/>
      </c>
      <c r="L162" s="25"/>
      <c r="M162" s="25"/>
      <c r="N162" s="25"/>
      <c r="O162" s="25"/>
      <c r="P162" s="25"/>
      <c r="Q162" s="25"/>
      <c r="R162" s="25"/>
      <c r="S162" s="40" t="str">
        <f aca="false">IF($A162="","",IF(OR(UPPER($O162)="Y",UPPER($P162)="Y",UPPER($Q162)="Y",UPPER($R162)="Y"),"FAIL","PASS"))</f>
        <v/>
      </c>
      <c r="T162" s="39" t="str">
        <f aca="false">IF(OR($A162="",$C162=""),"",$C162*$B$6+$G162*$B$7+$H162*$B$8+$I162*$B$9)</f>
        <v/>
      </c>
      <c r="U162" s="39" t="str">
        <f aca="false">IF(OR($A162="",$K162=""),"",$K162*$B$13+$L162*$B$14+$M162*$B$15+$N162*$B$16)</f>
        <v/>
      </c>
      <c r="V162" s="39" t="str">
        <f aca="false">IF(OR($T162="",$U162=""),"",$T162*$B$19+$U162*(1-$B$19))</f>
        <v/>
      </c>
      <c r="W162" s="27"/>
      <c r="X162" s="22"/>
      <c r="Y162" s="42" t="str">
        <f aca="false">IF(OR($A162="",$W162=""),"",MAX(0,$W162-MAX($W162*Assumptions!$B$4,Assumptions!$B$5)))</f>
        <v/>
      </c>
      <c r="Z162" s="41" t="str">
        <f aca="false">IF($V162="","",Assumptions!$B$6*MAX(0.05,($V162/Assumptions!$B$11)^Assumptions!$B$12))</f>
        <v/>
      </c>
      <c r="AA162" s="41" t="str">
        <f aca="false">IF($Z162="","",1-(1-$Z162)^Assumptions!$B$7)</f>
        <v/>
      </c>
      <c r="AB162" s="42" t="str">
        <f aca="false">IF(OR($F162="",$AA162="",$AA162=0),"",($F162+$E162*Assumptions!$B$7)/($AA162*(1-Assumptions!$B$4)))</f>
        <v/>
      </c>
      <c r="AC162" s="43" t="str">
        <f aca="false">IF(OR($W162="",$AB162="",$AB162=0),"",$W162/$AB162)</f>
        <v/>
      </c>
      <c r="AD162" s="44" t="str">
        <f aca="false">IF(OR($Y162="",$E162="",$AA162=""),"",MAX(0,$Y162*$AA162-$E162*Assumptions!$B$7))</f>
        <v/>
      </c>
      <c r="AE162" s="44" t="str">
        <f aca="false">IF(OR($AD162="",$F162=""),"",$AD162-$F162)</f>
        <v/>
      </c>
      <c r="AF162" s="40" t="str">
        <f aca="false">IF($A162="","",IF($S162="FAIL","REJECT",IF($D162="","NEEDS PRICE",IF(OR($W162="",$X162=""),"NEEDS VALUATION",IF($AC162&lt;1,"OVERPRICED",IF(AND($AC162&gt;=Assumptions!$B$13,$V162&gt;=4),"BUY",IF($V162&gt;=3.4,"BUY CHEAPER",IF($V162&gt;=2.8,"FLOOR ONLY","SKIP"))))))))</f>
        <v/>
      </c>
      <c r="AG162" s="50" t="str">
        <f aca="false">IF($AF162="","",IF($AF162="REJECT","Do not buy at any price",IF($AF162="NEEDS PRICE","Enter the current closeout price",IF($AF162="NEEDS VALUATION","Enter a valuation AND its source before bidding",IF($AF162="OVERPRICED","Worth less than break-even - walk",IF($AF162="BUY","Take it on day 1 at $11 - will not reach the floor",IF($AF162="BUY CHEAPER","Wait to about $8 (day 3), walk if outbid",IF($AF162="FLOOR ONLY","Only at the $5 floor","Skip"))))))))</f>
        <v/>
      </c>
      <c r="AH162" s="35"/>
    </row>
    <row r="163" customFormat="false" ht="15" hidden="false" customHeight="false" outlineLevel="0" collapsed="false">
      <c r="A163" s="22"/>
      <c r="B163" s="36" t="str">
        <f aca="false">IF($A163="","",IF(ISERROR(FIND(".",$A163)),"",LOWER(MID($A163,FIND(CHAR(1),SUBSTITUTE($A163,".",CHAR(1),LEN($A163)-LEN(SUBSTITUTE($A163,".",""))))+1,LEN($A163)))))</f>
        <v/>
      </c>
      <c r="C163" s="37" t="str">
        <f aca="false">IF($B163="","",IFERROR(INDEX(Rubric!$B$14:$B$23,MATCH($B163,Rubric!$A$14:$A$23,0)),INDEX(Rubric!$B$14:$B$23,MATCH("other",Rubric!$A$14:$A$23,0))))</f>
        <v/>
      </c>
      <c r="D163" s="26"/>
      <c r="E163" s="38" t="str">
        <f aca="false">IF($B163="","",IFERROR(INDEX(Rubric!$C$14:$C$23,MATCH($B163,Rubric!$A$14:$A$23,0)),INDEX(Rubric!$C$14:$C$23,MATCH("other",Rubric!$A$14:$A$23,0))))</f>
        <v/>
      </c>
      <c r="F163" s="44" t="str">
        <f aca="false">IF(OR($A163="",$D163=""),"",$D163+$E163)</f>
        <v/>
      </c>
      <c r="G163" s="25"/>
      <c r="H163" s="25"/>
      <c r="I163" s="25"/>
      <c r="J163" s="25"/>
      <c r="K163" s="39" t="str">
        <f aca="false">IF($J163="","",IF($J163&gt;=15,5,IF($J163&gt;=10,4,IF($J163&gt;=5,3,IF($J163&gt;=2,2,1)))))</f>
        <v/>
      </c>
      <c r="L163" s="25"/>
      <c r="M163" s="25"/>
      <c r="N163" s="25"/>
      <c r="O163" s="25"/>
      <c r="P163" s="25"/>
      <c r="Q163" s="25"/>
      <c r="R163" s="25"/>
      <c r="S163" s="40" t="str">
        <f aca="false">IF($A163="","",IF(OR(UPPER($O163)="Y",UPPER($P163)="Y",UPPER($Q163)="Y",UPPER($R163)="Y"),"FAIL","PASS"))</f>
        <v/>
      </c>
      <c r="T163" s="39" t="str">
        <f aca="false">IF(OR($A163="",$C163=""),"",$C163*$B$6+$G163*$B$7+$H163*$B$8+$I163*$B$9)</f>
        <v/>
      </c>
      <c r="U163" s="39" t="str">
        <f aca="false">IF(OR($A163="",$K163=""),"",$K163*$B$13+$L163*$B$14+$M163*$B$15+$N163*$B$16)</f>
        <v/>
      </c>
      <c r="V163" s="39" t="str">
        <f aca="false">IF(OR($T163="",$U163=""),"",$T163*$B$19+$U163*(1-$B$19))</f>
        <v/>
      </c>
      <c r="W163" s="27"/>
      <c r="X163" s="22"/>
      <c r="Y163" s="42" t="str">
        <f aca="false">IF(OR($A163="",$W163=""),"",MAX(0,$W163-MAX($W163*Assumptions!$B$4,Assumptions!$B$5)))</f>
        <v/>
      </c>
      <c r="Z163" s="41" t="str">
        <f aca="false">IF($V163="","",Assumptions!$B$6*MAX(0.05,($V163/Assumptions!$B$11)^Assumptions!$B$12))</f>
        <v/>
      </c>
      <c r="AA163" s="41" t="str">
        <f aca="false">IF($Z163="","",1-(1-$Z163)^Assumptions!$B$7)</f>
        <v/>
      </c>
      <c r="AB163" s="42" t="str">
        <f aca="false">IF(OR($F163="",$AA163="",$AA163=0),"",($F163+$E163*Assumptions!$B$7)/($AA163*(1-Assumptions!$B$4)))</f>
        <v/>
      </c>
      <c r="AC163" s="43" t="str">
        <f aca="false">IF(OR($W163="",$AB163="",$AB163=0),"",$W163/$AB163)</f>
        <v/>
      </c>
      <c r="AD163" s="44" t="str">
        <f aca="false">IF(OR($Y163="",$E163="",$AA163=""),"",MAX(0,$Y163*$AA163-$E163*Assumptions!$B$7))</f>
        <v/>
      </c>
      <c r="AE163" s="44" t="str">
        <f aca="false">IF(OR($AD163="",$F163=""),"",$AD163-$F163)</f>
        <v/>
      </c>
      <c r="AF163" s="40" t="str">
        <f aca="false">IF($A163="","",IF($S163="FAIL","REJECT",IF($D163="","NEEDS PRICE",IF(OR($W163="",$X163=""),"NEEDS VALUATION",IF($AC163&lt;1,"OVERPRICED",IF(AND($AC163&gt;=Assumptions!$B$13,$V163&gt;=4),"BUY",IF($V163&gt;=3.4,"BUY CHEAPER",IF($V163&gt;=2.8,"FLOOR ONLY","SKIP"))))))))</f>
        <v/>
      </c>
      <c r="AG163" s="50" t="str">
        <f aca="false">IF($AF163="","",IF($AF163="REJECT","Do not buy at any price",IF($AF163="NEEDS PRICE","Enter the current closeout price",IF($AF163="NEEDS VALUATION","Enter a valuation AND its source before bidding",IF($AF163="OVERPRICED","Worth less than break-even - walk",IF($AF163="BUY","Take it on day 1 at $11 - will not reach the floor",IF($AF163="BUY CHEAPER","Wait to about $8 (day 3), walk if outbid",IF($AF163="FLOOR ONLY","Only at the $5 floor","Skip"))))))))</f>
        <v/>
      </c>
      <c r="AH163" s="35"/>
    </row>
  </sheetData>
  <autoFilter ref="A43:AH163"/>
  <mergeCells count="11">
    <mergeCell ref="A1:J1"/>
    <mergeCell ref="A2:J2"/>
    <mergeCell ref="C19:H19"/>
    <mergeCell ref="B22:J22"/>
    <mergeCell ref="B23:J23"/>
    <mergeCell ref="B24:J24"/>
    <mergeCell ref="B25:J25"/>
    <mergeCell ref="B28:J28"/>
    <mergeCell ref="B29:J29"/>
    <mergeCell ref="B30:J30"/>
    <mergeCell ref="B31:J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7"/>
    <col collapsed="false" customWidth="true" hidden="false" outlineLevel="0" max="3" min="3" style="0" width="11"/>
    <col collapsed="false" customWidth="true" hidden="false" outlineLevel="0" max="4" min="4" style="0" width="13"/>
    <col collapsed="false" customWidth="true" hidden="false" outlineLevel="0" max="5" min="5" style="0" width="14"/>
    <col collapsed="false" customWidth="true" hidden="false" outlineLevel="0" max="6" min="6" style="0" width="13"/>
    <col collapsed="false" customWidth="true" hidden="false" outlineLevel="0" max="8" min="7" style="0" width="11"/>
    <col collapsed="false" customWidth="true" hidden="false" outlineLevel="0" max="10" min="9" style="0" width="14"/>
    <col collapsed="false" customWidth="true" hidden="false" outlineLevel="0" max="11" min="11" style="0" width="16"/>
    <col collapsed="false" customWidth="true" hidden="false" outlineLevel="0" max="13" min="12" style="0" width="15"/>
    <col collapsed="false" customWidth="true" hidden="false" outlineLevel="0" max="14" min="14" style="0" width="40"/>
  </cols>
  <sheetData>
    <row r="1" customFormat="false" ht="24" hidden="false" customHeight="true" outlineLevel="0" collapsed="false">
      <c r="A1" s="1" t="s">
        <v>628</v>
      </c>
      <c r="B1" s="1"/>
      <c r="C1" s="1"/>
      <c r="D1" s="1"/>
      <c r="E1" s="1"/>
      <c r="F1" s="1"/>
      <c r="G1" s="1"/>
      <c r="H1" s="1"/>
      <c r="I1" s="1"/>
      <c r="J1" s="1"/>
      <c r="K1" s="1"/>
      <c r="L1" s="1"/>
      <c r="M1" s="1"/>
      <c r="N1" s="1"/>
    </row>
    <row r="2" customFormat="false" ht="15" hidden="false" customHeight="false" outlineLevel="0" collapsed="false">
      <c r="A2" s="17" t="s">
        <v>629</v>
      </c>
    </row>
    <row r="4" customFormat="false" ht="42" hidden="false" customHeight="true" outlineLevel="0" collapsed="false">
      <c r="A4" s="7" t="s">
        <v>153</v>
      </c>
      <c r="B4" s="7" t="s">
        <v>154</v>
      </c>
      <c r="C4" s="7" t="s">
        <v>630</v>
      </c>
      <c r="D4" s="7" t="s">
        <v>631</v>
      </c>
      <c r="E4" s="7" t="s">
        <v>162</v>
      </c>
      <c r="F4" s="7" t="s">
        <v>165</v>
      </c>
      <c r="G4" s="7" t="s">
        <v>632</v>
      </c>
      <c r="H4" s="7" t="s">
        <v>633</v>
      </c>
      <c r="I4" s="7" t="s">
        <v>634</v>
      </c>
      <c r="J4" s="7" t="s">
        <v>635</v>
      </c>
      <c r="K4" s="7" t="s">
        <v>636</v>
      </c>
      <c r="L4" s="7" t="s">
        <v>637</v>
      </c>
      <c r="M4" s="7" t="s">
        <v>638</v>
      </c>
      <c r="N4" s="7" t="s">
        <v>174</v>
      </c>
    </row>
    <row r="5" customFormat="false" ht="15" hidden="false" customHeight="false" outlineLevel="0" collapsed="false">
      <c r="A5" s="64" t="s">
        <v>181</v>
      </c>
      <c r="B5" s="23" t="str">
        <f aca="false">IF($A5="","",IF(ISERROR(FIND(".",$A5)),"",LOWER(MID($A5,FIND(CHAR(1),SUBSTITUTE($A5,".",CHAR(1),LEN($A5)-LEN(SUBSTITUTE($A5,".",""))))+1,LEN($A5)))))</f>
        <v>com</v>
      </c>
      <c r="C5" s="60" t="s">
        <v>639</v>
      </c>
      <c r="D5" s="65" t="n">
        <v>45363</v>
      </c>
      <c r="E5" s="61" t="n">
        <v>2400</v>
      </c>
      <c r="F5" s="28" t="n">
        <f aca="false">IF($B5="","",IFERROR(INDEX(Rubric!$C$14:$C$23,MATCH(LOWER($B5),Rubric!$A$14:$A$23,0)),INDEX(Rubric!$C$14:$C$23,MATCH("other",Rubric!$A$14:$A$23,0))))</f>
        <v>11</v>
      </c>
      <c r="G5" s="29" t="n">
        <f aca="true">IF(OR($A5="",$D5=""),"",YEARFRAC($D5,TODAY()))</f>
        <v>2.4</v>
      </c>
      <c r="H5" s="66" t="n">
        <f aca="false">IF($G5="","",MAX(0,INT($G5)))</f>
        <v>2</v>
      </c>
      <c r="I5" s="32" t="n">
        <f aca="false">IF(OR($F5="",$H5=""),"",$F5*$H5)</f>
        <v>22</v>
      </c>
      <c r="J5" s="32" t="n">
        <f aca="false">IF(OR($A5="",$E5=""),"",$E5+IF($I5="",0,$I5))</f>
        <v>2422</v>
      </c>
      <c r="K5" s="32" t="n">
        <f aca="false">IF(OR($J5="",$J5=0),"",$J5/(1-Assumptions!$B$4))</f>
        <v>3027.5</v>
      </c>
      <c r="L5" s="32" t="n">
        <f aca="false">IF($K5="","",MAX($K5,$E5*Assumptions!$B$10))</f>
        <v>24000</v>
      </c>
      <c r="M5" s="61" t="n">
        <v>12000</v>
      </c>
      <c r="N5" s="63" t="s">
        <v>640</v>
      </c>
    </row>
    <row r="6" customFormat="false" ht="15" hidden="false" customHeight="false" outlineLevel="0" collapsed="false">
      <c r="A6" s="67"/>
      <c r="B6" s="36" t="str">
        <f aca="false">IF($A6="","",IF(ISERROR(FIND(".",$A6)),"",LOWER(MID($A6,FIND(CHAR(1),SUBSTITUTE($A6,".",CHAR(1),LEN($A6)-LEN(SUBSTITUTE($A6,".",""))))+1,LEN($A6)))))</f>
        <v/>
      </c>
      <c r="C6" s="25"/>
      <c r="D6" s="68"/>
      <c r="E6" s="27"/>
      <c r="F6" s="38" t="str">
        <f aca="false">IF($B6="","",IFERROR(INDEX(Rubric!$C$14:$C$23,MATCH(LOWER($B6),Rubric!$A$14:$A$23,0)),INDEX(Rubric!$C$14:$C$23,MATCH("other",Rubric!$A$14:$A$23,0))))</f>
        <v/>
      </c>
      <c r="G6" s="39" t="str">
        <f aca="true">IF(OR($A6="",$D6=""),"",YEARFRAC($D6,TODAY()))</f>
        <v/>
      </c>
      <c r="H6" s="69" t="str">
        <f aca="false">IF($G6="","",MAX(0,INT($G6)))</f>
        <v/>
      </c>
      <c r="I6" s="42" t="str">
        <f aca="false">IF(OR($F6="",$H6=""),"",$F6*$H6)</f>
        <v/>
      </c>
      <c r="J6" s="42" t="str">
        <f aca="false">IF(OR($A6="",$E6=""),"",$E6+IF($I6="",0,$I6))</f>
        <v/>
      </c>
      <c r="K6" s="42" t="str">
        <f aca="false">IF(OR($J6="",$J6=0),"",$J6/(1-Assumptions!$B$4))</f>
        <v/>
      </c>
      <c r="L6" s="42" t="str">
        <f aca="false">IF($K6="","",MAX($K6,$E6*Assumptions!$B$10))</f>
        <v/>
      </c>
      <c r="M6" s="27"/>
      <c r="N6" s="35"/>
    </row>
    <row r="7" customFormat="false" ht="15" hidden="false" customHeight="false" outlineLevel="0" collapsed="false">
      <c r="A7" s="67"/>
      <c r="B7" s="36" t="str">
        <f aca="false">IF($A7="","",IF(ISERROR(FIND(".",$A7)),"",LOWER(MID($A7,FIND(CHAR(1),SUBSTITUTE($A7,".",CHAR(1),LEN($A7)-LEN(SUBSTITUTE($A7,".",""))))+1,LEN($A7)))))</f>
        <v/>
      </c>
      <c r="C7" s="25"/>
      <c r="D7" s="68"/>
      <c r="E7" s="27"/>
      <c r="F7" s="38" t="str">
        <f aca="false">IF($B7="","",IFERROR(INDEX(Rubric!$C$14:$C$23,MATCH(LOWER($B7),Rubric!$A$14:$A$23,0)),INDEX(Rubric!$C$14:$C$23,MATCH("other",Rubric!$A$14:$A$23,0))))</f>
        <v/>
      </c>
      <c r="G7" s="39" t="str">
        <f aca="true">IF(OR($A7="",$D7=""),"",YEARFRAC($D7,TODAY()))</f>
        <v/>
      </c>
      <c r="H7" s="69" t="str">
        <f aca="false">IF($G7="","",MAX(0,INT($G7)))</f>
        <v/>
      </c>
      <c r="I7" s="42" t="str">
        <f aca="false">IF(OR($F7="",$H7=""),"",$F7*$H7)</f>
        <v/>
      </c>
      <c r="J7" s="42" t="str">
        <f aca="false">IF(OR($A7="",$E7=""),"",$E7+IF($I7="",0,$I7))</f>
        <v/>
      </c>
      <c r="K7" s="42" t="str">
        <f aca="false">IF(OR($J7="",$J7=0),"",$J7/(1-Assumptions!$B$4))</f>
        <v/>
      </c>
      <c r="L7" s="42" t="str">
        <f aca="false">IF($K7="","",MAX($K7,$E7*Assumptions!$B$10))</f>
        <v/>
      </c>
      <c r="M7" s="27"/>
      <c r="N7" s="35"/>
    </row>
    <row r="8" customFormat="false" ht="15" hidden="false" customHeight="false" outlineLevel="0" collapsed="false">
      <c r="A8" s="67"/>
      <c r="B8" s="36" t="str">
        <f aca="false">IF($A8="","",IF(ISERROR(FIND(".",$A8)),"",LOWER(MID($A8,FIND(CHAR(1),SUBSTITUTE($A8,".",CHAR(1),LEN($A8)-LEN(SUBSTITUTE($A8,".",""))))+1,LEN($A8)))))</f>
        <v/>
      </c>
      <c r="C8" s="25"/>
      <c r="D8" s="68"/>
      <c r="E8" s="27"/>
      <c r="F8" s="38" t="str">
        <f aca="false">IF($B8="","",IFERROR(INDEX(Rubric!$C$14:$C$23,MATCH(LOWER($B8),Rubric!$A$14:$A$23,0)),INDEX(Rubric!$C$14:$C$23,MATCH("other",Rubric!$A$14:$A$23,0))))</f>
        <v/>
      </c>
      <c r="G8" s="39" t="str">
        <f aca="true">IF(OR($A8="",$D8=""),"",YEARFRAC($D8,TODAY()))</f>
        <v/>
      </c>
      <c r="H8" s="69" t="str">
        <f aca="false">IF($G8="","",MAX(0,INT($G8)))</f>
        <v/>
      </c>
      <c r="I8" s="42" t="str">
        <f aca="false">IF(OR($F8="",$H8=""),"",$F8*$H8)</f>
        <v/>
      </c>
      <c r="J8" s="42" t="str">
        <f aca="false">IF(OR($A8="",$E8=""),"",$E8+IF($I8="",0,$I8))</f>
        <v/>
      </c>
      <c r="K8" s="42" t="str">
        <f aca="false">IF(OR($J8="",$J8=0),"",$J8/(1-Assumptions!$B$4))</f>
        <v/>
      </c>
      <c r="L8" s="42" t="str">
        <f aca="false">IF($K8="","",MAX($K8,$E8*Assumptions!$B$10))</f>
        <v/>
      </c>
      <c r="M8" s="27"/>
      <c r="N8" s="35"/>
    </row>
    <row r="9" customFormat="false" ht="15" hidden="false" customHeight="false" outlineLevel="0" collapsed="false">
      <c r="A9" s="67"/>
      <c r="B9" s="36" t="str">
        <f aca="false">IF($A9="","",IF(ISERROR(FIND(".",$A9)),"",LOWER(MID($A9,FIND(CHAR(1),SUBSTITUTE($A9,".",CHAR(1),LEN($A9)-LEN(SUBSTITUTE($A9,".",""))))+1,LEN($A9)))))</f>
        <v/>
      </c>
      <c r="C9" s="25"/>
      <c r="D9" s="68"/>
      <c r="E9" s="27"/>
      <c r="F9" s="38" t="str">
        <f aca="false">IF($B9="","",IFERROR(INDEX(Rubric!$C$14:$C$23,MATCH(LOWER($B9),Rubric!$A$14:$A$23,0)),INDEX(Rubric!$C$14:$C$23,MATCH("other",Rubric!$A$14:$A$23,0))))</f>
        <v/>
      </c>
      <c r="G9" s="39" t="str">
        <f aca="true">IF(OR($A9="",$D9=""),"",YEARFRAC($D9,TODAY()))</f>
        <v/>
      </c>
      <c r="H9" s="69" t="str">
        <f aca="false">IF($G9="","",MAX(0,INT($G9)))</f>
        <v/>
      </c>
      <c r="I9" s="42" t="str">
        <f aca="false">IF(OR($F9="",$H9=""),"",$F9*$H9)</f>
        <v/>
      </c>
      <c r="J9" s="42" t="str">
        <f aca="false">IF(OR($A9="",$E9=""),"",$E9+IF($I9="",0,$I9))</f>
        <v/>
      </c>
      <c r="K9" s="42" t="str">
        <f aca="false">IF(OR($J9="",$J9=0),"",$J9/(1-Assumptions!$B$4))</f>
        <v/>
      </c>
      <c r="L9" s="42" t="str">
        <f aca="false">IF($K9="","",MAX($K9,$E9*Assumptions!$B$10))</f>
        <v/>
      </c>
      <c r="M9" s="27"/>
      <c r="N9" s="35"/>
    </row>
    <row r="10" customFormat="false" ht="15" hidden="false" customHeight="false" outlineLevel="0" collapsed="false">
      <c r="A10" s="67"/>
      <c r="B10" s="36" t="str">
        <f aca="false">IF($A10="","",IF(ISERROR(FIND(".",$A10)),"",LOWER(MID($A10,FIND(CHAR(1),SUBSTITUTE($A10,".",CHAR(1),LEN($A10)-LEN(SUBSTITUTE($A10,".",""))))+1,LEN($A10)))))</f>
        <v/>
      </c>
      <c r="C10" s="25"/>
      <c r="D10" s="68"/>
      <c r="E10" s="27"/>
      <c r="F10" s="38" t="str">
        <f aca="false">IF($B10="","",IFERROR(INDEX(Rubric!$C$14:$C$23,MATCH(LOWER($B10),Rubric!$A$14:$A$23,0)),INDEX(Rubric!$C$14:$C$23,MATCH("other",Rubric!$A$14:$A$23,0))))</f>
        <v/>
      </c>
      <c r="G10" s="39" t="str">
        <f aca="true">IF(OR($A10="",$D10=""),"",YEARFRAC($D10,TODAY()))</f>
        <v/>
      </c>
      <c r="H10" s="69" t="str">
        <f aca="false">IF($G10="","",MAX(0,INT($G10)))</f>
        <v/>
      </c>
      <c r="I10" s="42" t="str">
        <f aca="false">IF(OR($F10="",$H10=""),"",$F10*$H10)</f>
        <v/>
      </c>
      <c r="J10" s="42" t="str">
        <f aca="false">IF(OR($A10="",$E10=""),"",$E10+IF($I10="",0,$I10))</f>
        <v/>
      </c>
      <c r="K10" s="42" t="str">
        <f aca="false">IF(OR($J10="",$J10=0),"",$J10/(1-Assumptions!$B$4))</f>
        <v/>
      </c>
      <c r="L10" s="42" t="str">
        <f aca="false">IF($K10="","",MAX($K10,$E10*Assumptions!$B$10))</f>
        <v/>
      </c>
      <c r="M10" s="27"/>
      <c r="N10" s="35"/>
    </row>
    <row r="11" customFormat="false" ht="15" hidden="false" customHeight="false" outlineLevel="0" collapsed="false">
      <c r="A11" s="67"/>
      <c r="B11" s="36" t="str">
        <f aca="false">IF($A11="","",IF(ISERROR(FIND(".",$A11)),"",LOWER(MID($A11,FIND(CHAR(1),SUBSTITUTE($A11,".",CHAR(1),LEN($A11)-LEN(SUBSTITUTE($A11,".",""))))+1,LEN($A11)))))</f>
        <v/>
      </c>
      <c r="C11" s="25"/>
      <c r="D11" s="68"/>
      <c r="E11" s="27"/>
      <c r="F11" s="38" t="str">
        <f aca="false">IF($B11="","",IFERROR(INDEX(Rubric!$C$14:$C$23,MATCH(LOWER($B11),Rubric!$A$14:$A$23,0)),INDEX(Rubric!$C$14:$C$23,MATCH("other",Rubric!$A$14:$A$23,0))))</f>
        <v/>
      </c>
      <c r="G11" s="39" t="str">
        <f aca="true">IF(OR($A11="",$D11=""),"",YEARFRAC($D11,TODAY()))</f>
        <v/>
      </c>
      <c r="H11" s="69" t="str">
        <f aca="false">IF($G11="","",MAX(0,INT($G11)))</f>
        <v/>
      </c>
      <c r="I11" s="42" t="str">
        <f aca="false">IF(OR($F11="",$H11=""),"",$F11*$H11)</f>
        <v/>
      </c>
      <c r="J11" s="42" t="str">
        <f aca="false">IF(OR($A11="",$E11=""),"",$E11+IF($I11="",0,$I11))</f>
        <v/>
      </c>
      <c r="K11" s="42" t="str">
        <f aca="false">IF(OR($J11="",$J11=0),"",$J11/(1-Assumptions!$B$4))</f>
        <v/>
      </c>
      <c r="L11" s="42" t="str">
        <f aca="false">IF($K11="","",MAX($K11,$E11*Assumptions!$B$10))</f>
        <v/>
      </c>
      <c r="M11" s="27"/>
      <c r="N11" s="35"/>
    </row>
    <row r="12" customFormat="false" ht="15" hidden="false" customHeight="false" outlineLevel="0" collapsed="false">
      <c r="A12" s="67"/>
      <c r="B12" s="36" t="str">
        <f aca="false">IF($A12="","",IF(ISERROR(FIND(".",$A12)),"",LOWER(MID($A12,FIND(CHAR(1),SUBSTITUTE($A12,".",CHAR(1),LEN($A12)-LEN(SUBSTITUTE($A12,".",""))))+1,LEN($A12)))))</f>
        <v/>
      </c>
      <c r="C12" s="25"/>
      <c r="D12" s="68"/>
      <c r="E12" s="27"/>
      <c r="F12" s="38" t="str">
        <f aca="false">IF($B12="","",IFERROR(INDEX(Rubric!$C$14:$C$23,MATCH(LOWER($B12),Rubric!$A$14:$A$23,0)),INDEX(Rubric!$C$14:$C$23,MATCH("other",Rubric!$A$14:$A$23,0))))</f>
        <v/>
      </c>
      <c r="G12" s="39" t="str">
        <f aca="true">IF(OR($A12="",$D12=""),"",YEARFRAC($D12,TODAY()))</f>
        <v/>
      </c>
      <c r="H12" s="69" t="str">
        <f aca="false">IF($G12="","",MAX(0,INT($G12)))</f>
        <v/>
      </c>
      <c r="I12" s="42" t="str">
        <f aca="false">IF(OR($F12="",$H12=""),"",$F12*$H12)</f>
        <v/>
      </c>
      <c r="J12" s="42" t="str">
        <f aca="false">IF(OR($A12="",$E12=""),"",$E12+IF($I12="",0,$I12))</f>
        <v/>
      </c>
      <c r="K12" s="42" t="str">
        <f aca="false">IF(OR($J12="",$J12=0),"",$J12/(1-Assumptions!$B$4))</f>
        <v/>
      </c>
      <c r="L12" s="42" t="str">
        <f aca="false">IF($K12="","",MAX($K12,$E12*Assumptions!$B$10))</f>
        <v/>
      </c>
      <c r="M12" s="27"/>
      <c r="N12" s="35"/>
    </row>
    <row r="13" customFormat="false" ht="15" hidden="false" customHeight="false" outlineLevel="0" collapsed="false">
      <c r="A13" s="67"/>
      <c r="B13" s="36" t="str">
        <f aca="false">IF($A13="","",IF(ISERROR(FIND(".",$A13)),"",LOWER(MID($A13,FIND(CHAR(1),SUBSTITUTE($A13,".",CHAR(1),LEN($A13)-LEN(SUBSTITUTE($A13,".",""))))+1,LEN($A13)))))</f>
        <v/>
      </c>
      <c r="C13" s="25"/>
      <c r="D13" s="68"/>
      <c r="E13" s="27"/>
      <c r="F13" s="38" t="str">
        <f aca="false">IF($B13="","",IFERROR(INDEX(Rubric!$C$14:$C$23,MATCH(LOWER($B13),Rubric!$A$14:$A$23,0)),INDEX(Rubric!$C$14:$C$23,MATCH("other",Rubric!$A$14:$A$23,0))))</f>
        <v/>
      </c>
      <c r="G13" s="39" t="str">
        <f aca="true">IF(OR($A13="",$D13=""),"",YEARFRAC($D13,TODAY()))</f>
        <v/>
      </c>
      <c r="H13" s="69" t="str">
        <f aca="false">IF($G13="","",MAX(0,INT($G13)))</f>
        <v/>
      </c>
      <c r="I13" s="42" t="str">
        <f aca="false">IF(OR($F13="",$H13=""),"",$F13*$H13)</f>
        <v/>
      </c>
      <c r="J13" s="42" t="str">
        <f aca="false">IF(OR($A13="",$E13=""),"",$E13+IF($I13="",0,$I13))</f>
        <v/>
      </c>
      <c r="K13" s="42" t="str">
        <f aca="false">IF(OR($J13="",$J13=0),"",$J13/(1-Assumptions!$B$4))</f>
        <v/>
      </c>
      <c r="L13" s="42" t="str">
        <f aca="false">IF($K13="","",MAX($K13,$E13*Assumptions!$B$10))</f>
        <v/>
      </c>
      <c r="M13" s="27"/>
      <c r="N13" s="35"/>
    </row>
    <row r="14" customFormat="false" ht="15" hidden="false" customHeight="false" outlineLevel="0" collapsed="false">
      <c r="A14" s="67"/>
      <c r="B14" s="36" t="str">
        <f aca="false">IF($A14="","",IF(ISERROR(FIND(".",$A14)),"",LOWER(MID($A14,FIND(CHAR(1),SUBSTITUTE($A14,".",CHAR(1),LEN($A14)-LEN(SUBSTITUTE($A14,".",""))))+1,LEN($A14)))))</f>
        <v/>
      </c>
      <c r="C14" s="25"/>
      <c r="D14" s="68"/>
      <c r="E14" s="27"/>
      <c r="F14" s="38" t="str">
        <f aca="false">IF($B14="","",IFERROR(INDEX(Rubric!$C$14:$C$23,MATCH(LOWER($B14),Rubric!$A$14:$A$23,0)),INDEX(Rubric!$C$14:$C$23,MATCH("other",Rubric!$A$14:$A$23,0))))</f>
        <v/>
      </c>
      <c r="G14" s="39" t="str">
        <f aca="true">IF(OR($A14="",$D14=""),"",YEARFRAC($D14,TODAY()))</f>
        <v/>
      </c>
      <c r="H14" s="69" t="str">
        <f aca="false">IF($G14="","",MAX(0,INT($G14)))</f>
        <v/>
      </c>
      <c r="I14" s="42" t="str">
        <f aca="false">IF(OR($F14="",$H14=""),"",$F14*$H14)</f>
        <v/>
      </c>
      <c r="J14" s="42" t="str">
        <f aca="false">IF(OR($A14="",$E14=""),"",$E14+IF($I14="",0,$I14))</f>
        <v/>
      </c>
      <c r="K14" s="42" t="str">
        <f aca="false">IF(OR($J14="",$J14=0),"",$J14/(1-Assumptions!$B$4))</f>
        <v/>
      </c>
      <c r="L14" s="42" t="str">
        <f aca="false">IF($K14="","",MAX($K14,$E14*Assumptions!$B$10))</f>
        <v/>
      </c>
      <c r="M14" s="27"/>
      <c r="N14" s="35"/>
    </row>
    <row r="15" customFormat="false" ht="15" hidden="false" customHeight="false" outlineLevel="0" collapsed="false">
      <c r="A15" s="67"/>
      <c r="B15" s="36" t="str">
        <f aca="false">IF($A15="","",IF(ISERROR(FIND(".",$A15)),"",LOWER(MID($A15,FIND(CHAR(1),SUBSTITUTE($A15,".",CHAR(1),LEN($A15)-LEN(SUBSTITUTE($A15,".",""))))+1,LEN($A15)))))</f>
        <v/>
      </c>
      <c r="C15" s="25"/>
      <c r="D15" s="68"/>
      <c r="E15" s="27"/>
      <c r="F15" s="38" t="str">
        <f aca="false">IF($B15="","",IFERROR(INDEX(Rubric!$C$14:$C$23,MATCH(LOWER($B15),Rubric!$A$14:$A$23,0)),INDEX(Rubric!$C$14:$C$23,MATCH("other",Rubric!$A$14:$A$23,0))))</f>
        <v/>
      </c>
      <c r="G15" s="39" t="str">
        <f aca="true">IF(OR($A15="",$D15=""),"",YEARFRAC($D15,TODAY()))</f>
        <v/>
      </c>
      <c r="H15" s="69" t="str">
        <f aca="false">IF($G15="","",MAX(0,INT($G15)))</f>
        <v/>
      </c>
      <c r="I15" s="42" t="str">
        <f aca="false">IF(OR($F15="",$H15=""),"",$F15*$H15)</f>
        <v/>
      </c>
      <c r="J15" s="42" t="str">
        <f aca="false">IF(OR($A15="",$E15=""),"",$E15+IF($I15="",0,$I15))</f>
        <v/>
      </c>
      <c r="K15" s="42" t="str">
        <f aca="false">IF(OR($J15="",$J15=0),"",$J15/(1-Assumptions!$B$4))</f>
        <v/>
      </c>
      <c r="L15" s="42" t="str">
        <f aca="false">IF($K15="","",MAX($K15,$E15*Assumptions!$B$10))</f>
        <v/>
      </c>
      <c r="M15" s="27"/>
      <c r="N15" s="35"/>
    </row>
    <row r="16" customFormat="false" ht="15" hidden="false" customHeight="false" outlineLevel="0" collapsed="false">
      <c r="A16" s="67"/>
      <c r="B16" s="36" t="str">
        <f aca="false">IF($A16="","",IF(ISERROR(FIND(".",$A16)),"",LOWER(MID($A16,FIND(CHAR(1),SUBSTITUTE($A16,".",CHAR(1),LEN($A16)-LEN(SUBSTITUTE($A16,".",""))))+1,LEN($A16)))))</f>
        <v/>
      </c>
      <c r="C16" s="25"/>
      <c r="D16" s="68"/>
      <c r="E16" s="27"/>
      <c r="F16" s="38" t="str">
        <f aca="false">IF($B16="","",IFERROR(INDEX(Rubric!$C$14:$C$23,MATCH(LOWER($B16),Rubric!$A$14:$A$23,0)),INDEX(Rubric!$C$14:$C$23,MATCH("other",Rubric!$A$14:$A$23,0))))</f>
        <v/>
      </c>
      <c r="G16" s="39" t="str">
        <f aca="true">IF(OR($A16="",$D16=""),"",YEARFRAC($D16,TODAY()))</f>
        <v/>
      </c>
      <c r="H16" s="69" t="str">
        <f aca="false">IF($G16="","",MAX(0,INT($G16)))</f>
        <v/>
      </c>
      <c r="I16" s="42" t="str">
        <f aca="false">IF(OR($F16="",$H16=""),"",$F16*$H16)</f>
        <v/>
      </c>
      <c r="J16" s="42" t="str">
        <f aca="false">IF(OR($A16="",$E16=""),"",$E16+IF($I16="",0,$I16))</f>
        <v/>
      </c>
      <c r="K16" s="42" t="str">
        <f aca="false">IF(OR($J16="",$J16=0),"",$J16/(1-Assumptions!$B$4))</f>
        <v/>
      </c>
      <c r="L16" s="42" t="str">
        <f aca="false">IF($K16="","",MAX($K16,$E16*Assumptions!$B$10))</f>
        <v/>
      </c>
      <c r="M16" s="27"/>
      <c r="N16" s="35"/>
    </row>
    <row r="17" customFormat="false" ht="15" hidden="false" customHeight="false" outlineLevel="0" collapsed="false">
      <c r="A17" s="67"/>
      <c r="B17" s="36" t="str">
        <f aca="false">IF($A17="","",IF(ISERROR(FIND(".",$A17)),"",LOWER(MID($A17,FIND(CHAR(1),SUBSTITUTE($A17,".",CHAR(1),LEN($A17)-LEN(SUBSTITUTE($A17,".",""))))+1,LEN($A17)))))</f>
        <v/>
      </c>
      <c r="C17" s="25"/>
      <c r="D17" s="68"/>
      <c r="E17" s="27"/>
      <c r="F17" s="38" t="str">
        <f aca="false">IF($B17="","",IFERROR(INDEX(Rubric!$C$14:$C$23,MATCH(LOWER($B17),Rubric!$A$14:$A$23,0)),INDEX(Rubric!$C$14:$C$23,MATCH("other",Rubric!$A$14:$A$23,0))))</f>
        <v/>
      </c>
      <c r="G17" s="39" t="str">
        <f aca="true">IF(OR($A17="",$D17=""),"",YEARFRAC($D17,TODAY()))</f>
        <v/>
      </c>
      <c r="H17" s="69" t="str">
        <f aca="false">IF($G17="","",MAX(0,INT($G17)))</f>
        <v/>
      </c>
      <c r="I17" s="42" t="str">
        <f aca="false">IF(OR($F17="",$H17=""),"",$F17*$H17)</f>
        <v/>
      </c>
      <c r="J17" s="42" t="str">
        <f aca="false">IF(OR($A17="",$E17=""),"",$E17+IF($I17="",0,$I17))</f>
        <v/>
      </c>
      <c r="K17" s="42" t="str">
        <f aca="false">IF(OR($J17="",$J17=0),"",$J17/(1-Assumptions!$B$4))</f>
        <v/>
      </c>
      <c r="L17" s="42" t="str">
        <f aca="false">IF($K17="","",MAX($K17,$E17*Assumptions!$B$10))</f>
        <v/>
      </c>
      <c r="M17" s="27"/>
      <c r="N17" s="35"/>
    </row>
    <row r="18" customFormat="false" ht="15" hidden="false" customHeight="false" outlineLevel="0" collapsed="false">
      <c r="A18" s="67"/>
      <c r="B18" s="36" t="str">
        <f aca="false">IF($A18="","",IF(ISERROR(FIND(".",$A18)),"",LOWER(MID($A18,FIND(CHAR(1),SUBSTITUTE($A18,".",CHAR(1),LEN($A18)-LEN(SUBSTITUTE($A18,".",""))))+1,LEN($A18)))))</f>
        <v/>
      </c>
      <c r="C18" s="25"/>
      <c r="D18" s="68"/>
      <c r="E18" s="27"/>
      <c r="F18" s="38" t="str">
        <f aca="false">IF($B18="","",IFERROR(INDEX(Rubric!$C$14:$C$23,MATCH(LOWER($B18),Rubric!$A$14:$A$23,0)),INDEX(Rubric!$C$14:$C$23,MATCH("other",Rubric!$A$14:$A$23,0))))</f>
        <v/>
      </c>
      <c r="G18" s="39" t="str">
        <f aca="true">IF(OR($A18="",$D18=""),"",YEARFRAC($D18,TODAY()))</f>
        <v/>
      </c>
      <c r="H18" s="69" t="str">
        <f aca="false">IF($G18="","",MAX(0,INT($G18)))</f>
        <v/>
      </c>
      <c r="I18" s="42" t="str">
        <f aca="false">IF(OR($F18="",$H18=""),"",$F18*$H18)</f>
        <v/>
      </c>
      <c r="J18" s="42" t="str">
        <f aca="false">IF(OR($A18="",$E18=""),"",$E18+IF($I18="",0,$I18))</f>
        <v/>
      </c>
      <c r="K18" s="42" t="str">
        <f aca="false">IF(OR($J18="",$J18=0),"",$J18/(1-Assumptions!$B$4))</f>
        <v/>
      </c>
      <c r="L18" s="42" t="str">
        <f aca="false">IF($K18="","",MAX($K18,$E18*Assumptions!$B$10))</f>
        <v/>
      </c>
      <c r="M18" s="27"/>
      <c r="N18" s="35"/>
    </row>
    <row r="19" customFormat="false" ht="15" hidden="false" customHeight="false" outlineLevel="0" collapsed="false">
      <c r="A19" s="67"/>
      <c r="B19" s="36" t="str">
        <f aca="false">IF($A19="","",IF(ISERROR(FIND(".",$A19)),"",LOWER(MID($A19,FIND(CHAR(1),SUBSTITUTE($A19,".",CHAR(1),LEN($A19)-LEN(SUBSTITUTE($A19,".",""))))+1,LEN($A19)))))</f>
        <v/>
      </c>
      <c r="C19" s="25"/>
      <c r="D19" s="68"/>
      <c r="E19" s="27"/>
      <c r="F19" s="38" t="str">
        <f aca="false">IF($B19="","",IFERROR(INDEX(Rubric!$C$14:$C$23,MATCH(LOWER($B19),Rubric!$A$14:$A$23,0)),INDEX(Rubric!$C$14:$C$23,MATCH("other",Rubric!$A$14:$A$23,0))))</f>
        <v/>
      </c>
      <c r="G19" s="39" t="str">
        <f aca="true">IF(OR($A19="",$D19=""),"",YEARFRAC($D19,TODAY()))</f>
        <v/>
      </c>
      <c r="H19" s="69" t="str">
        <f aca="false">IF($G19="","",MAX(0,INT($G19)))</f>
        <v/>
      </c>
      <c r="I19" s="42" t="str">
        <f aca="false">IF(OR($F19="",$H19=""),"",$F19*$H19)</f>
        <v/>
      </c>
      <c r="J19" s="42" t="str">
        <f aca="false">IF(OR($A19="",$E19=""),"",$E19+IF($I19="",0,$I19))</f>
        <v/>
      </c>
      <c r="K19" s="42" t="str">
        <f aca="false">IF(OR($J19="",$J19=0),"",$J19/(1-Assumptions!$B$4))</f>
        <v/>
      </c>
      <c r="L19" s="42" t="str">
        <f aca="false">IF($K19="","",MAX($K19,$E19*Assumptions!$B$10))</f>
        <v/>
      </c>
      <c r="M19" s="27"/>
      <c r="N19" s="35"/>
    </row>
    <row r="20" customFormat="false" ht="15" hidden="false" customHeight="false" outlineLevel="0" collapsed="false">
      <c r="A20" s="67"/>
      <c r="B20" s="36" t="str">
        <f aca="false">IF($A20="","",IF(ISERROR(FIND(".",$A20)),"",LOWER(MID($A20,FIND(CHAR(1),SUBSTITUTE($A20,".",CHAR(1),LEN($A20)-LEN(SUBSTITUTE($A20,".",""))))+1,LEN($A20)))))</f>
        <v/>
      </c>
      <c r="C20" s="25"/>
      <c r="D20" s="68"/>
      <c r="E20" s="27"/>
      <c r="F20" s="38" t="str">
        <f aca="false">IF($B20="","",IFERROR(INDEX(Rubric!$C$14:$C$23,MATCH(LOWER($B20),Rubric!$A$14:$A$23,0)),INDEX(Rubric!$C$14:$C$23,MATCH("other",Rubric!$A$14:$A$23,0))))</f>
        <v/>
      </c>
      <c r="G20" s="39" t="str">
        <f aca="true">IF(OR($A20="",$D20=""),"",YEARFRAC($D20,TODAY()))</f>
        <v/>
      </c>
      <c r="H20" s="69" t="str">
        <f aca="false">IF($G20="","",MAX(0,INT($G20)))</f>
        <v/>
      </c>
      <c r="I20" s="42" t="str">
        <f aca="false">IF(OR($F20="",$H20=""),"",$F20*$H20)</f>
        <v/>
      </c>
      <c r="J20" s="42" t="str">
        <f aca="false">IF(OR($A20="",$E20=""),"",$E20+IF($I20="",0,$I20))</f>
        <v/>
      </c>
      <c r="K20" s="42" t="str">
        <f aca="false">IF(OR($J20="",$J20=0),"",$J20/(1-Assumptions!$B$4))</f>
        <v/>
      </c>
      <c r="L20" s="42" t="str">
        <f aca="false">IF($K20="","",MAX($K20,$E20*Assumptions!$B$10))</f>
        <v/>
      </c>
      <c r="M20" s="27"/>
      <c r="N20" s="35"/>
    </row>
    <row r="21" customFormat="false" ht="15" hidden="false" customHeight="false" outlineLevel="0" collapsed="false">
      <c r="A21" s="67"/>
      <c r="B21" s="36" t="str">
        <f aca="false">IF($A21="","",IF(ISERROR(FIND(".",$A21)),"",LOWER(MID($A21,FIND(CHAR(1),SUBSTITUTE($A21,".",CHAR(1),LEN($A21)-LEN(SUBSTITUTE($A21,".",""))))+1,LEN($A21)))))</f>
        <v/>
      </c>
      <c r="C21" s="25"/>
      <c r="D21" s="68"/>
      <c r="E21" s="27"/>
      <c r="F21" s="38" t="str">
        <f aca="false">IF($B21="","",IFERROR(INDEX(Rubric!$C$14:$C$23,MATCH(LOWER($B21),Rubric!$A$14:$A$23,0)),INDEX(Rubric!$C$14:$C$23,MATCH("other",Rubric!$A$14:$A$23,0))))</f>
        <v/>
      </c>
      <c r="G21" s="39" t="str">
        <f aca="true">IF(OR($A21="",$D21=""),"",YEARFRAC($D21,TODAY()))</f>
        <v/>
      </c>
      <c r="H21" s="69" t="str">
        <f aca="false">IF($G21="","",MAX(0,INT($G21)))</f>
        <v/>
      </c>
      <c r="I21" s="42" t="str">
        <f aca="false">IF(OR($F21="",$H21=""),"",$F21*$H21)</f>
        <v/>
      </c>
      <c r="J21" s="42" t="str">
        <f aca="false">IF(OR($A21="",$E21=""),"",$E21+IF($I21="",0,$I21))</f>
        <v/>
      </c>
      <c r="K21" s="42" t="str">
        <f aca="false">IF(OR($J21="",$J21=0),"",$J21/(1-Assumptions!$B$4))</f>
        <v/>
      </c>
      <c r="L21" s="42" t="str">
        <f aca="false">IF($K21="","",MAX($K21,$E21*Assumptions!$B$10))</f>
        <v/>
      </c>
      <c r="M21" s="27"/>
      <c r="N21" s="35"/>
    </row>
    <row r="22" customFormat="false" ht="15" hidden="false" customHeight="false" outlineLevel="0" collapsed="false">
      <c r="A22" s="67"/>
      <c r="B22" s="36" t="str">
        <f aca="false">IF($A22="","",IF(ISERROR(FIND(".",$A22)),"",LOWER(MID($A22,FIND(CHAR(1),SUBSTITUTE($A22,".",CHAR(1),LEN($A22)-LEN(SUBSTITUTE($A22,".",""))))+1,LEN($A22)))))</f>
        <v/>
      </c>
      <c r="C22" s="25"/>
      <c r="D22" s="68"/>
      <c r="E22" s="27"/>
      <c r="F22" s="38" t="str">
        <f aca="false">IF($B22="","",IFERROR(INDEX(Rubric!$C$14:$C$23,MATCH(LOWER($B22),Rubric!$A$14:$A$23,0)),INDEX(Rubric!$C$14:$C$23,MATCH("other",Rubric!$A$14:$A$23,0))))</f>
        <v/>
      </c>
      <c r="G22" s="39" t="str">
        <f aca="true">IF(OR($A22="",$D22=""),"",YEARFRAC($D22,TODAY()))</f>
        <v/>
      </c>
      <c r="H22" s="69" t="str">
        <f aca="false">IF($G22="","",MAX(0,INT($G22)))</f>
        <v/>
      </c>
      <c r="I22" s="42" t="str">
        <f aca="false">IF(OR($F22="",$H22=""),"",$F22*$H22)</f>
        <v/>
      </c>
      <c r="J22" s="42" t="str">
        <f aca="false">IF(OR($A22="",$E22=""),"",$E22+IF($I22="",0,$I22))</f>
        <v/>
      </c>
      <c r="K22" s="42" t="str">
        <f aca="false">IF(OR($J22="",$J22=0),"",$J22/(1-Assumptions!$B$4))</f>
        <v/>
      </c>
      <c r="L22" s="42" t="str">
        <f aca="false">IF($K22="","",MAX($K22,$E22*Assumptions!$B$10))</f>
        <v/>
      </c>
      <c r="M22" s="27"/>
      <c r="N22" s="35"/>
    </row>
    <row r="23" customFormat="false" ht="15" hidden="false" customHeight="false" outlineLevel="0" collapsed="false">
      <c r="A23" s="67"/>
      <c r="B23" s="36" t="str">
        <f aca="false">IF($A23="","",IF(ISERROR(FIND(".",$A23)),"",LOWER(MID($A23,FIND(CHAR(1),SUBSTITUTE($A23,".",CHAR(1),LEN($A23)-LEN(SUBSTITUTE($A23,".",""))))+1,LEN($A23)))))</f>
        <v/>
      </c>
      <c r="C23" s="25"/>
      <c r="D23" s="68"/>
      <c r="E23" s="27"/>
      <c r="F23" s="38" t="str">
        <f aca="false">IF($B23="","",IFERROR(INDEX(Rubric!$C$14:$C$23,MATCH(LOWER($B23),Rubric!$A$14:$A$23,0)),INDEX(Rubric!$C$14:$C$23,MATCH("other",Rubric!$A$14:$A$23,0))))</f>
        <v/>
      </c>
      <c r="G23" s="39" t="str">
        <f aca="true">IF(OR($A23="",$D23=""),"",YEARFRAC($D23,TODAY()))</f>
        <v/>
      </c>
      <c r="H23" s="69" t="str">
        <f aca="false">IF($G23="","",MAX(0,INT($G23)))</f>
        <v/>
      </c>
      <c r="I23" s="42" t="str">
        <f aca="false">IF(OR($F23="",$H23=""),"",$F23*$H23)</f>
        <v/>
      </c>
      <c r="J23" s="42" t="str">
        <f aca="false">IF(OR($A23="",$E23=""),"",$E23+IF($I23="",0,$I23))</f>
        <v/>
      </c>
      <c r="K23" s="42" t="str">
        <f aca="false">IF(OR($J23="",$J23=0),"",$J23/(1-Assumptions!$B$4))</f>
        <v/>
      </c>
      <c r="L23" s="42" t="str">
        <f aca="false">IF($K23="","",MAX($K23,$E23*Assumptions!$B$10))</f>
        <v/>
      </c>
      <c r="M23" s="27"/>
      <c r="N23" s="35"/>
    </row>
    <row r="24" customFormat="false" ht="15" hidden="false" customHeight="false" outlineLevel="0" collapsed="false">
      <c r="A24" s="67"/>
      <c r="B24" s="36" t="str">
        <f aca="false">IF($A24="","",IF(ISERROR(FIND(".",$A24)),"",LOWER(MID($A24,FIND(CHAR(1),SUBSTITUTE($A24,".",CHAR(1),LEN($A24)-LEN(SUBSTITUTE($A24,".",""))))+1,LEN($A24)))))</f>
        <v/>
      </c>
      <c r="C24" s="25"/>
      <c r="D24" s="68"/>
      <c r="E24" s="27"/>
      <c r="F24" s="38" t="str">
        <f aca="false">IF($B24="","",IFERROR(INDEX(Rubric!$C$14:$C$23,MATCH(LOWER($B24),Rubric!$A$14:$A$23,0)),INDEX(Rubric!$C$14:$C$23,MATCH("other",Rubric!$A$14:$A$23,0))))</f>
        <v/>
      </c>
      <c r="G24" s="39" t="str">
        <f aca="true">IF(OR($A24="",$D24=""),"",YEARFRAC($D24,TODAY()))</f>
        <v/>
      </c>
      <c r="H24" s="69" t="str">
        <f aca="false">IF($G24="","",MAX(0,INT($G24)))</f>
        <v/>
      </c>
      <c r="I24" s="42" t="str">
        <f aca="false">IF(OR($F24="",$H24=""),"",$F24*$H24)</f>
        <v/>
      </c>
      <c r="J24" s="42" t="str">
        <f aca="false">IF(OR($A24="",$E24=""),"",$E24+IF($I24="",0,$I24))</f>
        <v/>
      </c>
      <c r="K24" s="42" t="str">
        <f aca="false">IF(OR($J24="",$J24=0),"",$J24/(1-Assumptions!$B$4))</f>
        <v/>
      </c>
      <c r="L24" s="42" t="str">
        <f aca="false">IF($K24="","",MAX($K24,$E24*Assumptions!$B$10))</f>
        <v/>
      </c>
      <c r="M24" s="27"/>
      <c r="N24" s="35"/>
    </row>
    <row r="25" customFormat="false" ht="15" hidden="false" customHeight="false" outlineLevel="0" collapsed="false">
      <c r="A25" s="67"/>
      <c r="B25" s="36" t="str">
        <f aca="false">IF($A25="","",IF(ISERROR(FIND(".",$A25)),"",LOWER(MID($A25,FIND(CHAR(1),SUBSTITUTE($A25,".",CHAR(1),LEN($A25)-LEN(SUBSTITUTE($A25,".",""))))+1,LEN($A25)))))</f>
        <v/>
      </c>
      <c r="C25" s="25"/>
      <c r="D25" s="68"/>
      <c r="E25" s="27"/>
      <c r="F25" s="38" t="str">
        <f aca="false">IF($B25="","",IFERROR(INDEX(Rubric!$C$14:$C$23,MATCH(LOWER($B25),Rubric!$A$14:$A$23,0)),INDEX(Rubric!$C$14:$C$23,MATCH("other",Rubric!$A$14:$A$23,0))))</f>
        <v/>
      </c>
      <c r="G25" s="39" t="str">
        <f aca="true">IF(OR($A25="",$D25=""),"",YEARFRAC($D25,TODAY()))</f>
        <v/>
      </c>
      <c r="H25" s="69" t="str">
        <f aca="false">IF($G25="","",MAX(0,INT($G25)))</f>
        <v/>
      </c>
      <c r="I25" s="42" t="str">
        <f aca="false">IF(OR($F25="",$H25=""),"",$F25*$H25)</f>
        <v/>
      </c>
      <c r="J25" s="42" t="str">
        <f aca="false">IF(OR($A25="",$E25=""),"",$E25+IF($I25="",0,$I25))</f>
        <v/>
      </c>
      <c r="K25" s="42" t="str">
        <f aca="false">IF(OR($J25="",$J25=0),"",$J25/(1-Assumptions!$B$4))</f>
        <v/>
      </c>
      <c r="L25" s="42" t="str">
        <f aca="false">IF($K25="","",MAX($K25,$E25*Assumptions!$B$10))</f>
        <v/>
      </c>
      <c r="M25" s="27"/>
      <c r="N25" s="35"/>
    </row>
    <row r="26" customFormat="false" ht="15" hidden="false" customHeight="false" outlineLevel="0" collapsed="false">
      <c r="A26" s="67"/>
      <c r="B26" s="36" t="str">
        <f aca="false">IF($A26="","",IF(ISERROR(FIND(".",$A26)),"",LOWER(MID($A26,FIND(CHAR(1),SUBSTITUTE($A26,".",CHAR(1),LEN($A26)-LEN(SUBSTITUTE($A26,".",""))))+1,LEN($A26)))))</f>
        <v/>
      </c>
      <c r="C26" s="25"/>
      <c r="D26" s="68"/>
      <c r="E26" s="27"/>
      <c r="F26" s="38" t="str">
        <f aca="false">IF($B26="","",IFERROR(INDEX(Rubric!$C$14:$C$23,MATCH(LOWER($B26),Rubric!$A$14:$A$23,0)),INDEX(Rubric!$C$14:$C$23,MATCH("other",Rubric!$A$14:$A$23,0))))</f>
        <v/>
      </c>
      <c r="G26" s="39" t="str">
        <f aca="true">IF(OR($A26="",$D26=""),"",YEARFRAC($D26,TODAY()))</f>
        <v/>
      </c>
      <c r="H26" s="69" t="str">
        <f aca="false">IF($G26="","",MAX(0,INT($G26)))</f>
        <v/>
      </c>
      <c r="I26" s="42" t="str">
        <f aca="false">IF(OR($F26="",$H26=""),"",$F26*$H26)</f>
        <v/>
      </c>
      <c r="J26" s="42" t="str">
        <f aca="false">IF(OR($A26="",$E26=""),"",$E26+IF($I26="",0,$I26))</f>
        <v/>
      </c>
      <c r="K26" s="42" t="str">
        <f aca="false">IF(OR($J26="",$J26=0),"",$J26/(1-Assumptions!$B$4))</f>
        <v/>
      </c>
      <c r="L26" s="42" t="str">
        <f aca="false">IF($K26="","",MAX($K26,$E26*Assumptions!$B$10))</f>
        <v/>
      </c>
      <c r="M26" s="27"/>
      <c r="N26" s="35"/>
    </row>
    <row r="27" customFormat="false" ht="15" hidden="false" customHeight="false" outlineLevel="0" collapsed="false">
      <c r="A27" s="67"/>
      <c r="B27" s="36" t="str">
        <f aca="false">IF($A27="","",IF(ISERROR(FIND(".",$A27)),"",LOWER(MID($A27,FIND(CHAR(1),SUBSTITUTE($A27,".",CHAR(1),LEN($A27)-LEN(SUBSTITUTE($A27,".",""))))+1,LEN($A27)))))</f>
        <v/>
      </c>
      <c r="C27" s="25"/>
      <c r="D27" s="68"/>
      <c r="E27" s="27"/>
      <c r="F27" s="38" t="str">
        <f aca="false">IF($B27="","",IFERROR(INDEX(Rubric!$C$14:$C$23,MATCH(LOWER($B27),Rubric!$A$14:$A$23,0)),INDEX(Rubric!$C$14:$C$23,MATCH("other",Rubric!$A$14:$A$23,0))))</f>
        <v/>
      </c>
      <c r="G27" s="39" t="str">
        <f aca="true">IF(OR($A27="",$D27=""),"",YEARFRAC($D27,TODAY()))</f>
        <v/>
      </c>
      <c r="H27" s="69" t="str">
        <f aca="false">IF($G27="","",MAX(0,INT($G27)))</f>
        <v/>
      </c>
      <c r="I27" s="42" t="str">
        <f aca="false">IF(OR($F27="",$H27=""),"",$F27*$H27)</f>
        <v/>
      </c>
      <c r="J27" s="42" t="str">
        <f aca="false">IF(OR($A27="",$E27=""),"",$E27+IF($I27="",0,$I27))</f>
        <v/>
      </c>
      <c r="K27" s="42" t="str">
        <f aca="false">IF(OR($J27="",$J27=0),"",$J27/(1-Assumptions!$B$4))</f>
        <v/>
      </c>
      <c r="L27" s="42" t="str">
        <f aca="false">IF($K27="","",MAX($K27,$E27*Assumptions!$B$10))</f>
        <v/>
      </c>
      <c r="M27" s="27"/>
      <c r="N27" s="35"/>
    </row>
    <row r="28" customFormat="false" ht="15" hidden="false" customHeight="false" outlineLevel="0" collapsed="false">
      <c r="A28" s="67"/>
      <c r="B28" s="36" t="str">
        <f aca="false">IF($A28="","",IF(ISERROR(FIND(".",$A28)),"",LOWER(MID($A28,FIND(CHAR(1),SUBSTITUTE($A28,".",CHAR(1),LEN($A28)-LEN(SUBSTITUTE($A28,".",""))))+1,LEN($A28)))))</f>
        <v/>
      </c>
      <c r="C28" s="25"/>
      <c r="D28" s="68"/>
      <c r="E28" s="27"/>
      <c r="F28" s="38" t="str">
        <f aca="false">IF($B28="","",IFERROR(INDEX(Rubric!$C$14:$C$23,MATCH(LOWER($B28),Rubric!$A$14:$A$23,0)),INDEX(Rubric!$C$14:$C$23,MATCH("other",Rubric!$A$14:$A$23,0))))</f>
        <v/>
      </c>
      <c r="G28" s="39" t="str">
        <f aca="true">IF(OR($A28="",$D28=""),"",YEARFRAC($D28,TODAY()))</f>
        <v/>
      </c>
      <c r="H28" s="69" t="str">
        <f aca="false">IF($G28="","",MAX(0,INT($G28)))</f>
        <v/>
      </c>
      <c r="I28" s="42" t="str">
        <f aca="false">IF(OR($F28="",$H28=""),"",$F28*$H28)</f>
        <v/>
      </c>
      <c r="J28" s="42" t="str">
        <f aca="false">IF(OR($A28="",$E28=""),"",$E28+IF($I28="",0,$I28))</f>
        <v/>
      </c>
      <c r="K28" s="42" t="str">
        <f aca="false">IF(OR($J28="",$J28=0),"",$J28/(1-Assumptions!$B$4))</f>
        <v/>
      </c>
      <c r="L28" s="42" t="str">
        <f aca="false">IF($K28="","",MAX($K28,$E28*Assumptions!$B$10))</f>
        <v/>
      </c>
      <c r="M28" s="27"/>
      <c r="N28" s="35"/>
    </row>
    <row r="29" customFormat="false" ht="15" hidden="false" customHeight="false" outlineLevel="0" collapsed="false">
      <c r="A29" s="67"/>
      <c r="B29" s="36" t="str">
        <f aca="false">IF($A29="","",IF(ISERROR(FIND(".",$A29)),"",LOWER(MID($A29,FIND(CHAR(1),SUBSTITUTE($A29,".",CHAR(1),LEN($A29)-LEN(SUBSTITUTE($A29,".",""))))+1,LEN($A29)))))</f>
        <v/>
      </c>
      <c r="C29" s="25"/>
      <c r="D29" s="68"/>
      <c r="E29" s="27"/>
      <c r="F29" s="38" t="str">
        <f aca="false">IF($B29="","",IFERROR(INDEX(Rubric!$C$14:$C$23,MATCH(LOWER($B29),Rubric!$A$14:$A$23,0)),INDEX(Rubric!$C$14:$C$23,MATCH("other",Rubric!$A$14:$A$23,0))))</f>
        <v/>
      </c>
      <c r="G29" s="39" t="str">
        <f aca="true">IF(OR($A29="",$D29=""),"",YEARFRAC($D29,TODAY()))</f>
        <v/>
      </c>
      <c r="H29" s="69" t="str">
        <f aca="false">IF($G29="","",MAX(0,INT($G29)))</f>
        <v/>
      </c>
      <c r="I29" s="42" t="str">
        <f aca="false">IF(OR($F29="",$H29=""),"",$F29*$H29)</f>
        <v/>
      </c>
      <c r="J29" s="42" t="str">
        <f aca="false">IF(OR($A29="",$E29=""),"",$E29+IF($I29="",0,$I29))</f>
        <v/>
      </c>
      <c r="K29" s="42" t="str">
        <f aca="false">IF(OR($J29="",$J29=0),"",$J29/(1-Assumptions!$B$4))</f>
        <v/>
      </c>
      <c r="L29" s="42" t="str">
        <f aca="false">IF($K29="","",MAX($K29,$E29*Assumptions!$B$10))</f>
        <v/>
      </c>
      <c r="M29" s="27"/>
      <c r="N29" s="35"/>
    </row>
    <row r="30" customFormat="false" ht="15" hidden="false" customHeight="false" outlineLevel="0" collapsed="false">
      <c r="A30" s="67"/>
      <c r="B30" s="36" t="str">
        <f aca="false">IF($A30="","",IF(ISERROR(FIND(".",$A30)),"",LOWER(MID($A30,FIND(CHAR(1),SUBSTITUTE($A30,".",CHAR(1),LEN($A30)-LEN(SUBSTITUTE($A30,".",""))))+1,LEN($A30)))))</f>
        <v/>
      </c>
      <c r="C30" s="25"/>
      <c r="D30" s="68"/>
      <c r="E30" s="27"/>
      <c r="F30" s="38" t="str">
        <f aca="false">IF($B30="","",IFERROR(INDEX(Rubric!$C$14:$C$23,MATCH(LOWER($B30),Rubric!$A$14:$A$23,0)),INDEX(Rubric!$C$14:$C$23,MATCH("other",Rubric!$A$14:$A$23,0))))</f>
        <v/>
      </c>
      <c r="G30" s="39" t="str">
        <f aca="true">IF(OR($A30="",$D30=""),"",YEARFRAC($D30,TODAY()))</f>
        <v/>
      </c>
      <c r="H30" s="69" t="str">
        <f aca="false">IF($G30="","",MAX(0,INT($G30)))</f>
        <v/>
      </c>
      <c r="I30" s="42" t="str">
        <f aca="false">IF(OR($F30="",$H30=""),"",$F30*$H30)</f>
        <v/>
      </c>
      <c r="J30" s="42" t="str">
        <f aca="false">IF(OR($A30="",$E30=""),"",$E30+IF($I30="",0,$I30))</f>
        <v/>
      </c>
      <c r="K30" s="42" t="str">
        <f aca="false">IF(OR($J30="",$J30=0),"",$J30/(1-Assumptions!$B$4))</f>
        <v/>
      </c>
      <c r="L30" s="42" t="str">
        <f aca="false">IF($K30="","",MAX($K30,$E30*Assumptions!$B$10))</f>
        <v/>
      </c>
      <c r="M30" s="27"/>
      <c r="N30" s="35"/>
    </row>
    <row r="31" customFormat="false" ht="15" hidden="false" customHeight="false" outlineLevel="0" collapsed="false">
      <c r="A31" s="67"/>
      <c r="B31" s="36" t="str">
        <f aca="false">IF($A31="","",IF(ISERROR(FIND(".",$A31)),"",LOWER(MID($A31,FIND(CHAR(1),SUBSTITUTE($A31,".",CHAR(1),LEN($A31)-LEN(SUBSTITUTE($A31,".",""))))+1,LEN($A31)))))</f>
        <v/>
      </c>
      <c r="C31" s="25"/>
      <c r="D31" s="68"/>
      <c r="E31" s="27"/>
      <c r="F31" s="38" t="str">
        <f aca="false">IF($B31="","",IFERROR(INDEX(Rubric!$C$14:$C$23,MATCH(LOWER($B31),Rubric!$A$14:$A$23,0)),INDEX(Rubric!$C$14:$C$23,MATCH("other",Rubric!$A$14:$A$23,0))))</f>
        <v/>
      </c>
      <c r="G31" s="39" t="str">
        <f aca="true">IF(OR($A31="",$D31=""),"",YEARFRAC($D31,TODAY()))</f>
        <v/>
      </c>
      <c r="H31" s="69" t="str">
        <f aca="false">IF($G31="","",MAX(0,INT($G31)))</f>
        <v/>
      </c>
      <c r="I31" s="42" t="str">
        <f aca="false">IF(OR($F31="",$H31=""),"",$F31*$H31)</f>
        <v/>
      </c>
      <c r="J31" s="42" t="str">
        <f aca="false">IF(OR($A31="",$E31=""),"",$E31+IF($I31="",0,$I31))</f>
        <v/>
      </c>
      <c r="K31" s="42" t="str">
        <f aca="false">IF(OR($J31="",$J31=0),"",$J31/(1-Assumptions!$B$4))</f>
        <v/>
      </c>
      <c r="L31" s="42" t="str">
        <f aca="false">IF($K31="","",MAX($K31,$E31*Assumptions!$B$10))</f>
        <v/>
      </c>
      <c r="M31" s="27"/>
      <c r="N31" s="35"/>
    </row>
    <row r="32" customFormat="false" ht="15" hidden="false" customHeight="false" outlineLevel="0" collapsed="false">
      <c r="A32" s="67"/>
      <c r="B32" s="36" t="str">
        <f aca="false">IF($A32="","",IF(ISERROR(FIND(".",$A32)),"",LOWER(MID($A32,FIND(CHAR(1),SUBSTITUTE($A32,".",CHAR(1),LEN($A32)-LEN(SUBSTITUTE($A32,".",""))))+1,LEN($A32)))))</f>
        <v/>
      </c>
      <c r="C32" s="25"/>
      <c r="D32" s="68"/>
      <c r="E32" s="27"/>
      <c r="F32" s="38" t="str">
        <f aca="false">IF($B32="","",IFERROR(INDEX(Rubric!$C$14:$C$23,MATCH(LOWER($B32),Rubric!$A$14:$A$23,0)),INDEX(Rubric!$C$14:$C$23,MATCH("other",Rubric!$A$14:$A$23,0))))</f>
        <v/>
      </c>
      <c r="G32" s="39" t="str">
        <f aca="true">IF(OR($A32="",$D32=""),"",YEARFRAC($D32,TODAY()))</f>
        <v/>
      </c>
      <c r="H32" s="69" t="str">
        <f aca="false">IF($G32="","",MAX(0,INT($G32)))</f>
        <v/>
      </c>
      <c r="I32" s="42" t="str">
        <f aca="false">IF(OR($F32="",$H32=""),"",$F32*$H32)</f>
        <v/>
      </c>
      <c r="J32" s="42" t="str">
        <f aca="false">IF(OR($A32="",$E32=""),"",$E32+IF($I32="",0,$I32))</f>
        <v/>
      </c>
      <c r="K32" s="42" t="str">
        <f aca="false">IF(OR($J32="",$J32=0),"",$J32/(1-Assumptions!$B$4))</f>
        <v/>
      </c>
      <c r="L32" s="42" t="str">
        <f aca="false">IF($K32="","",MAX($K32,$E32*Assumptions!$B$10))</f>
        <v/>
      </c>
      <c r="M32" s="27"/>
      <c r="N32" s="35"/>
    </row>
    <row r="33" customFormat="false" ht="15" hidden="false" customHeight="false" outlineLevel="0" collapsed="false">
      <c r="A33" s="67"/>
      <c r="B33" s="36" t="str">
        <f aca="false">IF($A33="","",IF(ISERROR(FIND(".",$A33)),"",LOWER(MID($A33,FIND(CHAR(1),SUBSTITUTE($A33,".",CHAR(1),LEN($A33)-LEN(SUBSTITUTE($A33,".",""))))+1,LEN($A33)))))</f>
        <v/>
      </c>
      <c r="C33" s="25"/>
      <c r="D33" s="68"/>
      <c r="E33" s="27"/>
      <c r="F33" s="38" t="str">
        <f aca="false">IF($B33="","",IFERROR(INDEX(Rubric!$C$14:$C$23,MATCH(LOWER($B33),Rubric!$A$14:$A$23,0)),INDEX(Rubric!$C$14:$C$23,MATCH("other",Rubric!$A$14:$A$23,0))))</f>
        <v/>
      </c>
      <c r="G33" s="39" t="str">
        <f aca="true">IF(OR($A33="",$D33=""),"",YEARFRAC($D33,TODAY()))</f>
        <v/>
      </c>
      <c r="H33" s="69" t="str">
        <f aca="false">IF($G33="","",MAX(0,INT($G33)))</f>
        <v/>
      </c>
      <c r="I33" s="42" t="str">
        <f aca="false">IF(OR($F33="",$H33=""),"",$F33*$H33)</f>
        <v/>
      </c>
      <c r="J33" s="42" t="str">
        <f aca="false">IF(OR($A33="",$E33=""),"",$E33+IF($I33="",0,$I33))</f>
        <v/>
      </c>
      <c r="K33" s="42" t="str">
        <f aca="false">IF(OR($J33="",$J33=0),"",$J33/(1-Assumptions!$B$4))</f>
        <v/>
      </c>
      <c r="L33" s="42" t="str">
        <f aca="false">IF($K33="","",MAX($K33,$E33*Assumptions!$B$10))</f>
        <v/>
      </c>
      <c r="M33" s="27"/>
      <c r="N33" s="35"/>
    </row>
    <row r="34" customFormat="false" ht="15" hidden="false" customHeight="false" outlineLevel="0" collapsed="false">
      <c r="A34" s="67"/>
      <c r="B34" s="36" t="str">
        <f aca="false">IF($A34="","",IF(ISERROR(FIND(".",$A34)),"",LOWER(MID($A34,FIND(CHAR(1),SUBSTITUTE($A34,".",CHAR(1),LEN($A34)-LEN(SUBSTITUTE($A34,".",""))))+1,LEN($A34)))))</f>
        <v/>
      </c>
      <c r="C34" s="25"/>
      <c r="D34" s="68"/>
      <c r="E34" s="27"/>
      <c r="F34" s="38" t="str">
        <f aca="false">IF($B34="","",IFERROR(INDEX(Rubric!$C$14:$C$23,MATCH(LOWER($B34),Rubric!$A$14:$A$23,0)),INDEX(Rubric!$C$14:$C$23,MATCH("other",Rubric!$A$14:$A$23,0))))</f>
        <v/>
      </c>
      <c r="G34" s="39" t="str">
        <f aca="true">IF(OR($A34="",$D34=""),"",YEARFRAC($D34,TODAY()))</f>
        <v/>
      </c>
      <c r="H34" s="69" t="str">
        <f aca="false">IF($G34="","",MAX(0,INT($G34)))</f>
        <v/>
      </c>
      <c r="I34" s="42" t="str">
        <f aca="false">IF(OR($F34="",$H34=""),"",$F34*$H34)</f>
        <v/>
      </c>
      <c r="J34" s="42" t="str">
        <f aca="false">IF(OR($A34="",$E34=""),"",$E34+IF($I34="",0,$I34))</f>
        <v/>
      </c>
      <c r="K34" s="42" t="str">
        <f aca="false">IF(OR($J34="",$J34=0),"",$J34/(1-Assumptions!$B$4))</f>
        <v/>
      </c>
      <c r="L34" s="42" t="str">
        <f aca="false">IF($K34="","",MAX($K34,$E34*Assumptions!$B$10))</f>
        <v/>
      </c>
      <c r="M34" s="27"/>
      <c r="N34" s="35"/>
    </row>
    <row r="35" customFormat="false" ht="15" hidden="false" customHeight="false" outlineLevel="0" collapsed="false">
      <c r="A35" s="67"/>
      <c r="B35" s="36" t="str">
        <f aca="false">IF($A35="","",IF(ISERROR(FIND(".",$A35)),"",LOWER(MID($A35,FIND(CHAR(1),SUBSTITUTE($A35,".",CHAR(1),LEN($A35)-LEN(SUBSTITUTE($A35,".",""))))+1,LEN($A35)))))</f>
        <v/>
      </c>
      <c r="C35" s="25"/>
      <c r="D35" s="68"/>
      <c r="E35" s="27"/>
      <c r="F35" s="38" t="str">
        <f aca="false">IF($B35="","",IFERROR(INDEX(Rubric!$C$14:$C$23,MATCH(LOWER($B35),Rubric!$A$14:$A$23,0)),INDEX(Rubric!$C$14:$C$23,MATCH("other",Rubric!$A$14:$A$23,0))))</f>
        <v/>
      </c>
      <c r="G35" s="39" t="str">
        <f aca="true">IF(OR($A35="",$D35=""),"",YEARFRAC($D35,TODAY()))</f>
        <v/>
      </c>
      <c r="H35" s="69" t="str">
        <f aca="false">IF($G35="","",MAX(0,INT($G35)))</f>
        <v/>
      </c>
      <c r="I35" s="42" t="str">
        <f aca="false">IF(OR($F35="",$H35=""),"",$F35*$H35)</f>
        <v/>
      </c>
      <c r="J35" s="42" t="str">
        <f aca="false">IF(OR($A35="",$E35=""),"",$E35+IF($I35="",0,$I35))</f>
        <v/>
      </c>
      <c r="K35" s="42" t="str">
        <f aca="false">IF(OR($J35="",$J35=0),"",$J35/(1-Assumptions!$B$4))</f>
        <v/>
      </c>
      <c r="L35" s="42" t="str">
        <f aca="false">IF($K35="","",MAX($K35,$E35*Assumptions!$B$10))</f>
        <v/>
      </c>
      <c r="M35" s="27"/>
      <c r="N35" s="35"/>
    </row>
    <row r="36" customFormat="false" ht="15" hidden="false" customHeight="false" outlineLevel="0" collapsed="false">
      <c r="A36" s="67"/>
      <c r="B36" s="36" t="str">
        <f aca="false">IF($A36="","",IF(ISERROR(FIND(".",$A36)),"",LOWER(MID($A36,FIND(CHAR(1),SUBSTITUTE($A36,".",CHAR(1),LEN($A36)-LEN(SUBSTITUTE($A36,".",""))))+1,LEN($A36)))))</f>
        <v/>
      </c>
      <c r="C36" s="25"/>
      <c r="D36" s="68"/>
      <c r="E36" s="27"/>
      <c r="F36" s="38" t="str">
        <f aca="false">IF($B36="","",IFERROR(INDEX(Rubric!$C$14:$C$23,MATCH(LOWER($B36),Rubric!$A$14:$A$23,0)),INDEX(Rubric!$C$14:$C$23,MATCH("other",Rubric!$A$14:$A$23,0))))</f>
        <v/>
      </c>
      <c r="G36" s="39" t="str">
        <f aca="true">IF(OR($A36="",$D36=""),"",YEARFRAC($D36,TODAY()))</f>
        <v/>
      </c>
      <c r="H36" s="69" t="str">
        <f aca="false">IF($G36="","",MAX(0,INT($G36)))</f>
        <v/>
      </c>
      <c r="I36" s="42" t="str">
        <f aca="false">IF(OR($F36="",$H36=""),"",$F36*$H36)</f>
        <v/>
      </c>
      <c r="J36" s="42" t="str">
        <f aca="false">IF(OR($A36="",$E36=""),"",$E36+IF($I36="",0,$I36))</f>
        <v/>
      </c>
      <c r="K36" s="42" t="str">
        <f aca="false">IF(OR($J36="",$J36=0),"",$J36/(1-Assumptions!$B$4))</f>
        <v/>
      </c>
      <c r="L36" s="42" t="str">
        <f aca="false">IF($K36="","",MAX($K36,$E36*Assumptions!$B$10))</f>
        <v/>
      </c>
      <c r="M36" s="27"/>
      <c r="N36" s="35"/>
    </row>
    <row r="37" customFormat="false" ht="15" hidden="false" customHeight="false" outlineLevel="0" collapsed="false">
      <c r="A37" s="67"/>
      <c r="B37" s="36" t="str">
        <f aca="false">IF($A37="","",IF(ISERROR(FIND(".",$A37)),"",LOWER(MID($A37,FIND(CHAR(1),SUBSTITUTE($A37,".",CHAR(1),LEN($A37)-LEN(SUBSTITUTE($A37,".",""))))+1,LEN($A37)))))</f>
        <v/>
      </c>
      <c r="C37" s="25"/>
      <c r="D37" s="68"/>
      <c r="E37" s="27"/>
      <c r="F37" s="38" t="str">
        <f aca="false">IF($B37="","",IFERROR(INDEX(Rubric!$C$14:$C$23,MATCH(LOWER($B37),Rubric!$A$14:$A$23,0)),INDEX(Rubric!$C$14:$C$23,MATCH("other",Rubric!$A$14:$A$23,0))))</f>
        <v/>
      </c>
      <c r="G37" s="39" t="str">
        <f aca="true">IF(OR($A37="",$D37=""),"",YEARFRAC($D37,TODAY()))</f>
        <v/>
      </c>
      <c r="H37" s="69" t="str">
        <f aca="false">IF($G37="","",MAX(0,INT($G37)))</f>
        <v/>
      </c>
      <c r="I37" s="42" t="str">
        <f aca="false">IF(OR($F37="",$H37=""),"",$F37*$H37)</f>
        <v/>
      </c>
      <c r="J37" s="42" t="str">
        <f aca="false">IF(OR($A37="",$E37=""),"",$E37+IF($I37="",0,$I37))</f>
        <v/>
      </c>
      <c r="K37" s="42" t="str">
        <f aca="false">IF(OR($J37="",$J37=0),"",$J37/(1-Assumptions!$B$4))</f>
        <v/>
      </c>
      <c r="L37" s="42" t="str">
        <f aca="false">IF($K37="","",MAX($K37,$E37*Assumptions!$B$10))</f>
        <v/>
      </c>
      <c r="M37" s="27"/>
      <c r="N37" s="35"/>
    </row>
    <row r="38" customFormat="false" ht="15" hidden="false" customHeight="false" outlineLevel="0" collapsed="false">
      <c r="A38" s="67"/>
      <c r="B38" s="36" t="str">
        <f aca="false">IF($A38="","",IF(ISERROR(FIND(".",$A38)),"",LOWER(MID($A38,FIND(CHAR(1),SUBSTITUTE($A38,".",CHAR(1),LEN($A38)-LEN(SUBSTITUTE($A38,".",""))))+1,LEN($A38)))))</f>
        <v/>
      </c>
      <c r="C38" s="25"/>
      <c r="D38" s="68"/>
      <c r="E38" s="27"/>
      <c r="F38" s="38" t="str">
        <f aca="false">IF($B38="","",IFERROR(INDEX(Rubric!$C$14:$C$23,MATCH(LOWER($B38),Rubric!$A$14:$A$23,0)),INDEX(Rubric!$C$14:$C$23,MATCH("other",Rubric!$A$14:$A$23,0))))</f>
        <v/>
      </c>
      <c r="G38" s="39" t="str">
        <f aca="true">IF(OR($A38="",$D38=""),"",YEARFRAC($D38,TODAY()))</f>
        <v/>
      </c>
      <c r="H38" s="69" t="str">
        <f aca="false">IF($G38="","",MAX(0,INT($G38)))</f>
        <v/>
      </c>
      <c r="I38" s="42" t="str">
        <f aca="false">IF(OR($F38="",$H38=""),"",$F38*$H38)</f>
        <v/>
      </c>
      <c r="J38" s="42" t="str">
        <f aca="false">IF(OR($A38="",$E38=""),"",$E38+IF($I38="",0,$I38))</f>
        <v/>
      </c>
      <c r="K38" s="42" t="str">
        <f aca="false">IF(OR($J38="",$J38=0),"",$J38/(1-Assumptions!$B$4))</f>
        <v/>
      </c>
      <c r="L38" s="42" t="str">
        <f aca="false">IF($K38="","",MAX($K38,$E38*Assumptions!$B$10))</f>
        <v/>
      </c>
      <c r="M38" s="27"/>
      <c r="N38" s="35"/>
    </row>
    <row r="39" customFormat="false" ht="15" hidden="false" customHeight="false" outlineLevel="0" collapsed="false">
      <c r="A39" s="67"/>
      <c r="B39" s="36" t="str">
        <f aca="false">IF($A39="","",IF(ISERROR(FIND(".",$A39)),"",LOWER(MID($A39,FIND(CHAR(1),SUBSTITUTE($A39,".",CHAR(1),LEN($A39)-LEN(SUBSTITUTE($A39,".",""))))+1,LEN($A39)))))</f>
        <v/>
      </c>
      <c r="C39" s="25"/>
      <c r="D39" s="68"/>
      <c r="E39" s="27"/>
      <c r="F39" s="38" t="str">
        <f aca="false">IF($B39="","",IFERROR(INDEX(Rubric!$C$14:$C$23,MATCH(LOWER($B39),Rubric!$A$14:$A$23,0)),INDEX(Rubric!$C$14:$C$23,MATCH("other",Rubric!$A$14:$A$23,0))))</f>
        <v/>
      </c>
      <c r="G39" s="39" t="str">
        <f aca="true">IF(OR($A39="",$D39=""),"",YEARFRAC($D39,TODAY()))</f>
        <v/>
      </c>
      <c r="H39" s="69" t="str">
        <f aca="false">IF($G39="","",MAX(0,INT($G39)))</f>
        <v/>
      </c>
      <c r="I39" s="42" t="str">
        <f aca="false">IF(OR($F39="",$H39=""),"",$F39*$H39)</f>
        <v/>
      </c>
      <c r="J39" s="42" t="str">
        <f aca="false">IF(OR($A39="",$E39=""),"",$E39+IF($I39="",0,$I39))</f>
        <v/>
      </c>
      <c r="K39" s="42" t="str">
        <f aca="false">IF(OR($J39="",$J39=0),"",$J39/(1-Assumptions!$B$4))</f>
        <v/>
      </c>
      <c r="L39" s="42" t="str">
        <f aca="false">IF($K39="","",MAX($K39,$E39*Assumptions!$B$10))</f>
        <v/>
      </c>
      <c r="M39" s="27"/>
      <c r="N39" s="35"/>
    </row>
    <row r="40" customFormat="false" ht="15" hidden="false" customHeight="false" outlineLevel="0" collapsed="false">
      <c r="A40" s="67"/>
      <c r="B40" s="36" t="str">
        <f aca="false">IF($A40="","",IF(ISERROR(FIND(".",$A40)),"",LOWER(MID($A40,FIND(CHAR(1),SUBSTITUTE($A40,".",CHAR(1),LEN($A40)-LEN(SUBSTITUTE($A40,".",""))))+1,LEN($A40)))))</f>
        <v/>
      </c>
      <c r="C40" s="25"/>
      <c r="D40" s="68"/>
      <c r="E40" s="27"/>
      <c r="F40" s="38" t="str">
        <f aca="false">IF($B40="","",IFERROR(INDEX(Rubric!$C$14:$C$23,MATCH(LOWER($B40),Rubric!$A$14:$A$23,0)),INDEX(Rubric!$C$14:$C$23,MATCH("other",Rubric!$A$14:$A$23,0))))</f>
        <v/>
      </c>
      <c r="G40" s="39" t="str">
        <f aca="true">IF(OR($A40="",$D40=""),"",YEARFRAC($D40,TODAY()))</f>
        <v/>
      </c>
      <c r="H40" s="69" t="str">
        <f aca="false">IF($G40="","",MAX(0,INT($G40)))</f>
        <v/>
      </c>
      <c r="I40" s="42" t="str">
        <f aca="false">IF(OR($F40="",$H40=""),"",$F40*$H40)</f>
        <v/>
      </c>
      <c r="J40" s="42" t="str">
        <f aca="false">IF(OR($A40="",$E40=""),"",$E40+IF($I40="",0,$I40))</f>
        <v/>
      </c>
      <c r="K40" s="42" t="str">
        <f aca="false">IF(OR($J40="",$J40=0),"",$J40/(1-Assumptions!$B$4))</f>
        <v/>
      </c>
      <c r="L40" s="42" t="str">
        <f aca="false">IF($K40="","",MAX($K40,$E40*Assumptions!$B$10))</f>
        <v/>
      </c>
      <c r="M40" s="27"/>
      <c r="N40" s="35"/>
    </row>
    <row r="41" customFormat="false" ht="15" hidden="false" customHeight="false" outlineLevel="0" collapsed="false">
      <c r="A41" s="67"/>
      <c r="B41" s="36" t="str">
        <f aca="false">IF($A41="","",IF(ISERROR(FIND(".",$A41)),"",LOWER(MID($A41,FIND(CHAR(1),SUBSTITUTE($A41,".",CHAR(1),LEN($A41)-LEN(SUBSTITUTE($A41,".",""))))+1,LEN($A41)))))</f>
        <v/>
      </c>
      <c r="C41" s="25"/>
      <c r="D41" s="68"/>
      <c r="E41" s="27"/>
      <c r="F41" s="38" t="str">
        <f aca="false">IF($B41="","",IFERROR(INDEX(Rubric!$C$14:$C$23,MATCH(LOWER($B41),Rubric!$A$14:$A$23,0)),INDEX(Rubric!$C$14:$C$23,MATCH("other",Rubric!$A$14:$A$23,0))))</f>
        <v/>
      </c>
      <c r="G41" s="39" t="str">
        <f aca="true">IF(OR($A41="",$D41=""),"",YEARFRAC($D41,TODAY()))</f>
        <v/>
      </c>
      <c r="H41" s="69" t="str">
        <f aca="false">IF($G41="","",MAX(0,INT($G41)))</f>
        <v/>
      </c>
      <c r="I41" s="42" t="str">
        <f aca="false">IF(OR($F41="",$H41=""),"",$F41*$H41)</f>
        <v/>
      </c>
      <c r="J41" s="42" t="str">
        <f aca="false">IF(OR($A41="",$E41=""),"",$E41+IF($I41="",0,$I41))</f>
        <v/>
      </c>
      <c r="K41" s="42" t="str">
        <f aca="false">IF(OR($J41="",$J41=0),"",$J41/(1-Assumptions!$B$4))</f>
        <v/>
      </c>
      <c r="L41" s="42" t="str">
        <f aca="false">IF($K41="","",MAX($K41,$E41*Assumptions!$B$10))</f>
        <v/>
      </c>
      <c r="M41" s="27"/>
      <c r="N41" s="35"/>
    </row>
    <row r="42" customFormat="false" ht="15" hidden="false" customHeight="false" outlineLevel="0" collapsed="false">
      <c r="A42" s="67"/>
      <c r="B42" s="36" t="str">
        <f aca="false">IF($A42="","",IF(ISERROR(FIND(".",$A42)),"",LOWER(MID($A42,FIND(CHAR(1),SUBSTITUTE($A42,".",CHAR(1),LEN($A42)-LEN(SUBSTITUTE($A42,".",""))))+1,LEN($A42)))))</f>
        <v/>
      </c>
      <c r="C42" s="25"/>
      <c r="D42" s="68"/>
      <c r="E42" s="27"/>
      <c r="F42" s="38" t="str">
        <f aca="false">IF($B42="","",IFERROR(INDEX(Rubric!$C$14:$C$23,MATCH(LOWER($B42),Rubric!$A$14:$A$23,0)),INDEX(Rubric!$C$14:$C$23,MATCH("other",Rubric!$A$14:$A$23,0))))</f>
        <v/>
      </c>
      <c r="G42" s="39" t="str">
        <f aca="true">IF(OR($A42="",$D42=""),"",YEARFRAC($D42,TODAY()))</f>
        <v/>
      </c>
      <c r="H42" s="69" t="str">
        <f aca="false">IF($G42="","",MAX(0,INT($G42)))</f>
        <v/>
      </c>
      <c r="I42" s="42" t="str">
        <f aca="false">IF(OR($F42="",$H42=""),"",$F42*$H42)</f>
        <v/>
      </c>
      <c r="J42" s="42" t="str">
        <f aca="false">IF(OR($A42="",$E42=""),"",$E42+IF($I42="",0,$I42))</f>
        <v/>
      </c>
      <c r="K42" s="42" t="str">
        <f aca="false">IF(OR($J42="",$J42=0),"",$J42/(1-Assumptions!$B$4))</f>
        <v/>
      </c>
      <c r="L42" s="42" t="str">
        <f aca="false">IF($K42="","",MAX($K42,$E42*Assumptions!$B$10))</f>
        <v/>
      </c>
      <c r="M42" s="27"/>
      <c r="N42" s="35"/>
    </row>
    <row r="43" customFormat="false" ht="15" hidden="false" customHeight="false" outlineLevel="0" collapsed="false">
      <c r="A43" s="67"/>
      <c r="B43" s="36" t="str">
        <f aca="false">IF($A43="","",IF(ISERROR(FIND(".",$A43)),"",LOWER(MID($A43,FIND(CHAR(1),SUBSTITUTE($A43,".",CHAR(1),LEN($A43)-LEN(SUBSTITUTE($A43,".",""))))+1,LEN($A43)))))</f>
        <v/>
      </c>
      <c r="C43" s="25"/>
      <c r="D43" s="68"/>
      <c r="E43" s="27"/>
      <c r="F43" s="38" t="str">
        <f aca="false">IF($B43="","",IFERROR(INDEX(Rubric!$C$14:$C$23,MATCH(LOWER($B43),Rubric!$A$14:$A$23,0)),INDEX(Rubric!$C$14:$C$23,MATCH("other",Rubric!$A$14:$A$23,0))))</f>
        <v/>
      </c>
      <c r="G43" s="39" t="str">
        <f aca="true">IF(OR($A43="",$D43=""),"",YEARFRAC($D43,TODAY()))</f>
        <v/>
      </c>
      <c r="H43" s="69" t="str">
        <f aca="false">IF($G43="","",MAX(0,INT($G43)))</f>
        <v/>
      </c>
      <c r="I43" s="42" t="str">
        <f aca="false">IF(OR($F43="",$H43=""),"",$F43*$H43)</f>
        <v/>
      </c>
      <c r="J43" s="42" t="str">
        <f aca="false">IF(OR($A43="",$E43=""),"",$E43+IF($I43="",0,$I43))</f>
        <v/>
      </c>
      <c r="K43" s="42" t="str">
        <f aca="false">IF(OR($J43="",$J43=0),"",$J43/(1-Assumptions!$B$4))</f>
        <v/>
      </c>
      <c r="L43" s="42" t="str">
        <f aca="false">IF($K43="","",MAX($K43,$E43*Assumptions!$B$10))</f>
        <v/>
      </c>
      <c r="M43" s="27"/>
      <c r="N43" s="35"/>
    </row>
    <row r="44" customFormat="false" ht="15" hidden="false" customHeight="false" outlineLevel="0" collapsed="false">
      <c r="A44" s="67"/>
      <c r="B44" s="36" t="str">
        <f aca="false">IF($A44="","",IF(ISERROR(FIND(".",$A44)),"",LOWER(MID($A44,FIND(CHAR(1),SUBSTITUTE($A44,".",CHAR(1),LEN($A44)-LEN(SUBSTITUTE($A44,".",""))))+1,LEN($A44)))))</f>
        <v/>
      </c>
      <c r="C44" s="25"/>
      <c r="D44" s="68"/>
      <c r="E44" s="27"/>
      <c r="F44" s="38" t="str">
        <f aca="false">IF($B44="","",IFERROR(INDEX(Rubric!$C$14:$C$23,MATCH(LOWER($B44),Rubric!$A$14:$A$23,0)),INDEX(Rubric!$C$14:$C$23,MATCH("other",Rubric!$A$14:$A$23,0))))</f>
        <v/>
      </c>
      <c r="G44" s="39" t="str">
        <f aca="true">IF(OR($A44="",$D44=""),"",YEARFRAC($D44,TODAY()))</f>
        <v/>
      </c>
      <c r="H44" s="69" t="str">
        <f aca="false">IF($G44="","",MAX(0,INT($G44)))</f>
        <v/>
      </c>
      <c r="I44" s="42" t="str">
        <f aca="false">IF(OR($F44="",$H44=""),"",$F44*$H44)</f>
        <v/>
      </c>
      <c r="J44" s="42" t="str">
        <f aca="false">IF(OR($A44="",$E44=""),"",$E44+IF($I44="",0,$I44))</f>
        <v/>
      </c>
      <c r="K44" s="42" t="str">
        <f aca="false">IF(OR($J44="",$J44=0),"",$J44/(1-Assumptions!$B$4))</f>
        <v/>
      </c>
      <c r="L44" s="42" t="str">
        <f aca="false">IF($K44="","",MAX($K44,$E44*Assumptions!$B$10))</f>
        <v/>
      </c>
      <c r="M44" s="27"/>
      <c r="N44" s="35"/>
    </row>
    <row r="45" customFormat="false" ht="15" hidden="false" customHeight="false" outlineLevel="0" collapsed="false">
      <c r="A45" s="67"/>
      <c r="B45" s="36" t="str">
        <f aca="false">IF($A45="","",IF(ISERROR(FIND(".",$A45)),"",LOWER(MID($A45,FIND(CHAR(1),SUBSTITUTE($A45,".",CHAR(1),LEN($A45)-LEN(SUBSTITUTE($A45,".",""))))+1,LEN($A45)))))</f>
        <v/>
      </c>
      <c r="C45" s="25"/>
      <c r="D45" s="68"/>
      <c r="E45" s="27"/>
      <c r="F45" s="38" t="str">
        <f aca="false">IF($B45="","",IFERROR(INDEX(Rubric!$C$14:$C$23,MATCH(LOWER($B45),Rubric!$A$14:$A$23,0)),INDEX(Rubric!$C$14:$C$23,MATCH("other",Rubric!$A$14:$A$23,0))))</f>
        <v/>
      </c>
      <c r="G45" s="39" t="str">
        <f aca="true">IF(OR($A45="",$D45=""),"",YEARFRAC($D45,TODAY()))</f>
        <v/>
      </c>
      <c r="H45" s="69" t="str">
        <f aca="false">IF($G45="","",MAX(0,INT($G45)))</f>
        <v/>
      </c>
      <c r="I45" s="42" t="str">
        <f aca="false">IF(OR($F45="",$H45=""),"",$F45*$H45)</f>
        <v/>
      </c>
      <c r="J45" s="42" t="str">
        <f aca="false">IF(OR($A45="",$E45=""),"",$E45+IF($I45="",0,$I45))</f>
        <v/>
      </c>
      <c r="K45" s="42" t="str">
        <f aca="false">IF(OR($J45="",$J45=0),"",$J45/(1-Assumptions!$B$4))</f>
        <v/>
      </c>
      <c r="L45" s="42" t="str">
        <f aca="false">IF($K45="","",MAX($K45,$E45*Assumptions!$B$10))</f>
        <v/>
      </c>
      <c r="M45" s="27"/>
      <c r="N45" s="35"/>
    </row>
    <row r="46" customFormat="false" ht="15" hidden="false" customHeight="false" outlineLevel="0" collapsed="false">
      <c r="A46" s="67"/>
      <c r="B46" s="36" t="str">
        <f aca="false">IF($A46="","",IF(ISERROR(FIND(".",$A46)),"",LOWER(MID($A46,FIND(CHAR(1),SUBSTITUTE($A46,".",CHAR(1),LEN($A46)-LEN(SUBSTITUTE($A46,".",""))))+1,LEN($A46)))))</f>
        <v/>
      </c>
      <c r="C46" s="25"/>
      <c r="D46" s="68"/>
      <c r="E46" s="27"/>
      <c r="F46" s="38" t="str">
        <f aca="false">IF($B46="","",IFERROR(INDEX(Rubric!$C$14:$C$23,MATCH(LOWER($B46),Rubric!$A$14:$A$23,0)),INDEX(Rubric!$C$14:$C$23,MATCH("other",Rubric!$A$14:$A$23,0))))</f>
        <v/>
      </c>
      <c r="G46" s="39" t="str">
        <f aca="true">IF(OR($A46="",$D46=""),"",YEARFRAC($D46,TODAY()))</f>
        <v/>
      </c>
      <c r="H46" s="69" t="str">
        <f aca="false">IF($G46="","",MAX(0,INT($G46)))</f>
        <v/>
      </c>
      <c r="I46" s="42" t="str">
        <f aca="false">IF(OR($F46="",$H46=""),"",$F46*$H46)</f>
        <v/>
      </c>
      <c r="J46" s="42" t="str">
        <f aca="false">IF(OR($A46="",$E46=""),"",$E46+IF($I46="",0,$I46))</f>
        <v/>
      </c>
      <c r="K46" s="42" t="str">
        <f aca="false">IF(OR($J46="",$J46=0),"",$J46/(1-Assumptions!$B$4))</f>
        <v/>
      </c>
      <c r="L46" s="42" t="str">
        <f aca="false">IF($K46="","",MAX($K46,$E46*Assumptions!$B$10))</f>
        <v/>
      </c>
      <c r="M46" s="27"/>
      <c r="N46" s="35"/>
    </row>
    <row r="47" customFormat="false" ht="15" hidden="false" customHeight="false" outlineLevel="0" collapsed="false">
      <c r="A47" s="67"/>
      <c r="B47" s="36" t="str">
        <f aca="false">IF($A47="","",IF(ISERROR(FIND(".",$A47)),"",LOWER(MID($A47,FIND(CHAR(1),SUBSTITUTE($A47,".",CHAR(1),LEN($A47)-LEN(SUBSTITUTE($A47,".",""))))+1,LEN($A47)))))</f>
        <v/>
      </c>
      <c r="C47" s="25"/>
      <c r="D47" s="68"/>
      <c r="E47" s="27"/>
      <c r="F47" s="38" t="str">
        <f aca="false">IF($B47="","",IFERROR(INDEX(Rubric!$C$14:$C$23,MATCH(LOWER($B47),Rubric!$A$14:$A$23,0)),INDEX(Rubric!$C$14:$C$23,MATCH("other",Rubric!$A$14:$A$23,0))))</f>
        <v/>
      </c>
      <c r="G47" s="39" t="str">
        <f aca="true">IF(OR($A47="",$D47=""),"",YEARFRAC($D47,TODAY()))</f>
        <v/>
      </c>
      <c r="H47" s="69" t="str">
        <f aca="false">IF($G47="","",MAX(0,INT($G47)))</f>
        <v/>
      </c>
      <c r="I47" s="42" t="str">
        <f aca="false">IF(OR($F47="",$H47=""),"",$F47*$H47)</f>
        <v/>
      </c>
      <c r="J47" s="42" t="str">
        <f aca="false">IF(OR($A47="",$E47=""),"",$E47+IF($I47="",0,$I47))</f>
        <v/>
      </c>
      <c r="K47" s="42" t="str">
        <f aca="false">IF(OR($J47="",$J47=0),"",$J47/(1-Assumptions!$B$4))</f>
        <v/>
      </c>
      <c r="L47" s="42" t="str">
        <f aca="false">IF($K47="","",MAX($K47,$E47*Assumptions!$B$10))</f>
        <v/>
      </c>
      <c r="M47" s="27"/>
      <c r="N47" s="35"/>
    </row>
    <row r="48" customFormat="false" ht="15" hidden="false" customHeight="false" outlineLevel="0" collapsed="false">
      <c r="A48" s="67"/>
      <c r="B48" s="36" t="str">
        <f aca="false">IF($A48="","",IF(ISERROR(FIND(".",$A48)),"",LOWER(MID($A48,FIND(CHAR(1),SUBSTITUTE($A48,".",CHAR(1),LEN($A48)-LEN(SUBSTITUTE($A48,".",""))))+1,LEN($A48)))))</f>
        <v/>
      </c>
      <c r="C48" s="25"/>
      <c r="D48" s="68"/>
      <c r="E48" s="27"/>
      <c r="F48" s="38" t="str">
        <f aca="false">IF($B48="","",IFERROR(INDEX(Rubric!$C$14:$C$23,MATCH(LOWER($B48),Rubric!$A$14:$A$23,0)),INDEX(Rubric!$C$14:$C$23,MATCH("other",Rubric!$A$14:$A$23,0))))</f>
        <v/>
      </c>
      <c r="G48" s="39" t="str">
        <f aca="true">IF(OR($A48="",$D48=""),"",YEARFRAC($D48,TODAY()))</f>
        <v/>
      </c>
      <c r="H48" s="69" t="str">
        <f aca="false">IF($G48="","",MAX(0,INT($G48)))</f>
        <v/>
      </c>
      <c r="I48" s="42" t="str">
        <f aca="false">IF(OR($F48="",$H48=""),"",$F48*$H48)</f>
        <v/>
      </c>
      <c r="J48" s="42" t="str">
        <f aca="false">IF(OR($A48="",$E48=""),"",$E48+IF($I48="",0,$I48))</f>
        <v/>
      </c>
      <c r="K48" s="42" t="str">
        <f aca="false">IF(OR($J48="",$J48=0),"",$J48/(1-Assumptions!$B$4))</f>
        <v/>
      </c>
      <c r="L48" s="42" t="str">
        <f aca="false">IF($K48="","",MAX($K48,$E48*Assumptions!$B$10))</f>
        <v/>
      </c>
      <c r="M48" s="27"/>
      <c r="N48" s="35"/>
    </row>
    <row r="49" customFormat="false" ht="15" hidden="false" customHeight="false" outlineLevel="0" collapsed="false">
      <c r="A49" s="67"/>
      <c r="B49" s="36" t="str">
        <f aca="false">IF($A49="","",IF(ISERROR(FIND(".",$A49)),"",LOWER(MID($A49,FIND(CHAR(1),SUBSTITUTE($A49,".",CHAR(1),LEN($A49)-LEN(SUBSTITUTE($A49,".",""))))+1,LEN($A49)))))</f>
        <v/>
      </c>
      <c r="C49" s="25"/>
      <c r="D49" s="68"/>
      <c r="E49" s="27"/>
      <c r="F49" s="38" t="str">
        <f aca="false">IF($B49="","",IFERROR(INDEX(Rubric!$C$14:$C$23,MATCH(LOWER($B49),Rubric!$A$14:$A$23,0)),INDEX(Rubric!$C$14:$C$23,MATCH("other",Rubric!$A$14:$A$23,0))))</f>
        <v/>
      </c>
      <c r="G49" s="39" t="str">
        <f aca="true">IF(OR($A49="",$D49=""),"",YEARFRAC($D49,TODAY()))</f>
        <v/>
      </c>
      <c r="H49" s="69" t="str">
        <f aca="false">IF($G49="","",MAX(0,INT($G49)))</f>
        <v/>
      </c>
      <c r="I49" s="42" t="str">
        <f aca="false">IF(OR($F49="",$H49=""),"",$F49*$H49)</f>
        <v/>
      </c>
      <c r="J49" s="42" t="str">
        <f aca="false">IF(OR($A49="",$E49=""),"",$E49+IF($I49="",0,$I49))</f>
        <v/>
      </c>
      <c r="K49" s="42" t="str">
        <f aca="false">IF(OR($J49="",$J49=0),"",$J49/(1-Assumptions!$B$4))</f>
        <v/>
      </c>
      <c r="L49" s="42" t="str">
        <f aca="false">IF($K49="","",MAX($K49,$E49*Assumptions!$B$10))</f>
        <v/>
      </c>
      <c r="M49" s="27"/>
      <c r="N49" s="35"/>
    </row>
    <row r="50" customFormat="false" ht="15" hidden="false" customHeight="false" outlineLevel="0" collapsed="false">
      <c r="A50" s="67"/>
      <c r="B50" s="36" t="str">
        <f aca="false">IF($A50="","",IF(ISERROR(FIND(".",$A50)),"",LOWER(MID($A50,FIND(CHAR(1),SUBSTITUTE($A50,".",CHAR(1),LEN($A50)-LEN(SUBSTITUTE($A50,".",""))))+1,LEN($A50)))))</f>
        <v/>
      </c>
      <c r="C50" s="25"/>
      <c r="D50" s="68"/>
      <c r="E50" s="27"/>
      <c r="F50" s="38" t="str">
        <f aca="false">IF($B50="","",IFERROR(INDEX(Rubric!$C$14:$C$23,MATCH(LOWER($B50),Rubric!$A$14:$A$23,0)),INDEX(Rubric!$C$14:$C$23,MATCH("other",Rubric!$A$14:$A$23,0))))</f>
        <v/>
      </c>
      <c r="G50" s="39" t="str">
        <f aca="true">IF(OR($A50="",$D50=""),"",YEARFRAC($D50,TODAY()))</f>
        <v/>
      </c>
      <c r="H50" s="69" t="str">
        <f aca="false">IF($G50="","",MAX(0,INT($G50)))</f>
        <v/>
      </c>
      <c r="I50" s="42" t="str">
        <f aca="false">IF(OR($F50="",$H50=""),"",$F50*$H50)</f>
        <v/>
      </c>
      <c r="J50" s="42" t="str">
        <f aca="false">IF(OR($A50="",$E50=""),"",$E50+IF($I50="",0,$I50))</f>
        <v/>
      </c>
      <c r="K50" s="42" t="str">
        <f aca="false">IF(OR($J50="",$J50=0),"",$J50/(1-Assumptions!$B$4))</f>
        <v/>
      </c>
      <c r="L50" s="42" t="str">
        <f aca="false">IF($K50="","",MAX($K50,$E50*Assumptions!$B$10))</f>
        <v/>
      </c>
      <c r="M50" s="27"/>
      <c r="N50" s="35"/>
    </row>
    <row r="51" customFormat="false" ht="15" hidden="false" customHeight="false" outlineLevel="0" collapsed="false">
      <c r="A51" s="67"/>
      <c r="B51" s="36" t="str">
        <f aca="false">IF($A51="","",IF(ISERROR(FIND(".",$A51)),"",LOWER(MID($A51,FIND(CHAR(1),SUBSTITUTE($A51,".",CHAR(1),LEN($A51)-LEN(SUBSTITUTE($A51,".",""))))+1,LEN($A51)))))</f>
        <v/>
      </c>
      <c r="C51" s="25"/>
      <c r="D51" s="68"/>
      <c r="E51" s="27"/>
      <c r="F51" s="38" t="str">
        <f aca="false">IF($B51="","",IFERROR(INDEX(Rubric!$C$14:$C$23,MATCH(LOWER($B51),Rubric!$A$14:$A$23,0)),INDEX(Rubric!$C$14:$C$23,MATCH("other",Rubric!$A$14:$A$23,0))))</f>
        <v/>
      </c>
      <c r="G51" s="39" t="str">
        <f aca="true">IF(OR($A51="",$D51=""),"",YEARFRAC($D51,TODAY()))</f>
        <v/>
      </c>
      <c r="H51" s="69" t="str">
        <f aca="false">IF($G51="","",MAX(0,INT($G51)))</f>
        <v/>
      </c>
      <c r="I51" s="42" t="str">
        <f aca="false">IF(OR($F51="",$H51=""),"",$F51*$H51)</f>
        <v/>
      </c>
      <c r="J51" s="42" t="str">
        <f aca="false">IF(OR($A51="",$E51=""),"",$E51+IF($I51="",0,$I51))</f>
        <v/>
      </c>
      <c r="K51" s="42" t="str">
        <f aca="false">IF(OR($J51="",$J51=0),"",$J51/(1-Assumptions!$B$4))</f>
        <v/>
      </c>
      <c r="L51" s="42" t="str">
        <f aca="false">IF($K51="","",MAX($K51,$E51*Assumptions!$B$10))</f>
        <v/>
      </c>
      <c r="M51" s="27"/>
      <c r="N51" s="35"/>
    </row>
    <row r="52" customFormat="false" ht="15" hidden="false" customHeight="false" outlineLevel="0" collapsed="false">
      <c r="A52" s="67"/>
      <c r="B52" s="36" t="str">
        <f aca="false">IF($A52="","",IF(ISERROR(FIND(".",$A52)),"",LOWER(MID($A52,FIND(CHAR(1),SUBSTITUTE($A52,".",CHAR(1),LEN($A52)-LEN(SUBSTITUTE($A52,".",""))))+1,LEN($A52)))))</f>
        <v/>
      </c>
      <c r="C52" s="25"/>
      <c r="D52" s="68"/>
      <c r="E52" s="27"/>
      <c r="F52" s="38" t="str">
        <f aca="false">IF($B52="","",IFERROR(INDEX(Rubric!$C$14:$C$23,MATCH(LOWER($B52),Rubric!$A$14:$A$23,0)),INDEX(Rubric!$C$14:$C$23,MATCH("other",Rubric!$A$14:$A$23,0))))</f>
        <v/>
      </c>
      <c r="G52" s="39" t="str">
        <f aca="true">IF(OR($A52="",$D52=""),"",YEARFRAC($D52,TODAY()))</f>
        <v/>
      </c>
      <c r="H52" s="69" t="str">
        <f aca="false">IF($G52="","",MAX(0,INT($G52)))</f>
        <v/>
      </c>
      <c r="I52" s="42" t="str">
        <f aca="false">IF(OR($F52="",$H52=""),"",$F52*$H52)</f>
        <v/>
      </c>
      <c r="J52" s="42" t="str">
        <f aca="false">IF(OR($A52="",$E52=""),"",$E52+IF($I52="",0,$I52))</f>
        <v/>
      </c>
      <c r="K52" s="42" t="str">
        <f aca="false">IF(OR($J52="",$J52=0),"",$J52/(1-Assumptions!$B$4))</f>
        <v/>
      </c>
      <c r="L52" s="42" t="str">
        <f aca="false">IF($K52="","",MAX($K52,$E52*Assumptions!$B$10))</f>
        <v/>
      </c>
      <c r="M52" s="27"/>
      <c r="N52" s="35"/>
    </row>
    <row r="53" customFormat="false" ht="15" hidden="false" customHeight="false" outlineLevel="0" collapsed="false">
      <c r="A53" s="67"/>
      <c r="B53" s="36" t="str">
        <f aca="false">IF($A53="","",IF(ISERROR(FIND(".",$A53)),"",LOWER(MID($A53,FIND(CHAR(1),SUBSTITUTE($A53,".",CHAR(1),LEN($A53)-LEN(SUBSTITUTE($A53,".",""))))+1,LEN($A53)))))</f>
        <v/>
      </c>
      <c r="C53" s="25"/>
      <c r="D53" s="68"/>
      <c r="E53" s="27"/>
      <c r="F53" s="38" t="str">
        <f aca="false">IF($B53="","",IFERROR(INDEX(Rubric!$C$14:$C$23,MATCH(LOWER($B53),Rubric!$A$14:$A$23,0)),INDEX(Rubric!$C$14:$C$23,MATCH("other",Rubric!$A$14:$A$23,0))))</f>
        <v/>
      </c>
      <c r="G53" s="39" t="str">
        <f aca="true">IF(OR($A53="",$D53=""),"",YEARFRAC($D53,TODAY()))</f>
        <v/>
      </c>
      <c r="H53" s="69" t="str">
        <f aca="false">IF($G53="","",MAX(0,INT($G53)))</f>
        <v/>
      </c>
      <c r="I53" s="42" t="str">
        <f aca="false">IF(OR($F53="",$H53=""),"",$F53*$H53)</f>
        <v/>
      </c>
      <c r="J53" s="42" t="str">
        <f aca="false">IF(OR($A53="",$E53=""),"",$E53+IF($I53="",0,$I53))</f>
        <v/>
      </c>
      <c r="K53" s="42" t="str">
        <f aca="false">IF(OR($J53="",$J53=0),"",$J53/(1-Assumptions!$B$4))</f>
        <v/>
      </c>
      <c r="L53" s="42" t="str">
        <f aca="false">IF($K53="","",MAX($K53,$E53*Assumptions!$B$10))</f>
        <v/>
      </c>
      <c r="M53" s="27"/>
      <c r="N53" s="35"/>
    </row>
    <row r="54" customFormat="false" ht="15" hidden="false" customHeight="false" outlineLevel="0" collapsed="false">
      <c r="A54" s="67"/>
      <c r="B54" s="36" t="str">
        <f aca="false">IF($A54="","",IF(ISERROR(FIND(".",$A54)),"",LOWER(MID($A54,FIND(CHAR(1),SUBSTITUTE($A54,".",CHAR(1),LEN($A54)-LEN(SUBSTITUTE($A54,".",""))))+1,LEN($A54)))))</f>
        <v/>
      </c>
      <c r="C54" s="25"/>
      <c r="D54" s="68"/>
      <c r="E54" s="27"/>
      <c r="F54" s="38" t="str">
        <f aca="false">IF($B54="","",IFERROR(INDEX(Rubric!$C$14:$C$23,MATCH(LOWER($B54),Rubric!$A$14:$A$23,0)),INDEX(Rubric!$C$14:$C$23,MATCH("other",Rubric!$A$14:$A$23,0))))</f>
        <v/>
      </c>
      <c r="G54" s="39" t="str">
        <f aca="true">IF(OR($A54="",$D54=""),"",YEARFRAC($D54,TODAY()))</f>
        <v/>
      </c>
      <c r="H54" s="69" t="str">
        <f aca="false">IF($G54="","",MAX(0,INT($G54)))</f>
        <v/>
      </c>
      <c r="I54" s="42" t="str">
        <f aca="false">IF(OR($F54="",$H54=""),"",$F54*$H54)</f>
        <v/>
      </c>
      <c r="J54" s="42" t="str">
        <f aca="false">IF(OR($A54="",$E54=""),"",$E54+IF($I54="",0,$I54))</f>
        <v/>
      </c>
      <c r="K54" s="42" t="str">
        <f aca="false">IF(OR($J54="",$J54=0),"",$J54/(1-Assumptions!$B$4))</f>
        <v/>
      </c>
      <c r="L54" s="42" t="str">
        <f aca="false">IF($K54="","",MAX($K54,$E54*Assumptions!$B$10))</f>
        <v/>
      </c>
      <c r="M54" s="27"/>
      <c r="N54" s="35"/>
    </row>
    <row r="55" customFormat="false" ht="15" hidden="false" customHeight="false" outlineLevel="0" collapsed="false">
      <c r="A55" s="67"/>
      <c r="B55" s="36" t="str">
        <f aca="false">IF($A55="","",IF(ISERROR(FIND(".",$A55)),"",LOWER(MID($A55,FIND(CHAR(1),SUBSTITUTE($A55,".",CHAR(1),LEN($A55)-LEN(SUBSTITUTE($A55,".",""))))+1,LEN($A55)))))</f>
        <v/>
      </c>
      <c r="C55" s="25"/>
      <c r="D55" s="68"/>
      <c r="E55" s="27"/>
      <c r="F55" s="38" t="str">
        <f aca="false">IF($B55="","",IFERROR(INDEX(Rubric!$C$14:$C$23,MATCH(LOWER($B55),Rubric!$A$14:$A$23,0)),INDEX(Rubric!$C$14:$C$23,MATCH("other",Rubric!$A$14:$A$23,0))))</f>
        <v/>
      </c>
      <c r="G55" s="39" t="str">
        <f aca="true">IF(OR($A55="",$D55=""),"",YEARFRAC($D55,TODAY()))</f>
        <v/>
      </c>
      <c r="H55" s="69" t="str">
        <f aca="false">IF($G55="","",MAX(0,INT($G55)))</f>
        <v/>
      </c>
      <c r="I55" s="42" t="str">
        <f aca="false">IF(OR($F55="",$H55=""),"",$F55*$H55)</f>
        <v/>
      </c>
      <c r="J55" s="42" t="str">
        <f aca="false">IF(OR($A55="",$E55=""),"",$E55+IF($I55="",0,$I55))</f>
        <v/>
      </c>
      <c r="K55" s="42" t="str">
        <f aca="false">IF(OR($J55="",$J55=0),"",$J55/(1-Assumptions!$B$4))</f>
        <v/>
      </c>
      <c r="L55" s="42" t="str">
        <f aca="false">IF($K55="","",MAX($K55,$E55*Assumptions!$B$10))</f>
        <v/>
      </c>
      <c r="M55" s="27"/>
      <c r="N55" s="35"/>
    </row>
    <row r="56" customFormat="false" ht="15" hidden="false" customHeight="false" outlineLevel="0" collapsed="false">
      <c r="A56" s="67"/>
      <c r="B56" s="36" t="str">
        <f aca="false">IF($A56="","",IF(ISERROR(FIND(".",$A56)),"",LOWER(MID($A56,FIND(CHAR(1),SUBSTITUTE($A56,".",CHAR(1),LEN($A56)-LEN(SUBSTITUTE($A56,".",""))))+1,LEN($A56)))))</f>
        <v/>
      </c>
      <c r="C56" s="25"/>
      <c r="D56" s="68"/>
      <c r="E56" s="27"/>
      <c r="F56" s="38" t="str">
        <f aca="false">IF($B56="","",IFERROR(INDEX(Rubric!$C$14:$C$23,MATCH(LOWER($B56),Rubric!$A$14:$A$23,0)),INDEX(Rubric!$C$14:$C$23,MATCH("other",Rubric!$A$14:$A$23,0))))</f>
        <v/>
      </c>
      <c r="G56" s="39" t="str">
        <f aca="true">IF(OR($A56="",$D56=""),"",YEARFRAC($D56,TODAY()))</f>
        <v/>
      </c>
      <c r="H56" s="69" t="str">
        <f aca="false">IF($G56="","",MAX(0,INT($G56)))</f>
        <v/>
      </c>
      <c r="I56" s="42" t="str">
        <f aca="false">IF(OR($F56="",$H56=""),"",$F56*$H56)</f>
        <v/>
      </c>
      <c r="J56" s="42" t="str">
        <f aca="false">IF(OR($A56="",$E56=""),"",$E56+IF($I56="",0,$I56))</f>
        <v/>
      </c>
      <c r="K56" s="42" t="str">
        <f aca="false">IF(OR($J56="",$J56=0),"",$J56/(1-Assumptions!$B$4))</f>
        <v/>
      </c>
      <c r="L56" s="42" t="str">
        <f aca="false">IF($K56="","",MAX($K56,$E56*Assumptions!$B$10))</f>
        <v/>
      </c>
      <c r="M56" s="27"/>
      <c r="N56" s="35"/>
    </row>
    <row r="57" customFormat="false" ht="15" hidden="false" customHeight="false" outlineLevel="0" collapsed="false">
      <c r="A57" s="67"/>
      <c r="B57" s="36" t="str">
        <f aca="false">IF($A57="","",IF(ISERROR(FIND(".",$A57)),"",LOWER(MID($A57,FIND(CHAR(1),SUBSTITUTE($A57,".",CHAR(1),LEN($A57)-LEN(SUBSTITUTE($A57,".",""))))+1,LEN($A57)))))</f>
        <v/>
      </c>
      <c r="C57" s="25"/>
      <c r="D57" s="68"/>
      <c r="E57" s="27"/>
      <c r="F57" s="38" t="str">
        <f aca="false">IF($B57="","",IFERROR(INDEX(Rubric!$C$14:$C$23,MATCH(LOWER($B57),Rubric!$A$14:$A$23,0)),INDEX(Rubric!$C$14:$C$23,MATCH("other",Rubric!$A$14:$A$23,0))))</f>
        <v/>
      </c>
      <c r="G57" s="39" t="str">
        <f aca="true">IF(OR($A57="",$D57=""),"",YEARFRAC($D57,TODAY()))</f>
        <v/>
      </c>
      <c r="H57" s="69" t="str">
        <f aca="false">IF($G57="","",MAX(0,INT($G57)))</f>
        <v/>
      </c>
      <c r="I57" s="42" t="str">
        <f aca="false">IF(OR($F57="",$H57=""),"",$F57*$H57)</f>
        <v/>
      </c>
      <c r="J57" s="42" t="str">
        <f aca="false">IF(OR($A57="",$E57=""),"",$E57+IF($I57="",0,$I57))</f>
        <v/>
      </c>
      <c r="K57" s="42" t="str">
        <f aca="false">IF(OR($J57="",$J57=0),"",$J57/(1-Assumptions!$B$4))</f>
        <v/>
      </c>
      <c r="L57" s="42" t="str">
        <f aca="false">IF($K57="","",MAX($K57,$E57*Assumptions!$B$10))</f>
        <v/>
      </c>
      <c r="M57" s="27"/>
      <c r="N57" s="35"/>
    </row>
    <row r="58" customFormat="false" ht="15" hidden="false" customHeight="false" outlineLevel="0" collapsed="false">
      <c r="A58" s="67"/>
      <c r="B58" s="36" t="str">
        <f aca="false">IF($A58="","",IF(ISERROR(FIND(".",$A58)),"",LOWER(MID($A58,FIND(CHAR(1),SUBSTITUTE($A58,".",CHAR(1),LEN($A58)-LEN(SUBSTITUTE($A58,".",""))))+1,LEN($A58)))))</f>
        <v/>
      </c>
      <c r="C58" s="25"/>
      <c r="D58" s="68"/>
      <c r="E58" s="27"/>
      <c r="F58" s="38" t="str">
        <f aca="false">IF($B58="","",IFERROR(INDEX(Rubric!$C$14:$C$23,MATCH(LOWER($B58),Rubric!$A$14:$A$23,0)),INDEX(Rubric!$C$14:$C$23,MATCH("other",Rubric!$A$14:$A$23,0))))</f>
        <v/>
      </c>
      <c r="G58" s="39" t="str">
        <f aca="true">IF(OR($A58="",$D58=""),"",YEARFRAC($D58,TODAY()))</f>
        <v/>
      </c>
      <c r="H58" s="69" t="str">
        <f aca="false">IF($G58="","",MAX(0,INT($G58)))</f>
        <v/>
      </c>
      <c r="I58" s="42" t="str">
        <f aca="false">IF(OR($F58="",$H58=""),"",$F58*$H58)</f>
        <v/>
      </c>
      <c r="J58" s="42" t="str">
        <f aca="false">IF(OR($A58="",$E58=""),"",$E58+IF($I58="",0,$I58))</f>
        <v/>
      </c>
      <c r="K58" s="42" t="str">
        <f aca="false">IF(OR($J58="",$J58=0),"",$J58/(1-Assumptions!$B$4))</f>
        <v/>
      </c>
      <c r="L58" s="42" t="str">
        <f aca="false">IF($K58="","",MAX($K58,$E58*Assumptions!$B$10))</f>
        <v/>
      </c>
      <c r="M58" s="27"/>
      <c r="N58" s="35"/>
    </row>
    <row r="59" customFormat="false" ht="15" hidden="false" customHeight="false" outlineLevel="0" collapsed="false">
      <c r="A59" s="67"/>
      <c r="B59" s="36" t="str">
        <f aca="false">IF($A59="","",IF(ISERROR(FIND(".",$A59)),"",LOWER(MID($A59,FIND(CHAR(1),SUBSTITUTE($A59,".",CHAR(1),LEN($A59)-LEN(SUBSTITUTE($A59,".",""))))+1,LEN($A59)))))</f>
        <v/>
      </c>
      <c r="C59" s="25"/>
      <c r="D59" s="68"/>
      <c r="E59" s="27"/>
      <c r="F59" s="38" t="str">
        <f aca="false">IF($B59="","",IFERROR(INDEX(Rubric!$C$14:$C$23,MATCH(LOWER($B59),Rubric!$A$14:$A$23,0)),INDEX(Rubric!$C$14:$C$23,MATCH("other",Rubric!$A$14:$A$23,0))))</f>
        <v/>
      </c>
      <c r="G59" s="39" t="str">
        <f aca="true">IF(OR($A59="",$D59=""),"",YEARFRAC($D59,TODAY()))</f>
        <v/>
      </c>
      <c r="H59" s="69" t="str">
        <f aca="false">IF($G59="","",MAX(0,INT($G59)))</f>
        <v/>
      </c>
      <c r="I59" s="42" t="str">
        <f aca="false">IF(OR($F59="",$H59=""),"",$F59*$H59)</f>
        <v/>
      </c>
      <c r="J59" s="42" t="str">
        <f aca="false">IF(OR($A59="",$E59=""),"",$E59+IF($I59="",0,$I59))</f>
        <v/>
      </c>
      <c r="K59" s="42" t="str">
        <f aca="false">IF(OR($J59="",$J59=0),"",$J59/(1-Assumptions!$B$4))</f>
        <v/>
      </c>
      <c r="L59" s="42" t="str">
        <f aca="false">IF($K59="","",MAX($K59,$E59*Assumptions!$B$10))</f>
        <v/>
      </c>
      <c r="M59" s="27"/>
      <c r="N59" s="35"/>
    </row>
    <row r="60" customFormat="false" ht="15" hidden="false" customHeight="false" outlineLevel="0" collapsed="false">
      <c r="A60" s="67"/>
      <c r="B60" s="36" t="str">
        <f aca="false">IF($A60="","",IF(ISERROR(FIND(".",$A60)),"",LOWER(MID($A60,FIND(CHAR(1),SUBSTITUTE($A60,".",CHAR(1),LEN($A60)-LEN(SUBSTITUTE($A60,".",""))))+1,LEN($A60)))))</f>
        <v/>
      </c>
      <c r="C60" s="25"/>
      <c r="D60" s="68"/>
      <c r="E60" s="27"/>
      <c r="F60" s="38" t="str">
        <f aca="false">IF($B60="","",IFERROR(INDEX(Rubric!$C$14:$C$23,MATCH(LOWER($B60),Rubric!$A$14:$A$23,0)),INDEX(Rubric!$C$14:$C$23,MATCH("other",Rubric!$A$14:$A$23,0))))</f>
        <v/>
      </c>
      <c r="G60" s="39" t="str">
        <f aca="true">IF(OR($A60="",$D60=""),"",YEARFRAC($D60,TODAY()))</f>
        <v/>
      </c>
      <c r="H60" s="69" t="str">
        <f aca="false">IF($G60="","",MAX(0,INT($G60)))</f>
        <v/>
      </c>
      <c r="I60" s="42" t="str">
        <f aca="false">IF(OR($F60="",$H60=""),"",$F60*$H60)</f>
        <v/>
      </c>
      <c r="J60" s="42" t="str">
        <f aca="false">IF(OR($A60="",$E60=""),"",$E60+IF($I60="",0,$I60))</f>
        <v/>
      </c>
      <c r="K60" s="42" t="str">
        <f aca="false">IF(OR($J60="",$J60=0),"",$J60/(1-Assumptions!$B$4))</f>
        <v/>
      </c>
      <c r="L60" s="42" t="str">
        <f aca="false">IF($K60="","",MAX($K60,$E60*Assumptions!$B$10))</f>
        <v/>
      </c>
      <c r="M60" s="27"/>
      <c r="N60" s="35"/>
    </row>
    <row r="61" customFormat="false" ht="15" hidden="false" customHeight="false" outlineLevel="0" collapsed="false">
      <c r="A61" s="67"/>
      <c r="B61" s="36" t="str">
        <f aca="false">IF($A61="","",IF(ISERROR(FIND(".",$A61)),"",LOWER(MID($A61,FIND(CHAR(1),SUBSTITUTE($A61,".",CHAR(1),LEN($A61)-LEN(SUBSTITUTE($A61,".",""))))+1,LEN($A61)))))</f>
        <v/>
      </c>
      <c r="C61" s="25"/>
      <c r="D61" s="68"/>
      <c r="E61" s="27"/>
      <c r="F61" s="38" t="str">
        <f aca="false">IF($B61="","",IFERROR(INDEX(Rubric!$C$14:$C$23,MATCH(LOWER($B61),Rubric!$A$14:$A$23,0)),INDEX(Rubric!$C$14:$C$23,MATCH("other",Rubric!$A$14:$A$23,0))))</f>
        <v/>
      </c>
      <c r="G61" s="39" t="str">
        <f aca="true">IF(OR($A61="",$D61=""),"",YEARFRAC($D61,TODAY()))</f>
        <v/>
      </c>
      <c r="H61" s="69" t="str">
        <f aca="false">IF($G61="","",MAX(0,INT($G61)))</f>
        <v/>
      </c>
      <c r="I61" s="42" t="str">
        <f aca="false">IF(OR($F61="",$H61=""),"",$F61*$H61)</f>
        <v/>
      </c>
      <c r="J61" s="42" t="str">
        <f aca="false">IF(OR($A61="",$E61=""),"",$E61+IF($I61="",0,$I61))</f>
        <v/>
      </c>
      <c r="K61" s="42" t="str">
        <f aca="false">IF(OR($J61="",$J61=0),"",$J61/(1-Assumptions!$B$4))</f>
        <v/>
      </c>
      <c r="L61" s="42" t="str">
        <f aca="false">IF($K61="","",MAX($K61,$E61*Assumptions!$B$10))</f>
        <v/>
      </c>
      <c r="M61" s="27"/>
      <c r="N61" s="35"/>
    </row>
    <row r="62" customFormat="false" ht="15" hidden="false" customHeight="false" outlineLevel="0" collapsed="false">
      <c r="A62" s="67"/>
      <c r="B62" s="36" t="str">
        <f aca="false">IF($A62="","",IF(ISERROR(FIND(".",$A62)),"",LOWER(MID($A62,FIND(CHAR(1),SUBSTITUTE($A62,".",CHAR(1),LEN($A62)-LEN(SUBSTITUTE($A62,".",""))))+1,LEN($A62)))))</f>
        <v/>
      </c>
      <c r="C62" s="25"/>
      <c r="D62" s="68"/>
      <c r="E62" s="27"/>
      <c r="F62" s="38" t="str">
        <f aca="false">IF($B62="","",IFERROR(INDEX(Rubric!$C$14:$C$23,MATCH(LOWER($B62),Rubric!$A$14:$A$23,0)),INDEX(Rubric!$C$14:$C$23,MATCH("other",Rubric!$A$14:$A$23,0))))</f>
        <v/>
      </c>
      <c r="G62" s="39" t="str">
        <f aca="true">IF(OR($A62="",$D62=""),"",YEARFRAC($D62,TODAY()))</f>
        <v/>
      </c>
      <c r="H62" s="69" t="str">
        <f aca="false">IF($G62="","",MAX(0,INT($G62)))</f>
        <v/>
      </c>
      <c r="I62" s="42" t="str">
        <f aca="false">IF(OR($F62="",$H62=""),"",$F62*$H62)</f>
        <v/>
      </c>
      <c r="J62" s="42" t="str">
        <f aca="false">IF(OR($A62="",$E62=""),"",$E62+IF($I62="",0,$I62))</f>
        <v/>
      </c>
      <c r="K62" s="42" t="str">
        <f aca="false">IF(OR($J62="",$J62=0),"",$J62/(1-Assumptions!$B$4))</f>
        <v/>
      </c>
      <c r="L62" s="42" t="str">
        <f aca="false">IF($K62="","",MAX($K62,$E62*Assumptions!$B$10))</f>
        <v/>
      </c>
      <c r="M62" s="27"/>
      <c r="N62" s="35"/>
    </row>
    <row r="63" customFormat="false" ht="15" hidden="false" customHeight="false" outlineLevel="0" collapsed="false">
      <c r="A63" s="67"/>
      <c r="B63" s="36" t="str">
        <f aca="false">IF($A63="","",IF(ISERROR(FIND(".",$A63)),"",LOWER(MID($A63,FIND(CHAR(1),SUBSTITUTE($A63,".",CHAR(1),LEN($A63)-LEN(SUBSTITUTE($A63,".",""))))+1,LEN($A63)))))</f>
        <v/>
      </c>
      <c r="C63" s="25"/>
      <c r="D63" s="68"/>
      <c r="E63" s="27"/>
      <c r="F63" s="38" t="str">
        <f aca="false">IF($B63="","",IFERROR(INDEX(Rubric!$C$14:$C$23,MATCH(LOWER($B63),Rubric!$A$14:$A$23,0)),INDEX(Rubric!$C$14:$C$23,MATCH("other",Rubric!$A$14:$A$23,0))))</f>
        <v/>
      </c>
      <c r="G63" s="39" t="str">
        <f aca="true">IF(OR($A63="",$D63=""),"",YEARFRAC($D63,TODAY()))</f>
        <v/>
      </c>
      <c r="H63" s="69" t="str">
        <f aca="false">IF($G63="","",MAX(0,INT($G63)))</f>
        <v/>
      </c>
      <c r="I63" s="42" t="str">
        <f aca="false">IF(OR($F63="",$H63=""),"",$F63*$H63)</f>
        <v/>
      </c>
      <c r="J63" s="42" t="str">
        <f aca="false">IF(OR($A63="",$E63=""),"",$E63+IF($I63="",0,$I63))</f>
        <v/>
      </c>
      <c r="K63" s="42" t="str">
        <f aca="false">IF(OR($J63="",$J63=0),"",$J63/(1-Assumptions!$B$4))</f>
        <v/>
      </c>
      <c r="L63" s="42" t="str">
        <f aca="false">IF($K63="","",MAX($K63,$E63*Assumptions!$B$10))</f>
        <v/>
      </c>
      <c r="M63" s="27"/>
      <c r="N63" s="35"/>
    </row>
    <row r="64" customFormat="false" ht="15" hidden="false" customHeight="false" outlineLevel="0" collapsed="false">
      <c r="A64" s="67"/>
      <c r="B64" s="36" t="str">
        <f aca="false">IF($A64="","",IF(ISERROR(FIND(".",$A64)),"",LOWER(MID($A64,FIND(CHAR(1),SUBSTITUTE($A64,".",CHAR(1),LEN($A64)-LEN(SUBSTITUTE($A64,".",""))))+1,LEN($A64)))))</f>
        <v/>
      </c>
      <c r="C64" s="25"/>
      <c r="D64" s="68"/>
      <c r="E64" s="27"/>
      <c r="F64" s="38" t="str">
        <f aca="false">IF($B64="","",IFERROR(INDEX(Rubric!$C$14:$C$23,MATCH(LOWER($B64),Rubric!$A$14:$A$23,0)),INDEX(Rubric!$C$14:$C$23,MATCH("other",Rubric!$A$14:$A$23,0))))</f>
        <v/>
      </c>
      <c r="G64" s="39" t="str">
        <f aca="true">IF(OR($A64="",$D64=""),"",YEARFRAC($D64,TODAY()))</f>
        <v/>
      </c>
      <c r="H64" s="69" t="str">
        <f aca="false">IF($G64="","",MAX(0,INT($G64)))</f>
        <v/>
      </c>
      <c r="I64" s="42" t="str">
        <f aca="false">IF(OR($F64="",$H64=""),"",$F64*$H64)</f>
        <v/>
      </c>
      <c r="J64" s="42" t="str">
        <f aca="false">IF(OR($A64="",$E64=""),"",$E64+IF($I64="",0,$I64))</f>
        <v/>
      </c>
      <c r="K64" s="42" t="str">
        <f aca="false">IF(OR($J64="",$J64=0),"",$J64/(1-Assumptions!$B$4))</f>
        <v/>
      </c>
      <c r="L64" s="42" t="str">
        <f aca="false">IF($K64="","",MAX($K64,$E64*Assumptions!$B$10))</f>
        <v/>
      </c>
      <c r="M64" s="27"/>
      <c r="N64" s="35"/>
    </row>
    <row r="65" customFormat="false" ht="15" hidden="false" customHeight="false" outlineLevel="0" collapsed="false">
      <c r="A65" s="67"/>
      <c r="B65" s="36" t="str">
        <f aca="false">IF($A65="","",IF(ISERROR(FIND(".",$A65)),"",LOWER(MID($A65,FIND(CHAR(1),SUBSTITUTE($A65,".",CHAR(1),LEN($A65)-LEN(SUBSTITUTE($A65,".",""))))+1,LEN($A65)))))</f>
        <v/>
      </c>
      <c r="C65" s="25"/>
      <c r="D65" s="68"/>
      <c r="E65" s="27"/>
      <c r="F65" s="38" t="str">
        <f aca="false">IF($B65="","",IFERROR(INDEX(Rubric!$C$14:$C$23,MATCH(LOWER($B65),Rubric!$A$14:$A$23,0)),INDEX(Rubric!$C$14:$C$23,MATCH("other",Rubric!$A$14:$A$23,0))))</f>
        <v/>
      </c>
      <c r="G65" s="39" t="str">
        <f aca="true">IF(OR($A65="",$D65=""),"",YEARFRAC($D65,TODAY()))</f>
        <v/>
      </c>
      <c r="H65" s="69" t="str">
        <f aca="false">IF($G65="","",MAX(0,INT($G65)))</f>
        <v/>
      </c>
      <c r="I65" s="42" t="str">
        <f aca="false">IF(OR($F65="",$H65=""),"",$F65*$H65)</f>
        <v/>
      </c>
      <c r="J65" s="42" t="str">
        <f aca="false">IF(OR($A65="",$E65=""),"",$E65+IF($I65="",0,$I65))</f>
        <v/>
      </c>
      <c r="K65" s="42" t="str">
        <f aca="false">IF(OR($J65="",$J65=0),"",$J65/(1-Assumptions!$B$4))</f>
        <v/>
      </c>
      <c r="L65" s="42" t="str">
        <f aca="false">IF($K65="","",MAX($K65,$E65*Assumptions!$B$10))</f>
        <v/>
      </c>
      <c r="M65" s="27"/>
      <c r="N65" s="35"/>
    </row>
    <row r="66" customFormat="false" ht="15" hidden="false" customHeight="false" outlineLevel="0" collapsed="false">
      <c r="A66" s="67"/>
      <c r="B66" s="36" t="str">
        <f aca="false">IF($A66="","",IF(ISERROR(FIND(".",$A66)),"",LOWER(MID($A66,FIND(CHAR(1),SUBSTITUTE($A66,".",CHAR(1),LEN($A66)-LEN(SUBSTITUTE($A66,".",""))))+1,LEN($A66)))))</f>
        <v/>
      </c>
      <c r="C66" s="25"/>
      <c r="D66" s="68"/>
      <c r="E66" s="27"/>
      <c r="F66" s="38" t="str">
        <f aca="false">IF($B66="","",IFERROR(INDEX(Rubric!$C$14:$C$23,MATCH(LOWER($B66),Rubric!$A$14:$A$23,0)),INDEX(Rubric!$C$14:$C$23,MATCH("other",Rubric!$A$14:$A$23,0))))</f>
        <v/>
      </c>
      <c r="G66" s="39" t="str">
        <f aca="true">IF(OR($A66="",$D66=""),"",YEARFRAC($D66,TODAY()))</f>
        <v/>
      </c>
      <c r="H66" s="69" t="str">
        <f aca="false">IF($G66="","",MAX(0,INT($G66)))</f>
        <v/>
      </c>
      <c r="I66" s="42" t="str">
        <f aca="false">IF(OR($F66="",$H66=""),"",$F66*$H66)</f>
        <v/>
      </c>
      <c r="J66" s="42" t="str">
        <f aca="false">IF(OR($A66="",$E66=""),"",$E66+IF($I66="",0,$I66))</f>
        <v/>
      </c>
      <c r="K66" s="42" t="str">
        <f aca="false">IF(OR($J66="",$J66=0),"",$J66/(1-Assumptions!$B$4))</f>
        <v/>
      </c>
      <c r="L66" s="42" t="str">
        <f aca="false">IF($K66="","",MAX($K66,$E66*Assumptions!$B$10))</f>
        <v/>
      </c>
      <c r="M66" s="27"/>
      <c r="N66" s="35"/>
    </row>
    <row r="67" customFormat="false" ht="15" hidden="false" customHeight="false" outlineLevel="0" collapsed="false">
      <c r="A67" s="67"/>
      <c r="B67" s="36" t="str">
        <f aca="false">IF($A67="","",IF(ISERROR(FIND(".",$A67)),"",LOWER(MID($A67,FIND(CHAR(1),SUBSTITUTE($A67,".",CHAR(1),LEN($A67)-LEN(SUBSTITUTE($A67,".",""))))+1,LEN($A67)))))</f>
        <v/>
      </c>
      <c r="C67" s="25"/>
      <c r="D67" s="68"/>
      <c r="E67" s="27"/>
      <c r="F67" s="38" t="str">
        <f aca="false">IF($B67="","",IFERROR(INDEX(Rubric!$C$14:$C$23,MATCH(LOWER($B67),Rubric!$A$14:$A$23,0)),INDEX(Rubric!$C$14:$C$23,MATCH("other",Rubric!$A$14:$A$23,0))))</f>
        <v/>
      </c>
      <c r="G67" s="39" t="str">
        <f aca="true">IF(OR($A67="",$D67=""),"",YEARFRAC($D67,TODAY()))</f>
        <v/>
      </c>
      <c r="H67" s="69" t="str">
        <f aca="false">IF($G67="","",MAX(0,INT($G67)))</f>
        <v/>
      </c>
      <c r="I67" s="42" t="str">
        <f aca="false">IF(OR($F67="",$H67=""),"",$F67*$H67)</f>
        <v/>
      </c>
      <c r="J67" s="42" t="str">
        <f aca="false">IF(OR($A67="",$E67=""),"",$E67+IF($I67="",0,$I67))</f>
        <v/>
      </c>
      <c r="K67" s="42" t="str">
        <f aca="false">IF(OR($J67="",$J67=0),"",$J67/(1-Assumptions!$B$4))</f>
        <v/>
      </c>
      <c r="L67" s="42" t="str">
        <f aca="false">IF($K67="","",MAX($K67,$E67*Assumptions!$B$10))</f>
        <v/>
      </c>
      <c r="M67" s="27"/>
      <c r="N67" s="35"/>
    </row>
    <row r="68" customFormat="false" ht="15" hidden="false" customHeight="false" outlineLevel="0" collapsed="false">
      <c r="A68" s="67"/>
      <c r="B68" s="36" t="str">
        <f aca="false">IF($A68="","",IF(ISERROR(FIND(".",$A68)),"",LOWER(MID($A68,FIND(CHAR(1),SUBSTITUTE($A68,".",CHAR(1),LEN($A68)-LEN(SUBSTITUTE($A68,".",""))))+1,LEN($A68)))))</f>
        <v/>
      </c>
      <c r="C68" s="25"/>
      <c r="D68" s="68"/>
      <c r="E68" s="27"/>
      <c r="F68" s="38" t="str">
        <f aca="false">IF($B68="","",IFERROR(INDEX(Rubric!$C$14:$C$23,MATCH(LOWER($B68),Rubric!$A$14:$A$23,0)),INDEX(Rubric!$C$14:$C$23,MATCH("other",Rubric!$A$14:$A$23,0))))</f>
        <v/>
      </c>
      <c r="G68" s="39" t="str">
        <f aca="true">IF(OR($A68="",$D68=""),"",YEARFRAC($D68,TODAY()))</f>
        <v/>
      </c>
      <c r="H68" s="69" t="str">
        <f aca="false">IF($G68="","",MAX(0,INT($G68)))</f>
        <v/>
      </c>
      <c r="I68" s="42" t="str">
        <f aca="false">IF(OR($F68="",$H68=""),"",$F68*$H68)</f>
        <v/>
      </c>
      <c r="J68" s="42" t="str">
        <f aca="false">IF(OR($A68="",$E68=""),"",$E68+IF($I68="",0,$I68))</f>
        <v/>
      </c>
      <c r="K68" s="42" t="str">
        <f aca="false">IF(OR($J68="",$J68=0),"",$J68/(1-Assumptions!$B$4))</f>
        <v/>
      </c>
      <c r="L68" s="42" t="str">
        <f aca="false">IF($K68="","",MAX($K68,$E68*Assumptions!$B$10))</f>
        <v/>
      </c>
      <c r="M68" s="27"/>
      <c r="N68" s="35"/>
    </row>
    <row r="69" customFormat="false" ht="15" hidden="false" customHeight="false" outlineLevel="0" collapsed="false">
      <c r="A69" s="67"/>
      <c r="B69" s="36" t="str">
        <f aca="false">IF($A69="","",IF(ISERROR(FIND(".",$A69)),"",LOWER(MID($A69,FIND(CHAR(1),SUBSTITUTE($A69,".",CHAR(1),LEN($A69)-LEN(SUBSTITUTE($A69,".",""))))+1,LEN($A69)))))</f>
        <v/>
      </c>
      <c r="C69" s="25"/>
      <c r="D69" s="68"/>
      <c r="E69" s="27"/>
      <c r="F69" s="38" t="str">
        <f aca="false">IF($B69="","",IFERROR(INDEX(Rubric!$C$14:$C$23,MATCH(LOWER($B69),Rubric!$A$14:$A$23,0)),INDEX(Rubric!$C$14:$C$23,MATCH("other",Rubric!$A$14:$A$23,0))))</f>
        <v/>
      </c>
      <c r="G69" s="39" t="str">
        <f aca="true">IF(OR($A69="",$D69=""),"",YEARFRAC($D69,TODAY()))</f>
        <v/>
      </c>
      <c r="H69" s="69" t="str">
        <f aca="false">IF($G69="","",MAX(0,INT($G69)))</f>
        <v/>
      </c>
      <c r="I69" s="42" t="str">
        <f aca="false">IF(OR($F69="",$H69=""),"",$F69*$H69)</f>
        <v/>
      </c>
      <c r="J69" s="42" t="str">
        <f aca="false">IF(OR($A69="",$E69=""),"",$E69+IF($I69="",0,$I69))</f>
        <v/>
      </c>
      <c r="K69" s="42" t="str">
        <f aca="false">IF(OR($J69="",$J69=0),"",$J69/(1-Assumptions!$B$4))</f>
        <v/>
      </c>
      <c r="L69" s="42" t="str">
        <f aca="false">IF($K69="","",MAX($K69,$E69*Assumptions!$B$10))</f>
        <v/>
      </c>
      <c r="M69" s="27"/>
      <c r="N69" s="35"/>
    </row>
    <row r="70" customFormat="false" ht="15" hidden="false" customHeight="false" outlineLevel="0" collapsed="false">
      <c r="A70" s="67"/>
      <c r="B70" s="36" t="str">
        <f aca="false">IF($A70="","",IF(ISERROR(FIND(".",$A70)),"",LOWER(MID($A70,FIND(CHAR(1),SUBSTITUTE($A70,".",CHAR(1),LEN($A70)-LEN(SUBSTITUTE($A70,".",""))))+1,LEN($A70)))))</f>
        <v/>
      </c>
      <c r="C70" s="25"/>
      <c r="D70" s="68"/>
      <c r="E70" s="27"/>
      <c r="F70" s="38" t="str">
        <f aca="false">IF($B70="","",IFERROR(INDEX(Rubric!$C$14:$C$23,MATCH(LOWER($B70),Rubric!$A$14:$A$23,0)),INDEX(Rubric!$C$14:$C$23,MATCH("other",Rubric!$A$14:$A$23,0))))</f>
        <v/>
      </c>
      <c r="G70" s="39" t="str">
        <f aca="true">IF(OR($A70="",$D70=""),"",YEARFRAC($D70,TODAY()))</f>
        <v/>
      </c>
      <c r="H70" s="69" t="str">
        <f aca="false">IF($G70="","",MAX(0,INT($G70)))</f>
        <v/>
      </c>
      <c r="I70" s="42" t="str">
        <f aca="false">IF(OR($F70="",$H70=""),"",$F70*$H70)</f>
        <v/>
      </c>
      <c r="J70" s="42" t="str">
        <f aca="false">IF(OR($A70="",$E70=""),"",$E70+IF($I70="",0,$I70))</f>
        <v/>
      </c>
      <c r="K70" s="42" t="str">
        <f aca="false">IF(OR($J70="",$J70=0),"",$J70/(1-Assumptions!$B$4))</f>
        <v/>
      </c>
      <c r="L70" s="42" t="str">
        <f aca="false">IF($K70="","",MAX($K70,$E70*Assumptions!$B$10))</f>
        <v/>
      </c>
      <c r="M70" s="27"/>
      <c r="N70" s="35"/>
    </row>
    <row r="71" customFormat="false" ht="15" hidden="false" customHeight="false" outlineLevel="0" collapsed="false">
      <c r="A71" s="67"/>
      <c r="B71" s="36" t="str">
        <f aca="false">IF($A71="","",IF(ISERROR(FIND(".",$A71)),"",LOWER(MID($A71,FIND(CHAR(1),SUBSTITUTE($A71,".",CHAR(1),LEN($A71)-LEN(SUBSTITUTE($A71,".",""))))+1,LEN($A71)))))</f>
        <v/>
      </c>
      <c r="C71" s="25"/>
      <c r="D71" s="68"/>
      <c r="E71" s="27"/>
      <c r="F71" s="38" t="str">
        <f aca="false">IF($B71="","",IFERROR(INDEX(Rubric!$C$14:$C$23,MATCH(LOWER($B71),Rubric!$A$14:$A$23,0)),INDEX(Rubric!$C$14:$C$23,MATCH("other",Rubric!$A$14:$A$23,0))))</f>
        <v/>
      </c>
      <c r="G71" s="39" t="str">
        <f aca="true">IF(OR($A71="",$D71=""),"",YEARFRAC($D71,TODAY()))</f>
        <v/>
      </c>
      <c r="H71" s="69" t="str">
        <f aca="false">IF($G71="","",MAX(0,INT($G71)))</f>
        <v/>
      </c>
      <c r="I71" s="42" t="str">
        <f aca="false">IF(OR($F71="",$H71=""),"",$F71*$H71)</f>
        <v/>
      </c>
      <c r="J71" s="42" t="str">
        <f aca="false">IF(OR($A71="",$E71=""),"",$E71+IF($I71="",0,$I71))</f>
        <v/>
      </c>
      <c r="K71" s="42" t="str">
        <f aca="false">IF(OR($J71="",$J71=0),"",$J71/(1-Assumptions!$B$4))</f>
        <v/>
      </c>
      <c r="L71" s="42" t="str">
        <f aca="false">IF($K71="","",MAX($K71,$E71*Assumptions!$B$10))</f>
        <v/>
      </c>
      <c r="M71" s="27"/>
      <c r="N71" s="35"/>
    </row>
    <row r="72" customFormat="false" ht="15" hidden="false" customHeight="false" outlineLevel="0" collapsed="false">
      <c r="A72" s="67"/>
      <c r="B72" s="36" t="str">
        <f aca="false">IF($A72="","",IF(ISERROR(FIND(".",$A72)),"",LOWER(MID($A72,FIND(CHAR(1),SUBSTITUTE($A72,".",CHAR(1),LEN($A72)-LEN(SUBSTITUTE($A72,".",""))))+1,LEN($A72)))))</f>
        <v/>
      </c>
      <c r="C72" s="25"/>
      <c r="D72" s="68"/>
      <c r="E72" s="27"/>
      <c r="F72" s="38" t="str">
        <f aca="false">IF($B72="","",IFERROR(INDEX(Rubric!$C$14:$C$23,MATCH(LOWER($B72),Rubric!$A$14:$A$23,0)),INDEX(Rubric!$C$14:$C$23,MATCH("other",Rubric!$A$14:$A$23,0))))</f>
        <v/>
      </c>
      <c r="G72" s="39" t="str">
        <f aca="true">IF(OR($A72="",$D72=""),"",YEARFRAC($D72,TODAY()))</f>
        <v/>
      </c>
      <c r="H72" s="69" t="str">
        <f aca="false">IF($G72="","",MAX(0,INT($G72)))</f>
        <v/>
      </c>
      <c r="I72" s="42" t="str">
        <f aca="false">IF(OR($F72="",$H72=""),"",$F72*$H72)</f>
        <v/>
      </c>
      <c r="J72" s="42" t="str">
        <f aca="false">IF(OR($A72="",$E72=""),"",$E72+IF($I72="",0,$I72))</f>
        <v/>
      </c>
      <c r="K72" s="42" t="str">
        <f aca="false">IF(OR($J72="",$J72=0),"",$J72/(1-Assumptions!$B$4))</f>
        <v/>
      </c>
      <c r="L72" s="42" t="str">
        <f aca="false">IF($K72="","",MAX($K72,$E72*Assumptions!$B$10))</f>
        <v/>
      </c>
      <c r="M72" s="27"/>
      <c r="N72" s="35"/>
    </row>
    <row r="73" customFormat="false" ht="15" hidden="false" customHeight="false" outlineLevel="0" collapsed="false">
      <c r="A73" s="67"/>
      <c r="B73" s="36" t="str">
        <f aca="false">IF($A73="","",IF(ISERROR(FIND(".",$A73)),"",LOWER(MID($A73,FIND(CHAR(1),SUBSTITUTE($A73,".",CHAR(1),LEN($A73)-LEN(SUBSTITUTE($A73,".",""))))+1,LEN($A73)))))</f>
        <v/>
      </c>
      <c r="C73" s="25"/>
      <c r="D73" s="68"/>
      <c r="E73" s="27"/>
      <c r="F73" s="38" t="str">
        <f aca="false">IF($B73="","",IFERROR(INDEX(Rubric!$C$14:$C$23,MATCH(LOWER($B73),Rubric!$A$14:$A$23,0)),INDEX(Rubric!$C$14:$C$23,MATCH("other",Rubric!$A$14:$A$23,0))))</f>
        <v/>
      </c>
      <c r="G73" s="39" t="str">
        <f aca="true">IF(OR($A73="",$D73=""),"",YEARFRAC($D73,TODAY()))</f>
        <v/>
      </c>
      <c r="H73" s="69" t="str">
        <f aca="false">IF($G73="","",MAX(0,INT($G73)))</f>
        <v/>
      </c>
      <c r="I73" s="42" t="str">
        <f aca="false">IF(OR($F73="",$H73=""),"",$F73*$H73)</f>
        <v/>
      </c>
      <c r="J73" s="42" t="str">
        <f aca="false">IF(OR($A73="",$E73=""),"",$E73+IF($I73="",0,$I73))</f>
        <v/>
      </c>
      <c r="K73" s="42" t="str">
        <f aca="false">IF(OR($J73="",$J73=0),"",$J73/(1-Assumptions!$B$4))</f>
        <v/>
      </c>
      <c r="L73" s="42" t="str">
        <f aca="false">IF($K73="","",MAX($K73,$E73*Assumptions!$B$10))</f>
        <v/>
      </c>
      <c r="M73" s="27"/>
      <c r="N73" s="35"/>
    </row>
    <row r="74" customFormat="false" ht="15" hidden="false" customHeight="false" outlineLevel="0" collapsed="false">
      <c r="A74" s="67"/>
      <c r="B74" s="36" t="str">
        <f aca="false">IF($A74="","",IF(ISERROR(FIND(".",$A74)),"",LOWER(MID($A74,FIND(CHAR(1),SUBSTITUTE($A74,".",CHAR(1),LEN($A74)-LEN(SUBSTITUTE($A74,".",""))))+1,LEN($A74)))))</f>
        <v/>
      </c>
      <c r="C74" s="25"/>
      <c r="D74" s="68"/>
      <c r="E74" s="27"/>
      <c r="F74" s="38" t="str">
        <f aca="false">IF($B74="","",IFERROR(INDEX(Rubric!$C$14:$C$23,MATCH(LOWER($B74),Rubric!$A$14:$A$23,0)),INDEX(Rubric!$C$14:$C$23,MATCH("other",Rubric!$A$14:$A$23,0))))</f>
        <v/>
      </c>
      <c r="G74" s="39" t="str">
        <f aca="true">IF(OR($A74="",$D74=""),"",YEARFRAC($D74,TODAY()))</f>
        <v/>
      </c>
      <c r="H74" s="69" t="str">
        <f aca="false">IF($G74="","",MAX(0,INT($G74)))</f>
        <v/>
      </c>
      <c r="I74" s="42" t="str">
        <f aca="false">IF(OR($F74="",$H74=""),"",$F74*$H74)</f>
        <v/>
      </c>
      <c r="J74" s="42" t="str">
        <f aca="false">IF(OR($A74="",$E74=""),"",$E74+IF($I74="",0,$I74))</f>
        <v/>
      </c>
      <c r="K74" s="42" t="str">
        <f aca="false">IF(OR($J74="",$J74=0),"",$J74/(1-Assumptions!$B$4))</f>
        <v/>
      </c>
      <c r="L74" s="42" t="str">
        <f aca="false">IF($K74="","",MAX($K74,$E74*Assumptions!$B$10))</f>
        <v/>
      </c>
      <c r="M74" s="27"/>
      <c r="N74" s="35"/>
    </row>
    <row r="75" customFormat="false" ht="15" hidden="false" customHeight="false" outlineLevel="0" collapsed="false">
      <c r="A75" s="67"/>
      <c r="B75" s="36" t="str">
        <f aca="false">IF($A75="","",IF(ISERROR(FIND(".",$A75)),"",LOWER(MID($A75,FIND(CHAR(1),SUBSTITUTE($A75,".",CHAR(1),LEN($A75)-LEN(SUBSTITUTE($A75,".",""))))+1,LEN($A75)))))</f>
        <v/>
      </c>
      <c r="C75" s="25"/>
      <c r="D75" s="68"/>
      <c r="E75" s="27"/>
      <c r="F75" s="38" t="str">
        <f aca="false">IF($B75="","",IFERROR(INDEX(Rubric!$C$14:$C$23,MATCH(LOWER($B75),Rubric!$A$14:$A$23,0)),INDEX(Rubric!$C$14:$C$23,MATCH("other",Rubric!$A$14:$A$23,0))))</f>
        <v/>
      </c>
      <c r="G75" s="39" t="str">
        <f aca="true">IF(OR($A75="",$D75=""),"",YEARFRAC($D75,TODAY()))</f>
        <v/>
      </c>
      <c r="H75" s="69" t="str">
        <f aca="false">IF($G75="","",MAX(0,INT($G75)))</f>
        <v/>
      </c>
      <c r="I75" s="42" t="str">
        <f aca="false">IF(OR($F75="",$H75=""),"",$F75*$H75)</f>
        <v/>
      </c>
      <c r="J75" s="42" t="str">
        <f aca="false">IF(OR($A75="",$E75=""),"",$E75+IF($I75="",0,$I75))</f>
        <v/>
      </c>
      <c r="K75" s="42" t="str">
        <f aca="false">IF(OR($J75="",$J75=0),"",$J75/(1-Assumptions!$B$4))</f>
        <v/>
      </c>
      <c r="L75" s="42" t="str">
        <f aca="false">IF($K75="","",MAX($K75,$E75*Assumptions!$B$10))</f>
        <v/>
      </c>
      <c r="M75" s="27"/>
      <c r="N75" s="35"/>
    </row>
    <row r="76" customFormat="false" ht="15" hidden="false" customHeight="false" outlineLevel="0" collapsed="false">
      <c r="A76" s="67"/>
      <c r="B76" s="36" t="str">
        <f aca="false">IF($A76="","",IF(ISERROR(FIND(".",$A76)),"",LOWER(MID($A76,FIND(CHAR(1),SUBSTITUTE($A76,".",CHAR(1),LEN($A76)-LEN(SUBSTITUTE($A76,".",""))))+1,LEN($A76)))))</f>
        <v/>
      </c>
      <c r="C76" s="25"/>
      <c r="D76" s="68"/>
      <c r="E76" s="27"/>
      <c r="F76" s="38" t="str">
        <f aca="false">IF($B76="","",IFERROR(INDEX(Rubric!$C$14:$C$23,MATCH(LOWER($B76),Rubric!$A$14:$A$23,0)),INDEX(Rubric!$C$14:$C$23,MATCH("other",Rubric!$A$14:$A$23,0))))</f>
        <v/>
      </c>
      <c r="G76" s="39" t="str">
        <f aca="true">IF(OR($A76="",$D76=""),"",YEARFRAC($D76,TODAY()))</f>
        <v/>
      </c>
      <c r="H76" s="69" t="str">
        <f aca="false">IF($G76="","",MAX(0,INT($G76)))</f>
        <v/>
      </c>
      <c r="I76" s="42" t="str">
        <f aca="false">IF(OR($F76="",$H76=""),"",$F76*$H76)</f>
        <v/>
      </c>
      <c r="J76" s="42" t="str">
        <f aca="false">IF(OR($A76="",$E76=""),"",$E76+IF($I76="",0,$I76))</f>
        <v/>
      </c>
      <c r="K76" s="42" t="str">
        <f aca="false">IF(OR($J76="",$J76=0),"",$J76/(1-Assumptions!$B$4))</f>
        <v/>
      </c>
      <c r="L76" s="42" t="str">
        <f aca="false">IF($K76="","",MAX($K76,$E76*Assumptions!$B$10))</f>
        <v/>
      </c>
      <c r="M76" s="27"/>
      <c r="N76" s="35"/>
    </row>
    <row r="77" customFormat="false" ht="15" hidden="false" customHeight="false" outlineLevel="0" collapsed="false">
      <c r="A77" s="67"/>
      <c r="B77" s="36" t="str">
        <f aca="false">IF($A77="","",IF(ISERROR(FIND(".",$A77)),"",LOWER(MID($A77,FIND(CHAR(1),SUBSTITUTE($A77,".",CHAR(1),LEN($A77)-LEN(SUBSTITUTE($A77,".",""))))+1,LEN($A77)))))</f>
        <v/>
      </c>
      <c r="C77" s="25"/>
      <c r="D77" s="68"/>
      <c r="E77" s="27"/>
      <c r="F77" s="38" t="str">
        <f aca="false">IF($B77="","",IFERROR(INDEX(Rubric!$C$14:$C$23,MATCH(LOWER($B77),Rubric!$A$14:$A$23,0)),INDEX(Rubric!$C$14:$C$23,MATCH("other",Rubric!$A$14:$A$23,0))))</f>
        <v/>
      </c>
      <c r="G77" s="39" t="str">
        <f aca="true">IF(OR($A77="",$D77=""),"",YEARFRAC($D77,TODAY()))</f>
        <v/>
      </c>
      <c r="H77" s="69" t="str">
        <f aca="false">IF($G77="","",MAX(0,INT($G77)))</f>
        <v/>
      </c>
      <c r="I77" s="42" t="str">
        <f aca="false">IF(OR($F77="",$H77=""),"",$F77*$H77)</f>
        <v/>
      </c>
      <c r="J77" s="42" t="str">
        <f aca="false">IF(OR($A77="",$E77=""),"",$E77+IF($I77="",0,$I77))</f>
        <v/>
      </c>
      <c r="K77" s="42" t="str">
        <f aca="false">IF(OR($J77="",$J77=0),"",$J77/(1-Assumptions!$B$4))</f>
        <v/>
      </c>
      <c r="L77" s="42" t="str">
        <f aca="false">IF($K77="","",MAX($K77,$E77*Assumptions!$B$10))</f>
        <v/>
      </c>
      <c r="M77" s="27"/>
      <c r="N77" s="35"/>
    </row>
    <row r="78" customFormat="false" ht="15" hidden="false" customHeight="false" outlineLevel="0" collapsed="false">
      <c r="A78" s="67"/>
      <c r="B78" s="36" t="str">
        <f aca="false">IF($A78="","",IF(ISERROR(FIND(".",$A78)),"",LOWER(MID($A78,FIND(CHAR(1),SUBSTITUTE($A78,".",CHAR(1),LEN($A78)-LEN(SUBSTITUTE($A78,".",""))))+1,LEN($A78)))))</f>
        <v/>
      </c>
      <c r="C78" s="25"/>
      <c r="D78" s="68"/>
      <c r="E78" s="27"/>
      <c r="F78" s="38" t="str">
        <f aca="false">IF($B78="","",IFERROR(INDEX(Rubric!$C$14:$C$23,MATCH(LOWER($B78),Rubric!$A$14:$A$23,0)),INDEX(Rubric!$C$14:$C$23,MATCH("other",Rubric!$A$14:$A$23,0))))</f>
        <v/>
      </c>
      <c r="G78" s="39" t="str">
        <f aca="true">IF(OR($A78="",$D78=""),"",YEARFRAC($D78,TODAY()))</f>
        <v/>
      </c>
      <c r="H78" s="69" t="str">
        <f aca="false">IF($G78="","",MAX(0,INT($G78)))</f>
        <v/>
      </c>
      <c r="I78" s="42" t="str">
        <f aca="false">IF(OR($F78="",$H78=""),"",$F78*$H78)</f>
        <v/>
      </c>
      <c r="J78" s="42" t="str">
        <f aca="false">IF(OR($A78="",$E78=""),"",$E78+IF($I78="",0,$I78))</f>
        <v/>
      </c>
      <c r="K78" s="42" t="str">
        <f aca="false">IF(OR($J78="",$J78=0),"",$J78/(1-Assumptions!$B$4))</f>
        <v/>
      </c>
      <c r="L78" s="42" t="str">
        <f aca="false">IF($K78="","",MAX($K78,$E78*Assumptions!$B$10))</f>
        <v/>
      </c>
      <c r="M78" s="27"/>
      <c r="N78" s="35"/>
    </row>
    <row r="79" customFormat="false" ht="15" hidden="false" customHeight="false" outlineLevel="0" collapsed="false">
      <c r="A79" s="67"/>
      <c r="B79" s="36" t="str">
        <f aca="false">IF($A79="","",IF(ISERROR(FIND(".",$A79)),"",LOWER(MID($A79,FIND(CHAR(1),SUBSTITUTE($A79,".",CHAR(1),LEN($A79)-LEN(SUBSTITUTE($A79,".",""))))+1,LEN($A79)))))</f>
        <v/>
      </c>
      <c r="C79" s="25"/>
      <c r="D79" s="68"/>
      <c r="E79" s="27"/>
      <c r="F79" s="38" t="str">
        <f aca="false">IF($B79="","",IFERROR(INDEX(Rubric!$C$14:$C$23,MATCH(LOWER($B79),Rubric!$A$14:$A$23,0)),INDEX(Rubric!$C$14:$C$23,MATCH("other",Rubric!$A$14:$A$23,0))))</f>
        <v/>
      </c>
      <c r="G79" s="39" t="str">
        <f aca="true">IF(OR($A79="",$D79=""),"",YEARFRAC($D79,TODAY()))</f>
        <v/>
      </c>
      <c r="H79" s="69" t="str">
        <f aca="false">IF($G79="","",MAX(0,INT($G79)))</f>
        <v/>
      </c>
      <c r="I79" s="42" t="str">
        <f aca="false">IF(OR($F79="",$H79=""),"",$F79*$H79)</f>
        <v/>
      </c>
      <c r="J79" s="42" t="str">
        <f aca="false">IF(OR($A79="",$E79=""),"",$E79+IF($I79="",0,$I79))</f>
        <v/>
      </c>
      <c r="K79" s="42" t="str">
        <f aca="false">IF(OR($J79="",$J79=0),"",$J79/(1-Assumptions!$B$4))</f>
        <v/>
      </c>
      <c r="L79" s="42" t="str">
        <f aca="false">IF($K79="","",MAX($K79,$E79*Assumptions!$B$10))</f>
        <v/>
      </c>
      <c r="M79" s="27"/>
      <c r="N79" s="35"/>
    </row>
    <row r="80" customFormat="false" ht="15" hidden="false" customHeight="false" outlineLevel="0" collapsed="false">
      <c r="A80" s="67"/>
      <c r="B80" s="36" t="str">
        <f aca="false">IF($A80="","",IF(ISERROR(FIND(".",$A80)),"",LOWER(MID($A80,FIND(CHAR(1),SUBSTITUTE($A80,".",CHAR(1),LEN($A80)-LEN(SUBSTITUTE($A80,".",""))))+1,LEN($A80)))))</f>
        <v/>
      </c>
      <c r="C80" s="25"/>
      <c r="D80" s="68"/>
      <c r="E80" s="27"/>
      <c r="F80" s="38" t="str">
        <f aca="false">IF($B80="","",IFERROR(INDEX(Rubric!$C$14:$C$23,MATCH(LOWER($B80),Rubric!$A$14:$A$23,0)),INDEX(Rubric!$C$14:$C$23,MATCH("other",Rubric!$A$14:$A$23,0))))</f>
        <v/>
      </c>
      <c r="G80" s="39" t="str">
        <f aca="true">IF(OR($A80="",$D80=""),"",YEARFRAC($D80,TODAY()))</f>
        <v/>
      </c>
      <c r="H80" s="69" t="str">
        <f aca="false">IF($G80="","",MAX(0,INT($G80)))</f>
        <v/>
      </c>
      <c r="I80" s="42" t="str">
        <f aca="false">IF(OR($F80="",$H80=""),"",$F80*$H80)</f>
        <v/>
      </c>
      <c r="J80" s="42" t="str">
        <f aca="false">IF(OR($A80="",$E80=""),"",$E80+IF($I80="",0,$I80))</f>
        <v/>
      </c>
      <c r="K80" s="42" t="str">
        <f aca="false">IF(OR($J80="",$J80=0),"",$J80/(1-Assumptions!$B$4))</f>
        <v/>
      </c>
      <c r="L80" s="42" t="str">
        <f aca="false">IF($K80="","",MAX($K80,$E80*Assumptions!$B$10))</f>
        <v/>
      </c>
      <c r="M80" s="27"/>
      <c r="N80" s="35"/>
    </row>
    <row r="81" customFormat="false" ht="15" hidden="false" customHeight="false" outlineLevel="0" collapsed="false">
      <c r="A81" s="67"/>
      <c r="B81" s="36" t="str">
        <f aca="false">IF($A81="","",IF(ISERROR(FIND(".",$A81)),"",LOWER(MID($A81,FIND(CHAR(1),SUBSTITUTE($A81,".",CHAR(1),LEN($A81)-LEN(SUBSTITUTE($A81,".",""))))+1,LEN($A81)))))</f>
        <v/>
      </c>
      <c r="C81" s="25"/>
      <c r="D81" s="68"/>
      <c r="E81" s="27"/>
      <c r="F81" s="38" t="str">
        <f aca="false">IF($B81="","",IFERROR(INDEX(Rubric!$C$14:$C$23,MATCH(LOWER($B81),Rubric!$A$14:$A$23,0)),INDEX(Rubric!$C$14:$C$23,MATCH("other",Rubric!$A$14:$A$23,0))))</f>
        <v/>
      </c>
      <c r="G81" s="39" t="str">
        <f aca="true">IF(OR($A81="",$D81=""),"",YEARFRAC($D81,TODAY()))</f>
        <v/>
      </c>
      <c r="H81" s="69" t="str">
        <f aca="false">IF($G81="","",MAX(0,INT($G81)))</f>
        <v/>
      </c>
      <c r="I81" s="42" t="str">
        <f aca="false">IF(OR($F81="",$H81=""),"",$F81*$H81)</f>
        <v/>
      </c>
      <c r="J81" s="42" t="str">
        <f aca="false">IF(OR($A81="",$E81=""),"",$E81+IF($I81="",0,$I81))</f>
        <v/>
      </c>
      <c r="K81" s="42" t="str">
        <f aca="false">IF(OR($J81="",$J81=0),"",$J81/(1-Assumptions!$B$4))</f>
        <v/>
      </c>
      <c r="L81" s="42" t="str">
        <f aca="false">IF($K81="","",MAX($K81,$E81*Assumptions!$B$10))</f>
        <v/>
      </c>
      <c r="M81" s="27"/>
      <c r="N81" s="35"/>
    </row>
    <row r="82" customFormat="false" ht="15" hidden="false" customHeight="false" outlineLevel="0" collapsed="false">
      <c r="A82" s="67"/>
      <c r="B82" s="36" t="str">
        <f aca="false">IF($A82="","",IF(ISERROR(FIND(".",$A82)),"",LOWER(MID($A82,FIND(CHAR(1),SUBSTITUTE($A82,".",CHAR(1),LEN($A82)-LEN(SUBSTITUTE($A82,".",""))))+1,LEN($A82)))))</f>
        <v/>
      </c>
      <c r="C82" s="25"/>
      <c r="D82" s="68"/>
      <c r="E82" s="27"/>
      <c r="F82" s="38" t="str">
        <f aca="false">IF($B82="","",IFERROR(INDEX(Rubric!$C$14:$C$23,MATCH(LOWER($B82),Rubric!$A$14:$A$23,0)),INDEX(Rubric!$C$14:$C$23,MATCH("other",Rubric!$A$14:$A$23,0))))</f>
        <v/>
      </c>
      <c r="G82" s="39" t="str">
        <f aca="true">IF(OR($A82="",$D82=""),"",YEARFRAC($D82,TODAY()))</f>
        <v/>
      </c>
      <c r="H82" s="69" t="str">
        <f aca="false">IF($G82="","",MAX(0,INT($G82)))</f>
        <v/>
      </c>
      <c r="I82" s="42" t="str">
        <f aca="false">IF(OR($F82="",$H82=""),"",$F82*$H82)</f>
        <v/>
      </c>
      <c r="J82" s="42" t="str">
        <f aca="false">IF(OR($A82="",$E82=""),"",$E82+IF($I82="",0,$I82))</f>
        <v/>
      </c>
      <c r="K82" s="42" t="str">
        <f aca="false">IF(OR($J82="",$J82=0),"",$J82/(1-Assumptions!$B$4))</f>
        <v/>
      </c>
      <c r="L82" s="42" t="str">
        <f aca="false">IF($K82="","",MAX($K82,$E82*Assumptions!$B$10))</f>
        <v/>
      </c>
      <c r="M82" s="27"/>
      <c r="N82" s="35"/>
    </row>
    <row r="83" customFormat="false" ht="15" hidden="false" customHeight="false" outlineLevel="0" collapsed="false">
      <c r="A83" s="67"/>
      <c r="B83" s="36" t="str">
        <f aca="false">IF($A83="","",IF(ISERROR(FIND(".",$A83)),"",LOWER(MID($A83,FIND(CHAR(1),SUBSTITUTE($A83,".",CHAR(1),LEN($A83)-LEN(SUBSTITUTE($A83,".",""))))+1,LEN($A83)))))</f>
        <v/>
      </c>
      <c r="C83" s="25"/>
      <c r="D83" s="68"/>
      <c r="E83" s="27"/>
      <c r="F83" s="38" t="str">
        <f aca="false">IF($B83="","",IFERROR(INDEX(Rubric!$C$14:$C$23,MATCH(LOWER($B83),Rubric!$A$14:$A$23,0)),INDEX(Rubric!$C$14:$C$23,MATCH("other",Rubric!$A$14:$A$23,0))))</f>
        <v/>
      </c>
      <c r="G83" s="39" t="str">
        <f aca="true">IF(OR($A83="",$D83=""),"",YEARFRAC($D83,TODAY()))</f>
        <v/>
      </c>
      <c r="H83" s="69" t="str">
        <f aca="false">IF($G83="","",MAX(0,INT($G83)))</f>
        <v/>
      </c>
      <c r="I83" s="42" t="str">
        <f aca="false">IF(OR($F83="",$H83=""),"",$F83*$H83)</f>
        <v/>
      </c>
      <c r="J83" s="42" t="str">
        <f aca="false">IF(OR($A83="",$E83=""),"",$E83+IF($I83="",0,$I83))</f>
        <v/>
      </c>
      <c r="K83" s="42" t="str">
        <f aca="false">IF(OR($J83="",$J83=0),"",$J83/(1-Assumptions!$B$4))</f>
        <v/>
      </c>
      <c r="L83" s="42" t="str">
        <f aca="false">IF($K83="","",MAX($K83,$E83*Assumptions!$B$10))</f>
        <v/>
      </c>
      <c r="M83" s="27"/>
      <c r="N83" s="35"/>
    </row>
    <row r="84" customFormat="false" ht="15" hidden="false" customHeight="false" outlineLevel="0" collapsed="false">
      <c r="A84" s="67"/>
      <c r="B84" s="36" t="str">
        <f aca="false">IF($A84="","",IF(ISERROR(FIND(".",$A84)),"",LOWER(MID($A84,FIND(CHAR(1),SUBSTITUTE($A84,".",CHAR(1),LEN($A84)-LEN(SUBSTITUTE($A84,".",""))))+1,LEN($A84)))))</f>
        <v/>
      </c>
      <c r="C84" s="25"/>
      <c r="D84" s="68"/>
      <c r="E84" s="27"/>
      <c r="F84" s="38" t="str">
        <f aca="false">IF($B84="","",IFERROR(INDEX(Rubric!$C$14:$C$23,MATCH(LOWER($B84),Rubric!$A$14:$A$23,0)),INDEX(Rubric!$C$14:$C$23,MATCH("other",Rubric!$A$14:$A$23,0))))</f>
        <v/>
      </c>
      <c r="G84" s="39" t="str">
        <f aca="true">IF(OR($A84="",$D84=""),"",YEARFRAC($D84,TODAY()))</f>
        <v/>
      </c>
      <c r="H84" s="69" t="str">
        <f aca="false">IF($G84="","",MAX(0,INT($G84)))</f>
        <v/>
      </c>
      <c r="I84" s="42" t="str">
        <f aca="false">IF(OR($F84="",$H84=""),"",$F84*$H84)</f>
        <v/>
      </c>
      <c r="J84" s="42" t="str">
        <f aca="false">IF(OR($A84="",$E84=""),"",$E84+IF($I84="",0,$I84))</f>
        <v/>
      </c>
      <c r="K84" s="42" t="str">
        <f aca="false">IF(OR($J84="",$J84=0),"",$J84/(1-Assumptions!$B$4))</f>
        <v/>
      </c>
      <c r="L84" s="42" t="str">
        <f aca="false">IF($K84="","",MAX($K84,$E84*Assumptions!$B$10))</f>
        <v/>
      </c>
      <c r="M84" s="27"/>
      <c r="N84" s="35"/>
    </row>
    <row r="85" customFormat="false" ht="15" hidden="false" customHeight="false" outlineLevel="0" collapsed="false">
      <c r="A85" s="67"/>
      <c r="B85" s="36" t="str">
        <f aca="false">IF($A85="","",IF(ISERROR(FIND(".",$A85)),"",LOWER(MID($A85,FIND(CHAR(1),SUBSTITUTE($A85,".",CHAR(1),LEN($A85)-LEN(SUBSTITUTE($A85,".",""))))+1,LEN($A85)))))</f>
        <v/>
      </c>
      <c r="C85" s="25"/>
      <c r="D85" s="68"/>
      <c r="E85" s="27"/>
      <c r="F85" s="38" t="str">
        <f aca="false">IF($B85="","",IFERROR(INDEX(Rubric!$C$14:$C$23,MATCH(LOWER($B85),Rubric!$A$14:$A$23,0)),INDEX(Rubric!$C$14:$C$23,MATCH("other",Rubric!$A$14:$A$23,0))))</f>
        <v/>
      </c>
      <c r="G85" s="39" t="str">
        <f aca="true">IF(OR($A85="",$D85=""),"",YEARFRAC($D85,TODAY()))</f>
        <v/>
      </c>
      <c r="H85" s="69" t="str">
        <f aca="false">IF($G85="","",MAX(0,INT($G85)))</f>
        <v/>
      </c>
      <c r="I85" s="42" t="str">
        <f aca="false">IF(OR($F85="",$H85=""),"",$F85*$H85)</f>
        <v/>
      </c>
      <c r="J85" s="42" t="str">
        <f aca="false">IF(OR($A85="",$E85=""),"",$E85+IF($I85="",0,$I85))</f>
        <v/>
      </c>
      <c r="K85" s="42" t="str">
        <f aca="false">IF(OR($J85="",$J85=0),"",$J85/(1-Assumptions!$B$4))</f>
        <v/>
      </c>
      <c r="L85" s="42" t="str">
        <f aca="false">IF($K85="","",MAX($K85,$E85*Assumptions!$B$10))</f>
        <v/>
      </c>
      <c r="M85" s="27"/>
      <c r="N85" s="35"/>
    </row>
    <row r="86" customFormat="false" ht="15" hidden="false" customHeight="false" outlineLevel="0" collapsed="false">
      <c r="A86" s="67"/>
      <c r="B86" s="36" t="str">
        <f aca="false">IF($A86="","",IF(ISERROR(FIND(".",$A86)),"",LOWER(MID($A86,FIND(CHAR(1),SUBSTITUTE($A86,".",CHAR(1),LEN($A86)-LEN(SUBSTITUTE($A86,".",""))))+1,LEN($A86)))))</f>
        <v/>
      </c>
      <c r="C86" s="25"/>
      <c r="D86" s="68"/>
      <c r="E86" s="27"/>
      <c r="F86" s="38" t="str">
        <f aca="false">IF($B86="","",IFERROR(INDEX(Rubric!$C$14:$C$23,MATCH(LOWER($B86),Rubric!$A$14:$A$23,0)),INDEX(Rubric!$C$14:$C$23,MATCH("other",Rubric!$A$14:$A$23,0))))</f>
        <v/>
      </c>
      <c r="G86" s="39" t="str">
        <f aca="true">IF(OR($A86="",$D86=""),"",YEARFRAC($D86,TODAY()))</f>
        <v/>
      </c>
      <c r="H86" s="69" t="str">
        <f aca="false">IF($G86="","",MAX(0,INT($G86)))</f>
        <v/>
      </c>
      <c r="I86" s="42" t="str">
        <f aca="false">IF(OR($F86="",$H86=""),"",$F86*$H86)</f>
        <v/>
      </c>
      <c r="J86" s="42" t="str">
        <f aca="false">IF(OR($A86="",$E86=""),"",$E86+IF($I86="",0,$I86))</f>
        <v/>
      </c>
      <c r="K86" s="42" t="str">
        <f aca="false">IF(OR($J86="",$J86=0),"",$J86/(1-Assumptions!$B$4))</f>
        <v/>
      </c>
      <c r="L86" s="42" t="str">
        <f aca="false">IF($K86="","",MAX($K86,$E86*Assumptions!$B$10))</f>
        <v/>
      </c>
      <c r="M86" s="27"/>
      <c r="N86" s="35"/>
    </row>
    <row r="87" customFormat="false" ht="15" hidden="false" customHeight="false" outlineLevel="0" collapsed="false">
      <c r="A87" s="67"/>
      <c r="B87" s="36" t="str">
        <f aca="false">IF($A87="","",IF(ISERROR(FIND(".",$A87)),"",LOWER(MID($A87,FIND(CHAR(1),SUBSTITUTE($A87,".",CHAR(1),LEN($A87)-LEN(SUBSTITUTE($A87,".",""))))+1,LEN($A87)))))</f>
        <v/>
      </c>
      <c r="C87" s="25"/>
      <c r="D87" s="68"/>
      <c r="E87" s="27"/>
      <c r="F87" s="38" t="str">
        <f aca="false">IF($B87="","",IFERROR(INDEX(Rubric!$C$14:$C$23,MATCH(LOWER($B87),Rubric!$A$14:$A$23,0)),INDEX(Rubric!$C$14:$C$23,MATCH("other",Rubric!$A$14:$A$23,0))))</f>
        <v/>
      </c>
      <c r="G87" s="39" t="str">
        <f aca="true">IF(OR($A87="",$D87=""),"",YEARFRAC($D87,TODAY()))</f>
        <v/>
      </c>
      <c r="H87" s="69" t="str">
        <f aca="false">IF($G87="","",MAX(0,INT($G87)))</f>
        <v/>
      </c>
      <c r="I87" s="42" t="str">
        <f aca="false">IF(OR($F87="",$H87=""),"",$F87*$H87)</f>
        <v/>
      </c>
      <c r="J87" s="42" t="str">
        <f aca="false">IF(OR($A87="",$E87=""),"",$E87+IF($I87="",0,$I87))</f>
        <v/>
      </c>
      <c r="K87" s="42" t="str">
        <f aca="false">IF(OR($J87="",$J87=0),"",$J87/(1-Assumptions!$B$4))</f>
        <v/>
      </c>
      <c r="L87" s="42" t="str">
        <f aca="false">IF($K87="","",MAX($K87,$E87*Assumptions!$B$10))</f>
        <v/>
      </c>
      <c r="M87" s="27"/>
      <c r="N87" s="35"/>
    </row>
    <row r="88" customFormat="false" ht="15" hidden="false" customHeight="false" outlineLevel="0" collapsed="false">
      <c r="A88" s="67"/>
      <c r="B88" s="36" t="str">
        <f aca="false">IF($A88="","",IF(ISERROR(FIND(".",$A88)),"",LOWER(MID($A88,FIND(CHAR(1),SUBSTITUTE($A88,".",CHAR(1),LEN($A88)-LEN(SUBSTITUTE($A88,".",""))))+1,LEN($A88)))))</f>
        <v/>
      </c>
      <c r="C88" s="25"/>
      <c r="D88" s="68"/>
      <c r="E88" s="27"/>
      <c r="F88" s="38" t="str">
        <f aca="false">IF($B88="","",IFERROR(INDEX(Rubric!$C$14:$C$23,MATCH(LOWER($B88),Rubric!$A$14:$A$23,0)),INDEX(Rubric!$C$14:$C$23,MATCH("other",Rubric!$A$14:$A$23,0))))</f>
        <v/>
      </c>
      <c r="G88" s="39" t="str">
        <f aca="true">IF(OR($A88="",$D88=""),"",YEARFRAC($D88,TODAY()))</f>
        <v/>
      </c>
      <c r="H88" s="69" t="str">
        <f aca="false">IF($G88="","",MAX(0,INT($G88)))</f>
        <v/>
      </c>
      <c r="I88" s="42" t="str">
        <f aca="false">IF(OR($F88="",$H88=""),"",$F88*$H88)</f>
        <v/>
      </c>
      <c r="J88" s="42" t="str">
        <f aca="false">IF(OR($A88="",$E88=""),"",$E88+IF($I88="",0,$I88))</f>
        <v/>
      </c>
      <c r="K88" s="42" t="str">
        <f aca="false">IF(OR($J88="",$J88=0),"",$J88/(1-Assumptions!$B$4))</f>
        <v/>
      </c>
      <c r="L88" s="42" t="str">
        <f aca="false">IF($K88="","",MAX($K88,$E88*Assumptions!$B$10))</f>
        <v/>
      </c>
      <c r="M88" s="27"/>
      <c r="N88" s="35"/>
    </row>
    <row r="89" customFormat="false" ht="15" hidden="false" customHeight="false" outlineLevel="0" collapsed="false">
      <c r="A89" s="67"/>
      <c r="B89" s="36" t="str">
        <f aca="false">IF($A89="","",IF(ISERROR(FIND(".",$A89)),"",LOWER(MID($A89,FIND(CHAR(1),SUBSTITUTE($A89,".",CHAR(1),LEN($A89)-LEN(SUBSTITUTE($A89,".",""))))+1,LEN($A89)))))</f>
        <v/>
      </c>
      <c r="C89" s="25"/>
      <c r="D89" s="68"/>
      <c r="E89" s="27"/>
      <c r="F89" s="38" t="str">
        <f aca="false">IF($B89="","",IFERROR(INDEX(Rubric!$C$14:$C$23,MATCH(LOWER($B89),Rubric!$A$14:$A$23,0)),INDEX(Rubric!$C$14:$C$23,MATCH("other",Rubric!$A$14:$A$23,0))))</f>
        <v/>
      </c>
      <c r="G89" s="39" t="str">
        <f aca="true">IF(OR($A89="",$D89=""),"",YEARFRAC($D89,TODAY()))</f>
        <v/>
      </c>
      <c r="H89" s="69" t="str">
        <f aca="false">IF($G89="","",MAX(0,INT($G89)))</f>
        <v/>
      </c>
      <c r="I89" s="42" t="str">
        <f aca="false">IF(OR($F89="",$H89=""),"",$F89*$H89)</f>
        <v/>
      </c>
      <c r="J89" s="42" t="str">
        <f aca="false">IF(OR($A89="",$E89=""),"",$E89+IF($I89="",0,$I89))</f>
        <v/>
      </c>
      <c r="K89" s="42" t="str">
        <f aca="false">IF(OR($J89="",$J89=0),"",$J89/(1-Assumptions!$B$4))</f>
        <v/>
      </c>
      <c r="L89" s="42" t="str">
        <f aca="false">IF($K89="","",MAX($K89,$E89*Assumptions!$B$10))</f>
        <v/>
      </c>
      <c r="M89" s="27"/>
      <c r="N89" s="35"/>
    </row>
    <row r="90" customFormat="false" ht="15" hidden="false" customHeight="false" outlineLevel="0" collapsed="false">
      <c r="A90" s="67"/>
      <c r="B90" s="36" t="str">
        <f aca="false">IF($A90="","",IF(ISERROR(FIND(".",$A90)),"",LOWER(MID($A90,FIND(CHAR(1),SUBSTITUTE($A90,".",CHAR(1),LEN($A90)-LEN(SUBSTITUTE($A90,".",""))))+1,LEN($A90)))))</f>
        <v/>
      </c>
      <c r="C90" s="25"/>
      <c r="D90" s="68"/>
      <c r="E90" s="27"/>
      <c r="F90" s="38" t="str">
        <f aca="false">IF($B90="","",IFERROR(INDEX(Rubric!$C$14:$C$23,MATCH(LOWER($B90),Rubric!$A$14:$A$23,0)),INDEX(Rubric!$C$14:$C$23,MATCH("other",Rubric!$A$14:$A$23,0))))</f>
        <v/>
      </c>
      <c r="G90" s="39" t="str">
        <f aca="true">IF(OR($A90="",$D90=""),"",YEARFRAC($D90,TODAY()))</f>
        <v/>
      </c>
      <c r="H90" s="69" t="str">
        <f aca="false">IF($G90="","",MAX(0,INT($G90)))</f>
        <v/>
      </c>
      <c r="I90" s="42" t="str">
        <f aca="false">IF(OR($F90="",$H90=""),"",$F90*$H90)</f>
        <v/>
      </c>
      <c r="J90" s="42" t="str">
        <f aca="false">IF(OR($A90="",$E90=""),"",$E90+IF($I90="",0,$I90))</f>
        <v/>
      </c>
      <c r="K90" s="42" t="str">
        <f aca="false">IF(OR($J90="",$J90=0),"",$J90/(1-Assumptions!$B$4))</f>
        <v/>
      </c>
      <c r="L90" s="42" t="str">
        <f aca="false">IF($K90="","",MAX($K90,$E90*Assumptions!$B$10))</f>
        <v/>
      </c>
      <c r="M90" s="27"/>
      <c r="N90" s="35"/>
    </row>
    <row r="91" customFormat="false" ht="15" hidden="false" customHeight="false" outlineLevel="0" collapsed="false">
      <c r="A91" s="67"/>
      <c r="B91" s="36" t="str">
        <f aca="false">IF($A91="","",IF(ISERROR(FIND(".",$A91)),"",LOWER(MID($A91,FIND(CHAR(1),SUBSTITUTE($A91,".",CHAR(1),LEN($A91)-LEN(SUBSTITUTE($A91,".",""))))+1,LEN($A91)))))</f>
        <v/>
      </c>
      <c r="C91" s="25"/>
      <c r="D91" s="68"/>
      <c r="E91" s="27"/>
      <c r="F91" s="38" t="str">
        <f aca="false">IF($B91="","",IFERROR(INDEX(Rubric!$C$14:$C$23,MATCH(LOWER($B91),Rubric!$A$14:$A$23,0)),INDEX(Rubric!$C$14:$C$23,MATCH("other",Rubric!$A$14:$A$23,0))))</f>
        <v/>
      </c>
      <c r="G91" s="39" t="str">
        <f aca="true">IF(OR($A91="",$D91=""),"",YEARFRAC($D91,TODAY()))</f>
        <v/>
      </c>
      <c r="H91" s="69" t="str">
        <f aca="false">IF($G91="","",MAX(0,INT($G91)))</f>
        <v/>
      </c>
      <c r="I91" s="42" t="str">
        <f aca="false">IF(OR($F91="",$H91=""),"",$F91*$H91)</f>
        <v/>
      </c>
      <c r="J91" s="42" t="str">
        <f aca="false">IF(OR($A91="",$E91=""),"",$E91+IF($I91="",0,$I91))</f>
        <v/>
      </c>
      <c r="K91" s="42" t="str">
        <f aca="false">IF(OR($J91="",$J91=0),"",$J91/(1-Assumptions!$B$4))</f>
        <v/>
      </c>
      <c r="L91" s="42" t="str">
        <f aca="false">IF($K91="","",MAX($K91,$E91*Assumptions!$B$10))</f>
        <v/>
      </c>
      <c r="M91" s="27"/>
      <c r="N91" s="35"/>
    </row>
    <row r="92" customFormat="false" ht="15" hidden="false" customHeight="false" outlineLevel="0" collapsed="false">
      <c r="A92" s="67"/>
      <c r="B92" s="36" t="str">
        <f aca="false">IF($A92="","",IF(ISERROR(FIND(".",$A92)),"",LOWER(MID($A92,FIND(CHAR(1),SUBSTITUTE($A92,".",CHAR(1),LEN($A92)-LEN(SUBSTITUTE($A92,".",""))))+1,LEN($A92)))))</f>
        <v/>
      </c>
      <c r="C92" s="25"/>
      <c r="D92" s="68"/>
      <c r="E92" s="27"/>
      <c r="F92" s="38" t="str">
        <f aca="false">IF($B92="","",IFERROR(INDEX(Rubric!$C$14:$C$23,MATCH(LOWER($B92),Rubric!$A$14:$A$23,0)),INDEX(Rubric!$C$14:$C$23,MATCH("other",Rubric!$A$14:$A$23,0))))</f>
        <v/>
      </c>
      <c r="G92" s="39" t="str">
        <f aca="true">IF(OR($A92="",$D92=""),"",YEARFRAC($D92,TODAY()))</f>
        <v/>
      </c>
      <c r="H92" s="69" t="str">
        <f aca="false">IF($G92="","",MAX(0,INT($G92)))</f>
        <v/>
      </c>
      <c r="I92" s="42" t="str">
        <f aca="false">IF(OR($F92="",$H92=""),"",$F92*$H92)</f>
        <v/>
      </c>
      <c r="J92" s="42" t="str">
        <f aca="false">IF(OR($A92="",$E92=""),"",$E92+IF($I92="",0,$I92))</f>
        <v/>
      </c>
      <c r="K92" s="42" t="str">
        <f aca="false">IF(OR($J92="",$J92=0),"",$J92/(1-Assumptions!$B$4))</f>
        <v/>
      </c>
      <c r="L92" s="42" t="str">
        <f aca="false">IF($K92="","",MAX($K92,$E92*Assumptions!$B$10))</f>
        <v/>
      </c>
      <c r="M92" s="27"/>
      <c r="N92" s="35"/>
    </row>
    <row r="93" customFormat="false" ht="15" hidden="false" customHeight="false" outlineLevel="0" collapsed="false">
      <c r="A93" s="67"/>
      <c r="B93" s="36" t="str">
        <f aca="false">IF($A93="","",IF(ISERROR(FIND(".",$A93)),"",LOWER(MID($A93,FIND(CHAR(1),SUBSTITUTE($A93,".",CHAR(1),LEN($A93)-LEN(SUBSTITUTE($A93,".",""))))+1,LEN($A93)))))</f>
        <v/>
      </c>
      <c r="C93" s="25"/>
      <c r="D93" s="68"/>
      <c r="E93" s="27"/>
      <c r="F93" s="38" t="str">
        <f aca="false">IF($B93="","",IFERROR(INDEX(Rubric!$C$14:$C$23,MATCH(LOWER($B93),Rubric!$A$14:$A$23,0)),INDEX(Rubric!$C$14:$C$23,MATCH("other",Rubric!$A$14:$A$23,0))))</f>
        <v/>
      </c>
      <c r="G93" s="39" t="str">
        <f aca="true">IF(OR($A93="",$D93=""),"",YEARFRAC($D93,TODAY()))</f>
        <v/>
      </c>
      <c r="H93" s="69" t="str">
        <f aca="false">IF($G93="","",MAX(0,INT($G93)))</f>
        <v/>
      </c>
      <c r="I93" s="42" t="str">
        <f aca="false">IF(OR($F93="",$H93=""),"",$F93*$H93)</f>
        <v/>
      </c>
      <c r="J93" s="42" t="str">
        <f aca="false">IF(OR($A93="",$E93=""),"",$E93+IF($I93="",0,$I93))</f>
        <v/>
      </c>
      <c r="K93" s="42" t="str">
        <f aca="false">IF(OR($J93="",$J93=0),"",$J93/(1-Assumptions!$B$4))</f>
        <v/>
      </c>
      <c r="L93" s="42" t="str">
        <f aca="false">IF($K93="","",MAX($K93,$E93*Assumptions!$B$10))</f>
        <v/>
      </c>
      <c r="M93" s="27"/>
      <c r="N93" s="35"/>
    </row>
    <row r="94" customFormat="false" ht="15" hidden="false" customHeight="false" outlineLevel="0" collapsed="false">
      <c r="A94" s="67"/>
      <c r="B94" s="36" t="str">
        <f aca="false">IF($A94="","",IF(ISERROR(FIND(".",$A94)),"",LOWER(MID($A94,FIND(CHAR(1),SUBSTITUTE($A94,".",CHAR(1),LEN($A94)-LEN(SUBSTITUTE($A94,".",""))))+1,LEN($A94)))))</f>
        <v/>
      </c>
      <c r="C94" s="25"/>
      <c r="D94" s="68"/>
      <c r="E94" s="27"/>
      <c r="F94" s="38" t="str">
        <f aca="false">IF($B94="","",IFERROR(INDEX(Rubric!$C$14:$C$23,MATCH(LOWER($B94),Rubric!$A$14:$A$23,0)),INDEX(Rubric!$C$14:$C$23,MATCH("other",Rubric!$A$14:$A$23,0))))</f>
        <v/>
      </c>
      <c r="G94" s="39" t="str">
        <f aca="true">IF(OR($A94="",$D94=""),"",YEARFRAC($D94,TODAY()))</f>
        <v/>
      </c>
      <c r="H94" s="69" t="str">
        <f aca="false">IF($G94="","",MAX(0,INT($G94)))</f>
        <v/>
      </c>
      <c r="I94" s="42" t="str">
        <f aca="false">IF(OR($F94="",$H94=""),"",$F94*$H94)</f>
        <v/>
      </c>
      <c r="J94" s="42" t="str">
        <f aca="false">IF(OR($A94="",$E94=""),"",$E94+IF($I94="",0,$I94))</f>
        <v/>
      </c>
      <c r="K94" s="42" t="str">
        <f aca="false">IF(OR($J94="",$J94=0),"",$J94/(1-Assumptions!$B$4))</f>
        <v/>
      </c>
      <c r="L94" s="42" t="str">
        <f aca="false">IF($K94="","",MAX($K94,$E94*Assumptions!$B$10))</f>
        <v/>
      </c>
      <c r="M94" s="27"/>
      <c r="N94" s="35"/>
    </row>
    <row r="95" customFormat="false" ht="15" hidden="false" customHeight="false" outlineLevel="0" collapsed="false">
      <c r="A95" s="67"/>
      <c r="B95" s="36" t="str">
        <f aca="false">IF($A95="","",IF(ISERROR(FIND(".",$A95)),"",LOWER(MID($A95,FIND(CHAR(1),SUBSTITUTE($A95,".",CHAR(1),LEN($A95)-LEN(SUBSTITUTE($A95,".",""))))+1,LEN($A95)))))</f>
        <v/>
      </c>
      <c r="C95" s="25"/>
      <c r="D95" s="68"/>
      <c r="E95" s="27"/>
      <c r="F95" s="38" t="str">
        <f aca="false">IF($B95="","",IFERROR(INDEX(Rubric!$C$14:$C$23,MATCH(LOWER($B95),Rubric!$A$14:$A$23,0)),INDEX(Rubric!$C$14:$C$23,MATCH("other",Rubric!$A$14:$A$23,0))))</f>
        <v/>
      </c>
      <c r="G95" s="39" t="str">
        <f aca="true">IF(OR($A95="",$D95=""),"",YEARFRAC($D95,TODAY()))</f>
        <v/>
      </c>
      <c r="H95" s="69" t="str">
        <f aca="false">IF($G95="","",MAX(0,INT($G95)))</f>
        <v/>
      </c>
      <c r="I95" s="42" t="str">
        <f aca="false">IF(OR($F95="",$H95=""),"",$F95*$H95)</f>
        <v/>
      </c>
      <c r="J95" s="42" t="str">
        <f aca="false">IF(OR($A95="",$E95=""),"",$E95+IF($I95="",0,$I95))</f>
        <v/>
      </c>
      <c r="K95" s="42" t="str">
        <f aca="false">IF(OR($J95="",$J95=0),"",$J95/(1-Assumptions!$B$4))</f>
        <v/>
      </c>
      <c r="L95" s="42" t="str">
        <f aca="false">IF($K95="","",MAX($K95,$E95*Assumptions!$B$10))</f>
        <v/>
      </c>
      <c r="M95" s="27"/>
      <c r="N95" s="35"/>
    </row>
    <row r="96" customFormat="false" ht="15" hidden="false" customHeight="false" outlineLevel="0" collapsed="false">
      <c r="A96" s="67"/>
      <c r="B96" s="36" t="str">
        <f aca="false">IF($A96="","",IF(ISERROR(FIND(".",$A96)),"",LOWER(MID($A96,FIND(CHAR(1),SUBSTITUTE($A96,".",CHAR(1),LEN($A96)-LEN(SUBSTITUTE($A96,".",""))))+1,LEN($A96)))))</f>
        <v/>
      </c>
      <c r="C96" s="25"/>
      <c r="D96" s="68"/>
      <c r="E96" s="27"/>
      <c r="F96" s="38" t="str">
        <f aca="false">IF($B96="","",IFERROR(INDEX(Rubric!$C$14:$C$23,MATCH(LOWER($B96),Rubric!$A$14:$A$23,0)),INDEX(Rubric!$C$14:$C$23,MATCH("other",Rubric!$A$14:$A$23,0))))</f>
        <v/>
      </c>
      <c r="G96" s="39" t="str">
        <f aca="true">IF(OR($A96="",$D96=""),"",YEARFRAC($D96,TODAY()))</f>
        <v/>
      </c>
      <c r="H96" s="69" t="str">
        <f aca="false">IF($G96="","",MAX(0,INT($G96)))</f>
        <v/>
      </c>
      <c r="I96" s="42" t="str">
        <f aca="false">IF(OR($F96="",$H96=""),"",$F96*$H96)</f>
        <v/>
      </c>
      <c r="J96" s="42" t="str">
        <f aca="false">IF(OR($A96="",$E96=""),"",$E96+IF($I96="",0,$I96))</f>
        <v/>
      </c>
      <c r="K96" s="42" t="str">
        <f aca="false">IF(OR($J96="",$J96=0),"",$J96/(1-Assumptions!$B$4))</f>
        <v/>
      </c>
      <c r="L96" s="42" t="str">
        <f aca="false">IF($K96="","",MAX($K96,$E96*Assumptions!$B$10))</f>
        <v/>
      </c>
      <c r="M96" s="27"/>
      <c r="N96" s="35"/>
    </row>
    <row r="97" customFormat="false" ht="15" hidden="false" customHeight="false" outlineLevel="0" collapsed="false">
      <c r="A97" s="67"/>
      <c r="B97" s="36" t="str">
        <f aca="false">IF($A97="","",IF(ISERROR(FIND(".",$A97)),"",LOWER(MID($A97,FIND(CHAR(1),SUBSTITUTE($A97,".",CHAR(1),LEN($A97)-LEN(SUBSTITUTE($A97,".",""))))+1,LEN($A97)))))</f>
        <v/>
      </c>
      <c r="C97" s="25"/>
      <c r="D97" s="68"/>
      <c r="E97" s="27"/>
      <c r="F97" s="38" t="str">
        <f aca="false">IF($B97="","",IFERROR(INDEX(Rubric!$C$14:$C$23,MATCH(LOWER($B97),Rubric!$A$14:$A$23,0)),INDEX(Rubric!$C$14:$C$23,MATCH("other",Rubric!$A$14:$A$23,0))))</f>
        <v/>
      </c>
      <c r="G97" s="39" t="str">
        <f aca="true">IF(OR($A97="",$D97=""),"",YEARFRAC($D97,TODAY()))</f>
        <v/>
      </c>
      <c r="H97" s="69" t="str">
        <f aca="false">IF($G97="","",MAX(0,INT($G97)))</f>
        <v/>
      </c>
      <c r="I97" s="42" t="str">
        <f aca="false">IF(OR($F97="",$H97=""),"",$F97*$H97)</f>
        <v/>
      </c>
      <c r="J97" s="42" t="str">
        <f aca="false">IF(OR($A97="",$E97=""),"",$E97+IF($I97="",0,$I97))</f>
        <v/>
      </c>
      <c r="K97" s="42" t="str">
        <f aca="false">IF(OR($J97="",$J97=0),"",$J97/(1-Assumptions!$B$4))</f>
        <v/>
      </c>
      <c r="L97" s="42" t="str">
        <f aca="false">IF($K97="","",MAX($K97,$E97*Assumptions!$B$10))</f>
        <v/>
      </c>
      <c r="M97" s="27"/>
      <c r="N97" s="35"/>
    </row>
    <row r="98" customFormat="false" ht="15" hidden="false" customHeight="false" outlineLevel="0" collapsed="false">
      <c r="A98" s="67"/>
      <c r="B98" s="36" t="str">
        <f aca="false">IF($A98="","",IF(ISERROR(FIND(".",$A98)),"",LOWER(MID($A98,FIND(CHAR(1),SUBSTITUTE($A98,".",CHAR(1),LEN($A98)-LEN(SUBSTITUTE($A98,".",""))))+1,LEN($A98)))))</f>
        <v/>
      </c>
      <c r="C98" s="25"/>
      <c r="D98" s="68"/>
      <c r="E98" s="27"/>
      <c r="F98" s="38" t="str">
        <f aca="false">IF($B98="","",IFERROR(INDEX(Rubric!$C$14:$C$23,MATCH(LOWER($B98),Rubric!$A$14:$A$23,0)),INDEX(Rubric!$C$14:$C$23,MATCH("other",Rubric!$A$14:$A$23,0))))</f>
        <v/>
      </c>
      <c r="G98" s="39" t="str">
        <f aca="true">IF(OR($A98="",$D98=""),"",YEARFRAC($D98,TODAY()))</f>
        <v/>
      </c>
      <c r="H98" s="69" t="str">
        <f aca="false">IF($G98="","",MAX(0,INT($G98)))</f>
        <v/>
      </c>
      <c r="I98" s="42" t="str">
        <f aca="false">IF(OR($F98="",$H98=""),"",$F98*$H98)</f>
        <v/>
      </c>
      <c r="J98" s="42" t="str">
        <f aca="false">IF(OR($A98="",$E98=""),"",$E98+IF($I98="",0,$I98))</f>
        <v/>
      </c>
      <c r="K98" s="42" t="str">
        <f aca="false">IF(OR($J98="",$J98=0),"",$J98/(1-Assumptions!$B$4))</f>
        <v/>
      </c>
      <c r="L98" s="42" t="str">
        <f aca="false">IF($K98="","",MAX($K98,$E98*Assumptions!$B$10))</f>
        <v/>
      </c>
      <c r="M98" s="27"/>
      <c r="N98" s="35"/>
    </row>
    <row r="99" customFormat="false" ht="15" hidden="false" customHeight="false" outlineLevel="0" collapsed="false">
      <c r="A99" s="67"/>
      <c r="B99" s="36" t="str">
        <f aca="false">IF($A99="","",IF(ISERROR(FIND(".",$A99)),"",LOWER(MID($A99,FIND(CHAR(1),SUBSTITUTE($A99,".",CHAR(1),LEN($A99)-LEN(SUBSTITUTE($A99,".",""))))+1,LEN($A99)))))</f>
        <v/>
      </c>
      <c r="C99" s="25"/>
      <c r="D99" s="68"/>
      <c r="E99" s="27"/>
      <c r="F99" s="38" t="str">
        <f aca="false">IF($B99="","",IFERROR(INDEX(Rubric!$C$14:$C$23,MATCH(LOWER($B99),Rubric!$A$14:$A$23,0)),INDEX(Rubric!$C$14:$C$23,MATCH("other",Rubric!$A$14:$A$23,0))))</f>
        <v/>
      </c>
      <c r="G99" s="39" t="str">
        <f aca="true">IF(OR($A99="",$D99=""),"",YEARFRAC($D99,TODAY()))</f>
        <v/>
      </c>
      <c r="H99" s="69" t="str">
        <f aca="false">IF($G99="","",MAX(0,INT($G99)))</f>
        <v/>
      </c>
      <c r="I99" s="42" t="str">
        <f aca="false">IF(OR($F99="",$H99=""),"",$F99*$H99)</f>
        <v/>
      </c>
      <c r="J99" s="42" t="str">
        <f aca="false">IF(OR($A99="",$E99=""),"",$E99+IF($I99="",0,$I99))</f>
        <v/>
      </c>
      <c r="K99" s="42" t="str">
        <f aca="false">IF(OR($J99="",$J99=0),"",$J99/(1-Assumptions!$B$4))</f>
        <v/>
      </c>
      <c r="L99" s="42" t="str">
        <f aca="false">IF($K99="","",MAX($K99,$E99*Assumptions!$B$10))</f>
        <v/>
      </c>
      <c r="M99" s="27"/>
      <c r="N99" s="35"/>
    </row>
    <row r="100" customFormat="false" ht="15" hidden="false" customHeight="false" outlineLevel="0" collapsed="false">
      <c r="A100" s="67"/>
      <c r="B100" s="36" t="str">
        <f aca="false">IF($A100="","",IF(ISERROR(FIND(".",$A100)),"",LOWER(MID($A100,FIND(CHAR(1),SUBSTITUTE($A100,".",CHAR(1),LEN($A100)-LEN(SUBSTITUTE($A100,".",""))))+1,LEN($A100)))))</f>
        <v/>
      </c>
      <c r="C100" s="25"/>
      <c r="D100" s="68"/>
      <c r="E100" s="27"/>
      <c r="F100" s="38" t="str">
        <f aca="false">IF($B100="","",IFERROR(INDEX(Rubric!$C$14:$C$23,MATCH(LOWER($B100),Rubric!$A$14:$A$23,0)),INDEX(Rubric!$C$14:$C$23,MATCH("other",Rubric!$A$14:$A$23,0))))</f>
        <v/>
      </c>
      <c r="G100" s="39" t="str">
        <f aca="true">IF(OR($A100="",$D100=""),"",YEARFRAC($D100,TODAY()))</f>
        <v/>
      </c>
      <c r="H100" s="69" t="str">
        <f aca="false">IF($G100="","",MAX(0,INT($G100)))</f>
        <v/>
      </c>
      <c r="I100" s="42" t="str">
        <f aca="false">IF(OR($F100="",$H100=""),"",$F100*$H100)</f>
        <v/>
      </c>
      <c r="J100" s="42" t="str">
        <f aca="false">IF(OR($A100="",$E100=""),"",$E100+IF($I100="",0,$I100))</f>
        <v/>
      </c>
      <c r="K100" s="42" t="str">
        <f aca="false">IF(OR($J100="",$J100=0),"",$J100/(1-Assumptions!$B$4))</f>
        <v/>
      </c>
      <c r="L100" s="42" t="str">
        <f aca="false">IF($K100="","",MAX($K100,$E100*Assumptions!$B$10))</f>
        <v/>
      </c>
      <c r="M100" s="27"/>
      <c r="N100" s="35"/>
    </row>
    <row r="101" customFormat="false" ht="15" hidden="false" customHeight="false" outlineLevel="0" collapsed="false">
      <c r="A101" s="67"/>
      <c r="B101" s="36" t="str">
        <f aca="false">IF($A101="","",IF(ISERROR(FIND(".",$A101)),"",LOWER(MID($A101,FIND(CHAR(1),SUBSTITUTE($A101,".",CHAR(1),LEN($A101)-LEN(SUBSTITUTE($A101,".",""))))+1,LEN($A101)))))</f>
        <v/>
      </c>
      <c r="C101" s="25"/>
      <c r="D101" s="68"/>
      <c r="E101" s="27"/>
      <c r="F101" s="38" t="str">
        <f aca="false">IF($B101="","",IFERROR(INDEX(Rubric!$C$14:$C$23,MATCH(LOWER($B101),Rubric!$A$14:$A$23,0)),INDEX(Rubric!$C$14:$C$23,MATCH("other",Rubric!$A$14:$A$23,0))))</f>
        <v/>
      </c>
      <c r="G101" s="39" t="str">
        <f aca="true">IF(OR($A101="",$D101=""),"",YEARFRAC($D101,TODAY()))</f>
        <v/>
      </c>
      <c r="H101" s="69" t="str">
        <f aca="false">IF($G101="","",MAX(0,INT($G101)))</f>
        <v/>
      </c>
      <c r="I101" s="42" t="str">
        <f aca="false">IF(OR($F101="",$H101=""),"",$F101*$H101)</f>
        <v/>
      </c>
      <c r="J101" s="42" t="str">
        <f aca="false">IF(OR($A101="",$E101=""),"",$E101+IF($I101="",0,$I101))</f>
        <v/>
      </c>
      <c r="K101" s="42" t="str">
        <f aca="false">IF(OR($J101="",$J101=0),"",$J101/(1-Assumptions!$B$4))</f>
        <v/>
      </c>
      <c r="L101" s="42" t="str">
        <f aca="false">IF($K101="","",MAX($K101,$E101*Assumptions!$B$10))</f>
        <v/>
      </c>
      <c r="M101" s="27"/>
      <c r="N101" s="35"/>
    </row>
    <row r="102" customFormat="false" ht="15" hidden="false" customHeight="false" outlineLevel="0" collapsed="false">
      <c r="A102" s="67"/>
      <c r="B102" s="36" t="str">
        <f aca="false">IF($A102="","",IF(ISERROR(FIND(".",$A102)),"",LOWER(MID($A102,FIND(CHAR(1),SUBSTITUTE($A102,".",CHAR(1),LEN($A102)-LEN(SUBSTITUTE($A102,".",""))))+1,LEN($A102)))))</f>
        <v/>
      </c>
      <c r="C102" s="25"/>
      <c r="D102" s="68"/>
      <c r="E102" s="27"/>
      <c r="F102" s="38" t="str">
        <f aca="false">IF($B102="","",IFERROR(INDEX(Rubric!$C$14:$C$23,MATCH(LOWER($B102),Rubric!$A$14:$A$23,0)),INDEX(Rubric!$C$14:$C$23,MATCH("other",Rubric!$A$14:$A$23,0))))</f>
        <v/>
      </c>
      <c r="G102" s="39" t="str">
        <f aca="true">IF(OR($A102="",$D102=""),"",YEARFRAC($D102,TODAY()))</f>
        <v/>
      </c>
      <c r="H102" s="69" t="str">
        <f aca="false">IF($G102="","",MAX(0,INT($G102)))</f>
        <v/>
      </c>
      <c r="I102" s="42" t="str">
        <f aca="false">IF(OR($F102="",$H102=""),"",$F102*$H102)</f>
        <v/>
      </c>
      <c r="J102" s="42" t="str">
        <f aca="false">IF(OR($A102="",$E102=""),"",$E102+IF($I102="",0,$I102))</f>
        <v/>
      </c>
      <c r="K102" s="42" t="str">
        <f aca="false">IF(OR($J102="",$J102=0),"",$J102/(1-Assumptions!$B$4))</f>
        <v/>
      </c>
      <c r="L102" s="42" t="str">
        <f aca="false">IF($K102="","",MAX($K102,$E102*Assumptions!$B$10))</f>
        <v/>
      </c>
      <c r="M102" s="27"/>
      <c r="N102" s="35"/>
    </row>
    <row r="103" customFormat="false" ht="15" hidden="false" customHeight="false" outlineLevel="0" collapsed="false">
      <c r="A103" s="67"/>
      <c r="B103" s="36" t="str">
        <f aca="false">IF($A103="","",IF(ISERROR(FIND(".",$A103)),"",LOWER(MID($A103,FIND(CHAR(1),SUBSTITUTE($A103,".",CHAR(1),LEN($A103)-LEN(SUBSTITUTE($A103,".",""))))+1,LEN($A103)))))</f>
        <v/>
      </c>
      <c r="C103" s="25"/>
      <c r="D103" s="68"/>
      <c r="E103" s="27"/>
      <c r="F103" s="38" t="str">
        <f aca="false">IF($B103="","",IFERROR(INDEX(Rubric!$C$14:$C$23,MATCH(LOWER($B103),Rubric!$A$14:$A$23,0)),INDEX(Rubric!$C$14:$C$23,MATCH("other",Rubric!$A$14:$A$23,0))))</f>
        <v/>
      </c>
      <c r="G103" s="39" t="str">
        <f aca="true">IF(OR($A103="",$D103=""),"",YEARFRAC($D103,TODAY()))</f>
        <v/>
      </c>
      <c r="H103" s="69" t="str">
        <f aca="false">IF($G103="","",MAX(0,INT($G103)))</f>
        <v/>
      </c>
      <c r="I103" s="42" t="str">
        <f aca="false">IF(OR($F103="",$H103=""),"",$F103*$H103)</f>
        <v/>
      </c>
      <c r="J103" s="42" t="str">
        <f aca="false">IF(OR($A103="",$E103=""),"",$E103+IF($I103="",0,$I103))</f>
        <v/>
      </c>
      <c r="K103" s="42" t="str">
        <f aca="false">IF(OR($J103="",$J103=0),"",$J103/(1-Assumptions!$B$4))</f>
        <v/>
      </c>
      <c r="L103" s="42" t="str">
        <f aca="false">IF($K103="","",MAX($K103,$E103*Assumptions!$B$10))</f>
        <v/>
      </c>
      <c r="M103" s="27"/>
      <c r="N103" s="35"/>
    </row>
    <row r="104" customFormat="false" ht="15" hidden="false" customHeight="false" outlineLevel="0" collapsed="false">
      <c r="A104" s="67"/>
      <c r="B104" s="36" t="str">
        <f aca="false">IF($A104="","",IF(ISERROR(FIND(".",$A104)),"",LOWER(MID($A104,FIND(CHAR(1),SUBSTITUTE($A104,".",CHAR(1),LEN($A104)-LEN(SUBSTITUTE($A104,".",""))))+1,LEN($A104)))))</f>
        <v/>
      </c>
      <c r="C104" s="25"/>
      <c r="D104" s="68"/>
      <c r="E104" s="27"/>
      <c r="F104" s="38" t="str">
        <f aca="false">IF($B104="","",IFERROR(INDEX(Rubric!$C$14:$C$23,MATCH(LOWER($B104),Rubric!$A$14:$A$23,0)),INDEX(Rubric!$C$14:$C$23,MATCH("other",Rubric!$A$14:$A$23,0))))</f>
        <v/>
      </c>
      <c r="G104" s="39" t="str">
        <f aca="true">IF(OR($A104="",$D104=""),"",YEARFRAC($D104,TODAY()))</f>
        <v/>
      </c>
      <c r="H104" s="69" t="str">
        <f aca="false">IF($G104="","",MAX(0,INT($G104)))</f>
        <v/>
      </c>
      <c r="I104" s="42" t="str">
        <f aca="false">IF(OR($F104="",$H104=""),"",$F104*$H104)</f>
        <v/>
      </c>
      <c r="J104" s="42" t="str">
        <f aca="false">IF(OR($A104="",$E104=""),"",$E104+IF($I104="",0,$I104))</f>
        <v/>
      </c>
      <c r="K104" s="42" t="str">
        <f aca="false">IF(OR($J104="",$J104=0),"",$J104/(1-Assumptions!$B$4))</f>
        <v/>
      </c>
      <c r="L104" s="42" t="str">
        <f aca="false">IF($K104="","",MAX($K104,$E104*Assumptions!$B$10))</f>
        <v/>
      </c>
      <c r="M104" s="27"/>
      <c r="N104" s="35"/>
    </row>
  </sheetData>
  <autoFilter ref="A4:N104"/>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3" min="2" style="0" width="13"/>
    <col collapsed="false" customWidth="true" hidden="false" outlineLevel="0" max="4" min="4" style="0" width="16"/>
    <col collapsed="false" customWidth="true" hidden="false" outlineLevel="0" max="5" min="5" style="0" width="13"/>
    <col collapsed="false" customWidth="true" hidden="false" outlineLevel="0" max="7" min="6" style="0" width="14"/>
    <col collapsed="false" customWidth="true" hidden="false" outlineLevel="0" max="8" min="8" style="0" width="15"/>
    <col collapsed="false" customWidth="true" hidden="false" outlineLevel="0" max="9" min="9" style="0" width="13"/>
    <col collapsed="false" customWidth="true" hidden="false" outlineLevel="0" max="10" min="10" style="0" width="10"/>
    <col collapsed="false" customWidth="true" hidden="false" outlineLevel="0" max="11" min="11" style="0" width="44"/>
  </cols>
  <sheetData>
    <row r="1" customFormat="false" ht="24" hidden="false" customHeight="true" outlineLevel="0" collapsed="false">
      <c r="A1" s="1" t="s">
        <v>641</v>
      </c>
      <c r="B1" s="1"/>
      <c r="C1" s="1"/>
      <c r="D1" s="1"/>
      <c r="E1" s="1"/>
      <c r="F1" s="1"/>
      <c r="G1" s="1"/>
      <c r="H1" s="1"/>
      <c r="I1" s="1"/>
      <c r="J1" s="1"/>
      <c r="K1" s="1"/>
    </row>
    <row r="2" customFormat="false" ht="15" hidden="false" customHeight="false" outlineLevel="0" collapsed="false">
      <c r="A2" s="17" t="s">
        <v>642</v>
      </c>
    </row>
    <row r="4" customFormat="false" ht="42" hidden="false" customHeight="true" outlineLevel="0" collapsed="false">
      <c r="A4" s="7" t="s">
        <v>643</v>
      </c>
      <c r="B4" s="7" t="s">
        <v>644</v>
      </c>
      <c r="C4" s="7" t="s">
        <v>645</v>
      </c>
      <c r="D4" s="7" t="s">
        <v>646</v>
      </c>
      <c r="E4" s="7" t="s">
        <v>647</v>
      </c>
      <c r="F4" s="7" t="s">
        <v>648</v>
      </c>
      <c r="G4" s="7" t="s">
        <v>649</v>
      </c>
      <c r="H4" s="7" t="s">
        <v>635</v>
      </c>
      <c r="I4" s="7" t="s">
        <v>650</v>
      </c>
      <c r="J4" s="7" t="s">
        <v>651</v>
      </c>
      <c r="K4" s="7" t="s">
        <v>174</v>
      </c>
    </row>
    <row r="5" customFormat="false" ht="15" hidden="false" customHeight="false" outlineLevel="0" collapsed="false">
      <c r="A5" s="64" t="s">
        <v>181</v>
      </c>
      <c r="B5" s="65" t="n">
        <v>46162</v>
      </c>
      <c r="C5" s="61" t="n">
        <v>11500</v>
      </c>
      <c r="D5" s="60" t="s">
        <v>652</v>
      </c>
      <c r="E5" s="70" t="n">
        <v>0.2</v>
      </c>
      <c r="F5" s="32" t="n">
        <f aca="false">IF(OR($A5="",$C5=""),"",MAX($C5*$E5,Assumptions!$B$5))</f>
        <v>2300</v>
      </c>
      <c r="G5" s="32" t="n">
        <f aca="false">IF($F5="","",$C5-$F5)</f>
        <v>9200</v>
      </c>
      <c r="H5" s="61" t="n">
        <v>2433</v>
      </c>
      <c r="I5" s="32" t="n">
        <f aca="false">IF(OR($G5="",$H5=""),"",$G5-$H5)</f>
        <v>6767</v>
      </c>
      <c r="J5" s="31" t="n">
        <f aca="false">IF(OR($I5="",$H5="",$H5=0),"",$I5/$H5)</f>
        <v>2.78133990957665</v>
      </c>
      <c r="K5" s="63" t="s">
        <v>640</v>
      </c>
    </row>
    <row r="6" customFormat="false" ht="15" hidden="false" customHeight="false" outlineLevel="0" collapsed="false">
      <c r="A6" s="67"/>
      <c r="B6" s="68"/>
      <c r="C6" s="27"/>
      <c r="D6" s="25"/>
      <c r="E6" s="71" t="str">
        <f aca="false">IF($A6="","",Assumptions!$B$4)</f>
        <v/>
      </c>
      <c r="F6" s="42" t="str">
        <f aca="false">IF(OR($A6="",$C6=""),"",MAX($C6*$E6,Assumptions!$B$5))</f>
        <v/>
      </c>
      <c r="G6" s="42" t="str">
        <f aca="false">IF($F6="","",$C6-$F6)</f>
        <v/>
      </c>
      <c r="H6" s="27"/>
      <c r="I6" s="42" t="str">
        <f aca="false">IF(OR($G6="",$H6=""),"",$G6-$H6)</f>
        <v/>
      </c>
      <c r="J6" s="41" t="str">
        <f aca="false">IF(OR($I6="",$H6="",$H6=0),"",$I6/$H6)</f>
        <v/>
      </c>
      <c r="K6" s="35"/>
    </row>
    <row r="7" customFormat="false" ht="15" hidden="false" customHeight="false" outlineLevel="0" collapsed="false">
      <c r="A7" s="67"/>
      <c r="B7" s="68"/>
      <c r="C7" s="27"/>
      <c r="D7" s="25"/>
      <c r="E7" s="71" t="str">
        <f aca="false">IF($A7="","",Assumptions!$B$4)</f>
        <v/>
      </c>
      <c r="F7" s="42" t="str">
        <f aca="false">IF(OR($A7="",$C7=""),"",MAX($C7*$E7,Assumptions!$B$5))</f>
        <v/>
      </c>
      <c r="G7" s="42" t="str">
        <f aca="false">IF($F7="","",$C7-$F7)</f>
        <v/>
      </c>
      <c r="H7" s="27"/>
      <c r="I7" s="42" t="str">
        <f aca="false">IF(OR($G7="",$H7=""),"",$G7-$H7)</f>
        <v/>
      </c>
      <c r="J7" s="41" t="str">
        <f aca="false">IF(OR($I7="",$H7="",$H7=0),"",$I7/$H7)</f>
        <v/>
      </c>
      <c r="K7" s="35"/>
    </row>
    <row r="8" customFormat="false" ht="15" hidden="false" customHeight="false" outlineLevel="0" collapsed="false">
      <c r="A8" s="67"/>
      <c r="B8" s="68"/>
      <c r="C8" s="27"/>
      <c r="D8" s="25"/>
      <c r="E8" s="71" t="str">
        <f aca="false">IF($A8="","",Assumptions!$B$4)</f>
        <v/>
      </c>
      <c r="F8" s="42" t="str">
        <f aca="false">IF(OR($A8="",$C8=""),"",MAX($C8*$E8,Assumptions!$B$5))</f>
        <v/>
      </c>
      <c r="G8" s="42" t="str">
        <f aca="false">IF($F8="","",$C8-$F8)</f>
        <v/>
      </c>
      <c r="H8" s="27"/>
      <c r="I8" s="42" t="str">
        <f aca="false">IF(OR($G8="",$H8=""),"",$G8-$H8)</f>
        <v/>
      </c>
      <c r="J8" s="41" t="str">
        <f aca="false">IF(OR($I8="",$H8="",$H8=0),"",$I8/$H8)</f>
        <v/>
      </c>
      <c r="K8" s="35"/>
    </row>
    <row r="9" customFormat="false" ht="15" hidden="false" customHeight="false" outlineLevel="0" collapsed="false">
      <c r="A9" s="67"/>
      <c r="B9" s="68"/>
      <c r="C9" s="27"/>
      <c r="D9" s="25"/>
      <c r="E9" s="71" t="str">
        <f aca="false">IF($A9="","",Assumptions!$B$4)</f>
        <v/>
      </c>
      <c r="F9" s="42" t="str">
        <f aca="false">IF(OR($A9="",$C9=""),"",MAX($C9*$E9,Assumptions!$B$5))</f>
        <v/>
      </c>
      <c r="G9" s="42" t="str">
        <f aca="false">IF($F9="","",$C9-$F9)</f>
        <v/>
      </c>
      <c r="H9" s="27"/>
      <c r="I9" s="42" t="str">
        <f aca="false">IF(OR($G9="",$H9=""),"",$G9-$H9)</f>
        <v/>
      </c>
      <c r="J9" s="41" t="str">
        <f aca="false">IF(OR($I9="",$H9="",$H9=0),"",$I9/$H9)</f>
        <v/>
      </c>
      <c r="K9" s="35"/>
    </row>
    <row r="10" customFormat="false" ht="15" hidden="false" customHeight="false" outlineLevel="0" collapsed="false">
      <c r="A10" s="67"/>
      <c r="B10" s="68"/>
      <c r="C10" s="27"/>
      <c r="D10" s="25"/>
      <c r="E10" s="71" t="str">
        <f aca="false">IF($A10="","",Assumptions!$B$4)</f>
        <v/>
      </c>
      <c r="F10" s="42" t="str">
        <f aca="false">IF(OR($A10="",$C10=""),"",MAX($C10*$E10,Assumptions!$B$5))</f>
        <v/>
      </c>
      <c r="G10" s="42" t="str">
        <f aca="false">IF($F10="","",$C10-$F10)</f>
        <v/>
      </c>
      <c r="H10" s="27"/>
      <c r="I10" s="42" t="str">
        <f aca="false">IF(OR($G10="",$H10=""),"",$G10-$H10)</f>
        <v/>
      </c>
      <c r="J10" s="41" t="str">
        <f aca="false">IF(OR($I10="",$H10="",$H10=0),"",$I10/$H10)</f>
        <v/>
      </c>
      <c r="K10" s="35"/>
    </row>
    <row r="11" customFormat="false" ht="15" hidden="false" customHeight="false" outlineLevel="0" collapsed="false">
      <c r="A11" s="67"/>
      <c r="B11" s="68"/>
      <c r="C11" s="27"/>
      <c r="D11" s="25"/>
      <c r="E11" s="71" t="str">
        <f aca="false">IF($A11="","",Assumptions!$B$4)</f>
        <v/>
      </c>
      <c r="F11" s="42" t="str">
        <f aca="false">IF(OR($A11="",$C11=""),"",MAX($C11*$E11,Assumptions!$B$5))</f>
        <v/>
      </c>
      <c r="G11" s="42" t="str">
        <f aca="false">IF($F11="","",$C11-$F11)</f>
        <v/>
      </c>
      <c r="H11" s="27"/>
      <c r="I11" s="42" t="str">
        <f aca="false">IF(OR($G11="",$H11=""),"",$G11-$H11)</f>
        <v/>
      </c>
      <c r="J11" s="41" t="str">
        <f aca="false">IF(OR($I11="",$H11="",$H11=0),"",$I11/$H11)</f>
        <v/>
      </c>
      <c r="K11" s="35"/>
    </row>
    <row r="12" customFormat="false" ht="15" hidden="false" customHeight="false" outlineLevel="0" collapsed="false">
      <c r="A12" s="67"/>
      <c r="B12" s="68"/>
      <c r="C12" s="27"/>
      <c r="D12" s="25"/>
      <c r="E12" s="71" t="str">
        <f aca="false">IF($A12="","",Assumptions!$B$4)</f>
        <v/>
      </c>
      <c r="F12" s="42" t="str">
        <f aca="false">IF(OR($A12="",$C12=""),"",MAX($C12*$E12,Assumptions!$B$5))</f>
        <v/>
      </c>
      <c r="G12" s="42" t="str">
        <f aca="false">IF($F12="","",$C12-$F12)</f>
        <v/>
      </c>
      <c r="H12" s="27"/>
      <c r="I12" s="42" t="str">
        <f aca="false">IF(OR($G12="",$H12=""),"",$G12-$H12)</f>
        <v/>
      </c>
      <c r="J12" s="41" t="str">
        <f aca="false">IF(OR($I12="",$H12="",$H12=0),"",$I12/$H12)</f>
        <v/>
      </c>
      <c r="K12" s="35"/>
    </row>
    <row r="13" customFormat="false" ht="15" hidden="false" customHeight="false" outlineLevel="0" collapsed="false">
      <c r="A13" s="67"/>
      <c r="B13" s="68"/>
      <c r="C13" s="27"/>
      <c r="D13" s="25"/>
      <c r="E13" s="71" t="str">
        <f aca="false">IF($A13="","",Assumptions!$B$4)</f>
        <v/>
      </c>
      <c r="F13" s="42" t="str">
        <f aca="false">IF(OR($A13="",$C13=""),"",MAX($C13*$E13,Assumptions!$B$5))</f>
        <v/>
      </c>
      <c r="G13" s="42" t="str">
        <f aca="false">IF($F13="","",$C13-$F13)</f>
        <v/>
      </c>
      <c r="H13" s="27"/>
      <c r="I13" s="42" t="str">
        <f aca="false">IF(OR($G13="",$H13=""),"",$G13-$H13)</f>
        <v/>
      </c>
      <c r="J13" s="41" t="str">
        <f aca="false">IF(OR($I13="",$H13="",$H13=0),"",$I13/$H13)</f>
        <v/>
      </c>
      <c r="K13" s="35"/>
    </row>
    <row r="14" customFormat="false" ht="15" hidden="false" customHeight="false" outlineLevel="0" collapsed="false">
      <c r="A14" s="67"/>
      <c r="B14" s="68"/>
      <c r="C14" s="27"/>
      <c r="D14" s="25"/>
      <c r="E14" s="71" t="str">
        <f aca="false">IF($A14="","",Assumptions!$B$4)</f>
        <v/>
      </c>
      <c r="F14" s="42" t="str">
        <f aca="false">IF(OR($A14="",$C14=""),"",MAX($C14*$E14,Assumptions!$B$5))</f>
        <v/>
      </c>
      <c r="G14" s="42" t="str">
        <f aca="false">IF($F14="","",$C14-$F14)</f>
        <v/>
      </c>
      <c r="H14" s="27"/>
      <c r="I14" s="42" t="str">
        <f aca="false">IF(OR($G14="",$H14=""),"",$G14-$H14)</f>
        <v/>
      </c>
      <c r="J14" s="41" t="str">
        <f aca="false">IF(OR($I14="",$H14="",$H14=0),"",$I14/$H14)</f>
        <v/>
      </c>
      <c r="K14" s="35"/>
    </row>
    <row r="15" customFormat="false" ht="15" hidden="false" customHeight="false" outlineLevel="0" collapsed="false">
      <c r="A15" s="67"/>
      <c r="B15" s="68"/>
      <c r="C15" s="27"/>
      <c r="D15" s="25"/>
      <c r="E15" s="71" t="str">
        <f aca="false">IF($A15="","",Assumptions!$B$4)</f>
        <v/>
      </c>
      <c r="F15" s="42" t="str">
        <f aca="false">IF(OR($A15="",$C15=""),"",MAX($C15*$E15,Assumptions!$B$5))</f>
        <v/>
      </c>
      <c r="G15" s="42" t="str">
        <f aca="false">IF($F15="","",$C15-$F15)</f>
        <v/>
      </c>
      <c r="H15" s="27"/>
      <c r="I15" s="42" t="str">
        <f aca="false">IF(OR($G15="",$H15=""),"",$G15-$H15)</f>
        <v/>
      </c>
      <c r="J15" s="41" t="str">
        <f aca="false">IF(OR($I15="",$H15="",$H15=0),"",$I15/$H15)</f>
        <v/>
      </c>
      <c r="K15" s="35"/>
    </row>
    <row r="16" customFormat="false" ht="15" hidden="false" customHeight="false" outlineLevel="0" collapsed="false">
      <c r="A16" s="67"/>
      <c r="B16" s="68"/>
      <c r="C16" s="27"/>
      <c r="D16" s="25"/>
      <c r="E16" s="71" t="str">
        <f aca="false">IF($A16="","",Assumptions!$B$4)</f>
        <v/>
      </c>
      <c r="F16" s="42" t="str">
        <f aca="false">IF(OR($A16="",$C16=""),"",MAX($C16*$E16,Assumptions!$B$5))</f>
        <v/>
      </c>
      <c r="G16" s="42" t="str">
        <f aca="false">IF($F16="","",$C16-$F16)</f>
        <v/>
      </c>
      <c r="H16" s="27"/>
      <c r="I16" s="42" t="str">
        <f aca="false">IF(OR($G16="",$H16=""),"",$G16-$H16)</f>
        <v/>
      </c>
      <c r="J16" s="41" t="str">
        <f aca="false">IF(OR($I16="",$H16="",$H16=0),"",$I16/$H16)</f>
        <v/>
      </c>
      <c r="K16" s="35"/>
    </row>
    <row r="17" customFormat="false" ht="15" hidden="false" customHeight="false" outlineLevel="0" collapsed="false">
      <c r="A17" s="67"/>
      <c r="B17" s="68"/>
      <c r="C17" s="27"/>
      <c r="D17" s="25"/>
      <c r="E17" s="71" t="str">
        <f aca="false">IF($A17="","",Assumptions!$B$4)</f>
        <v/>
      </c>
      <c r="F17" s="42" t="str">
        <f aca="false">IF(OR($A17="",$C17=""),"",MAX($C17*$E17,Assumptions!$B$5))</f>
        <v/>
      </c>
      <c r="G17" s="42" t="str">
        <f aca="false">IF($F17="","",$C17-$F17)</f>
        <v/>
      </c>
      <c r="H17" s="27"/>
      <c r="I17" s="42" t="str">
        <f aca="false">IF(OR($G17="",$H17=""),"",$G17-$H17)</f>
        <v/>
      </c>
      <c r="J17" s="41" t="str">
        <f aca="false">IF(OR($I17="",$H17="",$H17=0),"",$I17/$H17)</f>
        <v/>
      </c>
      <c r="K17" s="35"/>
    </row>
    <row r="18" customFormat="false" ht="15" hidden="false" customHeight="false" outlineLevel="0" collapsed="false">
      <c r="A18" s="67"/>
      <c r="B18" s="68"/>
      <c r="C18" s="27"/>
      <c r="D18" s="25"/>
      <c r="E18" s="71" t="str">
        <f aca="false">IF($A18="","",Assumptions!$B$4)</f>
        <v/>
      </c>
      <c r="F18" s="42" t="str">
        <f aca="false">IF(OR($A18="",$C18=""),"",MAX($C18*$E18,Assumptions!$B$5))</f>
        <v/>
      </c>
      <c r="G18" s="42" t="str">
        <f aca="false">IF($F18="","",$C18-$F18)</f>
        <v/>
      </c>
      <c r="H18" s="27"/>
      <c r="I18" s="42" t="str">
        <f aca="false">IF(OR($G18="",$H18=""),"",$G18-$H18)</f>
        <v/>
      </c>
      <c r="J18" s="41" t="str">
        <f aca="false">IF(OR($I18="",$H18="",$H18=0),"",$I18/$H18)</f>
        <v/>
      </c>
      <c r="K18" s="35"/>
    </row>
    <row r="19" customFormat="false" ht="15" hidden="false" customHeight="false" outlineLevel="0" collapsed="false">
      <c r="A19" s="67"/>
      <c r="B19" s="68"/>
      <c r="C19" s="27"/>
      <c r="D19" s="25"/>
      <c r="E19" s="71" t="str">
        <f aca="false">IF($A19="","",Assumptions!$B$4)</f>
        <v/>
      </c>
      <c r="F19" s="42" t="str">
        <f aca="false">IF(OR($A19="",$C19=""),"",MAX($C19*$E19,Assumptions!$B$5))</f>
        <v/>
      </c>
      <c r="G19" s="42" t="str">
        <f aca="false">IF($F19="","",$C19-$F19)</f>
        <v/>
      </c>
      <c r="H19" s="27"/>
      <c r="I19" s="42" t="str">
        <f aca="false">IF(OR($G19="",$H19=""),"",$G19-$H19)</f>
        <v/>
      </c>
      <c r="J19" s="41" t="str">
        <f aca="false">IF(OR($I19="",$H19="",$H19=0),"",$I19/$H19)</f>
        <v/>
      </c>
      <c r="K19" s="35"/>
    </row>
    <row r="20" customFormat="false" ht="15" hidden="false" customHeight="false" outlineLevel="0" collapsed="false">
      <c r="A20" s="67"/>
      <c r="B20" s="68"/>
      <c r="C20" s="27"/>
      <c r="D20" s="25"/>
      <c r="E20" s="71" t="str">
        <f aca="false">IF($A20="","",Assumptions!$B$4)</f>
        <v/>
      </c>
      <c r="F20" s="42" t="str">
        <f aca="false">IF(OR($A20="",$C20=""),"",MAX($C20*$E20,Assumptions!$B$5))</f>
        <v/>
      </c>
      <c r="G20" s="42" t="str">
        <f aca="false">IF($F20="","",$C20-$F20)</f>
        <v/>
      </c>
      <c r="H20" s="27"/>
      <c r="I20" s="42" t="str">
        <f aca="false">IF(OR($G20="",$H20=""),"",$G20-$H20)</f>
        <v/>
      </c>
      <c r="J20" s="41" t="str">
        <f aca="false">IF(OR($I20="",$H20="",$H20=0),"",$I20/$H20)</f>
        <v/>
      </c>
      <c r="K20" s="35"/>
    </row>
    <row r="21" customFormat="false" ht="15" hidden="false" customHeight="false" outlineLevel="0" collapsed="false">
      <c r="A21" s="67"/>
      <c r="B21" s="68"/>
      <c r="C21" s="27"/>
      <c r="D21" s="25"/>
      <c r="E21" s="71" t="str">
        <f aca="false">IF($A21="","",Assumptions!$B$4)</f>
        <v/>
      </c>
      <c r="F21" s="42" t="str">
        <f aca="false">IF(OR($A21="",$C21=""),"",MAX($C21*$E21,Assumptions!$B$5))</f>
        <v/>
      </c>
      <c r="G21" s="42" t="str">
        <f aca="false">IF($F21="","",$C21-$F21)</f>
        <v/>
      </c>
      <c r="H21" s="27"/>
      <c r="I21" s="42" t="str">
        <f aca="false">IF(OR($G21="",$H21=""),"",$G21-$H21)</f>
        <v/>
      </c>
      <c r="J21" s="41" t="str">
        <f aca="false">IF(OR($I21="",$H21="",$H21=0),"",$I21/$H21)</f>
        <v/>
      </c>
      <c r="K21" s="35"/>
    </row>
    <row r="22" customFormat="false" ht="15" hidden="false" customHeight="false" outlineLevel="0" collapsed="false">
      <c r="A22" s="67"/>
      <c r="B22" s="68"/>
      <c r="C22" s="27"/>
      <c r="D22" s="25"/>
      <c r="E22" s="71" t="str">
        <f aca="false">IF($A22="","",Assumptions!$B$4)</f>
        <v/>
      </c>
      <c r="F22" s="42" t="str">
        <f aca="false">IF(OR($A22="",$C22=""),"",MAX($C22*$E22,Assumptions!$B$5))</f>
        <v/>
      </c>
      <c r="G22" s="42" t="str">
        <f aca="false">IF($F22="","",$C22-$F22)</f>
        <v/>
      </c>
      <c r="H22" s="27"/>
      <c r="I22" s="42" t="str">
        <f aca="false">IF(OR($G22="",$H22=""),"",$G22-$H22)</f>
        <v/>
      </c>
      <c r="J22" s="41" t="str">
        <f aca="false">IF(OR($I22="",$H22="",$H22=0),"",$I22/$H22)</f>
        <v/>
      </c>
      <c r="K22" s="35"/>
    </row>
    <row r="23" customFormat="false" ht="15" hidden="false" customHeight="false" outlineLevel="0" collapsed="false">
      <c r="A23" s="67"/>
      <c r="B23" s="68"/>
      <c r="C23" s="27"/>
      <c r="D23" s="25"/>
      <c r="E23" s="71" t="str">
        <f aca="false">IF($A23="","",Assumptions!$B$4)</f>
        <v/>
      </c>
      <c r="F23" s="42" t="str">
        <f aca="false">IF(OR($A23="",$C23=""),"",MAX($C23*$E23,Assumptions!$B$5))</f>
        <v/>
      </c>
      <c r="G23" s="42" t="str">
        <f aca="false">IF($F23="","",$C23-$F23)</f>
        <v/>
      </c>
      <c r="H23" s="27"/>
      <c r="I23" s="42" t="str">
        <f aca="false">IF(OR($G23="",$H23=""),"",$G23-$H23)</f>
        <v/>
      </c>
      <c r="J23" s="41" t="str">
        <f aca="false">IF(OR($I23="",$H23="",$H23=0),"",$I23/$H23)</f>
        <v/>
      </c>
      <c r="K23" s="35"/>
    </row>
    <row r="24" customFormat="false" ht="15" hidden="false" customHeight="false" outlineLevel="0" collapsed="false">
      <c r="A24" s="67"/>
      <c r="B24" s="68"/>
      <c r="C24" s="27"/>
      <c r="D24" s="25"/>
      <c r="E24" s="71" t="str">
        <f aca="false">IF($A24="","",Assumptions!$B$4)</f>
        <v/>
      </c>
      <c r="F24" s="42" t="str">
        <f aca="false">IF(OR($A24="",$C24=""),"",MAX($C24*$E24,Assumptions!$B$5))</f>
        <v/>
      </c>
      <c r="G24" s="42" t="str">
        <f aca="false">IF($F24="","",$C24-$F24)</f>
        <v/>
      </c>
      <c r="H24" s="27"/>
      <c r="I24" s="42" t="str">
        <f aca="false">IF(OR($G24="",$H24=""),"",$G24-$H24)</f>
        <v/>
      </c>
      <c r="J24" s="41" t="str">
        <f aca="false">IF(OR($I24="",$H24="",$H24=0),"",$I24/$H24)</f>
        <v/>
      </c>
      <c r="K24" s="35"/>
    </row>
    <row r="25" customFormat="false" ht="15" hidden="false" customHeight="false" outlineLevel="0" collapsed="false">
      <c r="A25" s="67"/>
      <c r="B25" s="68"/>
      <c r="C25" s="27"/>
      <c r="D25" s="25"/>
      <c r="E25" s="71" t="str">
        <f aca="false">IF($A25="","",Assumptions!$B$4)</f>
        <v/>
      </c>
      <c r="F25" s="42" t="str">
        <f aca="false">IF(OR($A25="",$C25=""),"",MAX($C25*$E25,Assumptions!$B$5))</f>
        <v/>
      </c>
      <c r="G25" s="42" t="str">
        <f aca="false">IF($F25="","",$C25-$F25)</f>
        <v/>
      </c>
      <c r="H25" s="27"/>
      <c r="I25" s="42" t="str">
        <f aca="false">IF(OR($G25="",$H25=""),"",$G25-$H25)</f>
        <v/>
      </c>
      <c r="J25" s="41" t="str">
        <f aca="false">IF(OR($I25="",$H25="",$H25=0),"",$I25/$H25)</f>
        <v/>
      </c>
      <c r="K25" s="35"/>
    </row>
    <row r="26" customFormat="false" ht="15" hidden="false" customHeight="false" outlineLevel="0" collapsed="false">
      <c r="A26" s="67"/>
      <c r="B26" s="68"/>
      <c r="C26" s="27"/>
      <c r="D26" s="25"/>
      <c r="E26" s="71" t="str">
        <f aca="false">IF($A26="","",Assumptions!$B$4)</f>
        <v/>
      </c>
      <c r="F26" s="42" t="str">
        <f aca="false">IF(OR($A26="",$C26=""),"",MAX($C26*$E26,Assumptions!$B$5))</f>
        <v/>
      </c>
      <c r="G26" s="42" t="str">
        <f aca="false">IF($F26="","",$C26-$F26)</f>
        <v/>
      </c>
      <c r="H26" s="27"/>
      <c r="I26" s="42" t="str">
        <f aca="false">IF(OR($G26="",$H26=""),"",$G26-$H26)</f>
        <v/>
      </c>
      <c r="J26" s="41" t="str">
        <f aca="false">IF(OR($I26="",$H26="",$H26=0),"",$I26/$H26)</f>
        <v/>
      </c>
      <c r="K26" s="35"/>
    </row>
    <row r="27" customFormat="false" ht="15" hidden="false" customHeight="false" outlineLevel="0" collapsed="false">
      <c r="A27" s="67"/>
      <c r="B27" s="68"/>
      <c r="C27" s="27"/>
      <c r="D27" s="25"/>
      <c r="E27" s="71" t="str">
        <f aca="false">IF($A27="","",Assumptions!$B$4)</f>
        <v/>
      </c>
      <c r="F27" s="42" t="str">
        <f aca="false">IF(OR($A27="",$C27=""),"",MAX($C27*$E27,Assumptions!$B$5))</f>
        <v/>
      </c>
      <c r="G27" s="42" t="str">
        <f aca="false">IF($F27="","",$C27-$F27)</f>
        <v/>
      </c>
      <c r="H27" s="27"/>
      <c r="I27" s="42" t="str">
        <f aca="false">IF(OR($G27="",$H27=""),"",$G27-$H27)</f>
        <v/>
      </c>
      <c r="J27" s="41" t="str">
        <f aca="false">IF(OR($I27="",$H27="",$H27=0),"",$I27/$H27)</f>
        <v/>
      </c>
      <c r="K27" s="35"/>
    </row>
    <row r="28" customFormat="false" ht="15" hidden="false" customHeight="false" outlineLevel="0" collapsed="false">
      <c r="A28" s="67"/>
      <c r="B28" s="68"/>
      <c r="C28" s="27"/>
      <c r="D28" s="25"/>
      <c r="E28" s="71" t="str">
        <f aca="false">IF($A28="","",Assumptions!$B$4)</f>
        <v/>
      </c>
      <c r="F28" s="42" t="str">
        <f aca="false">IF(OR($A28="",$C28=""),"",MAX($C28*$E28,Assumptions!$B$5))</f>
        <v/>
      </c>
      <c r="G28" s="42" t="str">
        <f aca="false">IF($F28="","",$C28-$F28)</f>
        <v/>
      </c>
      <c r="H28" s="27"/>
      <c r="I28" s="42" t="str">
        <f aca="false">IF(OR($G28="",$H28=""),"",$G28-$H28)</f>
        <v/>
      </c>
      <c r="J28" s="41" t="str">
        <f aca="false">IF(OR($I28="",$H28="",$H28=0),"",$I28/$H28)</f>
        <v/>
      </c>
      <c r="K28" s="35"/>
    </row>
    <row r="29" customFormat="false" ht="15" hidden="false" customHeight="false" outlineLevel="0" collapsed="false">
      <c r="A29" s="67"/>
      <c r="B29" s="68"/>
      <c r="C29" s="27"/>
      <c r="D29" s="25"/>
      <c r="E29" s="71" t="str">
        <f aca="false">IF($A29="","",Assumptions!$B$4)</f>
        <v/>
      </c>
      <c r="F29" s="42" t="str">
        <f aca="false">IF(OR($A29="",$C29=""),"",MAX($C29*$E29,Assumptions!$B$5))</f>
        <v/>
      </c>
      <c r="G29" s="42" t="str">
        <f aca="false">IF($F29="","",$C29-$F29)</f>
        <v/>
      </c>
      <c r="H29" s="27"/>
      <c r="I29" s="42" t="str">
        <f aca="false">IF(OR($G29="",$H29=""),"",$G29-$H29)</f>
        <v/>
      </c>
      <c r="J29" s="41" t="str">
        <f aca="false">IF(OR($I29="",$H29="",$H29=0),"",$I29/$H29)</f>
        <v/>
      </c>
      <c r="K29" s="35"/>
    </row>
    <row r="30" customFormat="false" ht="15" hidden="false" customHeight="false" outlineLevel="0" collapsed="false">
      <c r="A30" s="67"/>
      <c r="B30" s="68"/>
      <c r="C30" s="27"/>
      <c r="D30" s="25"/>
      <c r="E30" s="71" t="str">
        <f aca="false">IF($A30="","",Assumptions!$B$4)</f>
        <v/>
      </c>
      <c r="F30" s="42" t="str">
        <f aca="false">IF(OR($A30="",$C30=""),"",MAX($C30*$E30,Assumptions!$B$5))</f>
        <v/>
      </c>
      <c r="G30" s="42" t="str">
        <f aca="false">IF($F30="","",$C30-$F30)</f>
        <v/>
      </c>
      <c r="H30" s="27"/>
      <c r="I30" s="42" t="str">
        <f aca="false">IF(OR($G30="",$H30=""),"",$G30-$H30)</f>
        <v/>
      </c>
      <c r="J30" s="41" t="str">
        <f aca="false">IF(OR($I30="",$H30="",$H30=0),"",$I30/$H30)</f>
        <v/>
      </c>
      <c r="K30" s="35"/>
    </row>
    <row r="31" customFormat="false" ht="15" hidden="false" customHeight="false" outlineLevel="0" collapsed="false">
      <c r="A31" s="67"/>
      <c r="B31" s="68"/>
      <c r="C31" s="27"/>
      <c r="D31" s="25"/>
      <c r="E31" s="71" t="str">
        <f aca="false">IF($A31="","",Assumptions!$B$4)</f>
        <v/>
      </c>
      <c r="F31" s="42" t="str">
        <f aca="false">IF(OR($A31="",$C31=""),"",MAX($C31*$E31,Assumptions!$B$5))</f>
        <v/>
      </c>
      <c r="G31" s="42" t="str">
        <f aca="false">IF($F31="","",$C31-$F31)</f>
        <v/>
      </c>
      <c r="H31" s="27"/>
      <c r="I31" s="42" t="str">
        <f aca="false">IF(OR($G31="",$H31=""),"",$G31-$H31)</f>
        <v/>
      </c>
      <c r="J31" s="41" t="str">
        <f aca="false">IF(OR($I31="",$H31="",$H31=0),"",$I31/$H31)</f>
        <v/>
      </c>
      <c r="K31" s="35"/>
    </row>
    <row r="32" customFormat="false" ht="15" hidden="false" customHeight="false" outlineLevel="0" collapsed="false">
      <c r="A32" s="67"/>
      <c r="B32" s="68"/>
      <c r="C32" s="27"/>
      <c r="D32" s="25"/>
      <c r="E32" s="71" t="str">
        <f aca="false">IF($A32="","",Assumptions!$B$4)</f>
        <v/>
      </c>
      <c r="F32" s="42" t="str">
        <f aca="false">IF(OR($A32="",$C32=""),"",MAX($C32*$E32,Assumptions!$B$5))</f>
        <v/>
      </c>
      <c r="G32" s="42" t="str">
        <f aca="false">IF($F32="","",$C32-$F32)</f>
        <v/>
      </c>
      <c r="H32" s="27"/>
      <c r="I32" s="42" t="str">
        <f aca="false">IF(OR($G32="",$H32=""),"",$G32-$H32)</f>
        <v/>
      </c>
      <c r="J32" s="41" t="str">
        <f aca="false">IF(OR($I32="",$H32="",$H32=0),"",$I32/$H32)</f>
        <v/>
      </c>
      <c r="K32" s="35"/>
    </row>
    <row r="33" customFormat="false" ht="15" hidden="false" customHeight="false" outlineLevel="0" collapsed="false">
      <c r="A33" s="67"/>
      <c r="B33" s="68"/>
      <c r="C33" s="27"/>
      <c r="D33" s="25"/>
      <c r="E33" s="71" t="str">
        <f aca="false">IF($A33="","",Assumptions!$B$4)</f>
        <v/>
      </c>
      <c r="F33" s="42" t="str">
        <f aca="false">IF(OR($A33="",$C33=""),"",MAX($C33*$E33,Assumptions!$B$5))</f>
        <v/>
      </c>
      <c r="G33" s="42" t="str">
        <f aca="false">IF($F33="","",$C33-$F33)</f>
        <v/>
      </c>
      <c r="H33" s="27"/>
      <c r="I33" s="42" t="str">
        <f aca="false">IF(OR($G33="",$H33=""),"",$G33-$H33)</f>
        <v/>
      </c>
      <c r="J33" s="41" t="str">
        <f aca="false">IF(OR($I33="",$H33="",$H33=0),"",$I33/$H33)</f>
        <v/>
      </c>
      <c r="K33" s="35"/>
    </row>
    <row r="34" customFormat="false" ht="15" hidden="false" customHeight="false" outlineLevel="0" collapsed="false">
      <c r="A34" s="67"/>
      <c r="B34" s="68"/>
      <c r="C34" s="27"/>
      <c r="D34" s="25"/>
      <c r="E34" s="71" t="str">
        <f aca="false">IF($A34="","",Assumptions!$B$4)</f>
        <v/>
      </c>
      <c r="F34" s="42" t="str">
        <f aca="false">IF(OR($A34="",$C34=""),"",MAX($C34*$E34,Assumptions!$B$5))</f>
        <v/>
      </c>
      <c r="G34" s="42" t="str">
        <f aca="false">IF($F34="","",$C34-$F34)</f>
        <v/>
      </c>
      <c r="H34" s="27"/>
      <c r="I34" s="42" t="str">
        <f aca="false">IF(OR($G34="",$H34=""),"",$G34-$H34)</f>
        <v/>
      </c>
      <c r="J34" s="41" t="str">
        <f aca="false">IF(OR($I34="",$H34="",$H34=0),"",$I34/$H34)</f>
        <v/>
      </c>
      <c r="K34" s="35"/>
    </row>
    <row r="35" customFormat="false" ht="15" hidden="false" customHeight="false" outlineLevel="0" collapsed="false">
      <c r="A35" s="67"/>
      <c r="B35" s="68"/>
      <c r="C35" s="27"/>
      <c r="D35" s="25"/>
      <c r="E35" s="71" t="str">
        <f aca="false">IF($A35="","",Assumptions!$B$4)</f>
        <v/>
      </c>
      <c r="F35" s="42" t="str">
        <f aca="false">IF(OR($A35="",$C35=""),"",MAX($C35*$E35,Assumptions!$B$5))</f>
        <v/>
      </c>
      <c r="G35" s="42" t="str">
        <f aca="false">IF($F35="","",$C35-$F35)</f>
        <v/>
      </c>
      <c r="H35" s="27"/>
      <c r="I35" s="42" t="str">
        <f aca="false">IF(OR($G35="",$H35=""),"",$G35-$H35)</f>
        <v/>
      </c>
      <c r="J35" s="41" t="str">
        <f aca="false">IF(OR($I35="",$H35="",$H35=0),"",$I35/$H35)</f>
        <v/>
      </c>
      <c r="K35" s="35"/>
    </row>
    <row r="36" customFormat="false" ht="15" hidden="false" customHeight="false" outlineLevel="0" collapsed="false">
      <c r="A36" s="67"/>
      <c r="B36" s="68"/>
      <c r="C36" s="27"/>
      <c r="D36" s="25"/>
      <c r="E36" s="71" t="str">
        <f aca="false">IF($A36="","",Assumptions!$B$4)</f>
        <v/>
      </c>
      <c r="F36" s="42" t="str">
        <f aca="false">IF(OR($A36="",$C36=""),"",MAX($C36*$E36,Assumptions!$B$5))</f>
        <v/>
      </c>
      <c r="G36" s="42" t="str">
        <f aca="false">IF($F36="","",$C36-$F36)</f>
        <v/>
      </c>
      <c r="H36" s="27"/>
      <c r="I36" s="42" t="str">
        <f aca="false">IF(OR($G36="",$H36=""),"",$G36-$H36)</f>
        <v/>
      </c>
      <c r="J36" s="41" t="str">
        <f aca="false">IF(OR($I36="",$H36="",$H36=0),"",$I36/$H36)</f>
        <v/>
      </c>
      <c r="K36" s="35"/>
    </row>
    <row r="37" customFormat="false" ht="15" hidden="false" customHeight="false" outlineLevel="0" collapsed="false">
      <c r="A37" s="67"/>
      <c r="B37" s="68"/>
      <c r="C37" s="27"/>
      <c r="D37" s="25"/>
      <c r="E37" s="71" t="str">
        <f aca="false">IF($A37="","",Assumptions!$B$4)</f>
        <v/>
      </c>
      <c r="F37" s="42" t="str">
        <f aca="false">IF(OR($A37="",$C37=""),"",MAX($C37*$E37,Assumptions!$B$5))</f>
        <v/>
      </c>
      <c r="G37" s="42" t="str">
        <f aca="false">IF($F37="","",$C37-$F37)</f>
        <v/>
      </c>
      <c r="H37" s="27"/>
      <c r="I37" s="42" t="str">
        <f aca="false">IF(OR($G37="",$H37=""),"",$G37-$H37)</f>
        <v/>
      </c>
      <c r="J37" s="41" t="str">
        <f aca="false">IF(OR($I37="",$H37="",$H37=0),"",$I37/$H37)</f>
        <v/>
      </c>
      <c r="K37" s="35"/>
    </row>
    <row r="38" customFormat="false" ht="15" hidden="false" customHeight="false" outlineLevel="0" collapsed="false">
      <c r="A38" s="67"/>
      <c r="B38" s="68"/>
      <c r="C38" s="27"/>
      <c r="D38" s="25"/>
      <c r="E38" s="71" t="str">
        <f aca="false">IF($A38="","",Assumptions!$B$4)</f>
        <v/>
      </c>
      <c r="F38" s="42" t="str">
        <f aca="false">IF(OR($A38="",$C38=""),"",MAX($C38*$E38,Assumptions!$B$5))</f>
        <v/>
      </c>
      <c r="G38" s="42" t="str">
        <f aca="false">IF($F38="","",$C38-$F38)</f>
        <v/>
      </c>
      <c r="H38" s="27"/>
      <c r="I38" s="42" t="str">
        <f aca="false">IF(OR($G38="",$H38=""),"",$G38-$H38)</f>
        <v/>
      </c>
      <c r="J38" s="41" t="str">
        <f aca="false">IF(OR($I38="",$H38="",$H38=0),"",$I38/$H38)</f>
        <v/>
      </c>
      <c r="K38" s="35"/>
    </row>
    <row r="39" customFormat="false" ht="15" hidden="false" customHeight="false" outlineLevel="0" collapsed="false">
      <c r="A39" s="67"/>
      <c r="B39" s="68"/>
      <c r="C39" s="27"/>
      <c r="D39" s="25"/>
      <c r="E39" s="71" t="str">
        <f aca="false">IF($A39="","",Assumptions!$B$4)</f>
        <v/>
      </c>
      <c r="F39" s="42" t="str">
        <f aca="false">IF(OR($A39="",$C39=""),"",MAX($C39*$E39,Assumptions!$B$5))</f>
        <v/>
      </c>
      <c r="G39" s="42" t="str">
        <f aca="false">IF($F39="","",$C39-$F39)</f>
        <v/>
      </c>
      <c r="H39" s="27"/>
      <c r="I39" s="42" t="str">
        <f aca="false">IF(OR($G39="",$H39=""),"",$G39-$H39)</f>
        <v/>
      </c>
      <c r="J39" s="41" t="str">
        <f aca="false">IF(OR($I39="",$H39="",$H39=0),"",$I39/$H39)</f>
        <v/>
      </c>
      <c r="K39" s="35"/>
    </row>
    <row r="40" customFormat="false" ht="15" hidden="false" customHeight="false" outlineLevel="0" collapsed="false">
      <c r="A40" s="67"/>
      <c r="B40" s="68"/>
      <c r="C40" s="27"/>
      <c r="D40" s="25"/>
      <c r="E40" s="71" t="str">
        <f aca="false">IF($A40="","",Assumptions!$B$4)</f>
        <v/>
      </c>
      <c r="F40" s="42" t="str">
        <f aca="false">IF(OR($A40="",$C40=""),"",MAX($C40*$E40,Assumptions!$B$5))</f>
        <v/>
      </c>
      <c r="G40" s="42" t="str">
        <f aca="false">IF($F40="","",$C40-$F40)</f>
        <v/>
      </c>
      <c r="H40" s="27"/>
      <c r="I40" s="42" t="str">
        <f aca="false">IF(OR($G40="",$H40=""),"",$G40-$H40)</f>
        <v/>
      </c>
      <c r="J40" s="41" t="str">
        <f aca="false">IF(OR($I40="",$H40="",$H40=0),"",$I40/$H40)</f>
        <v/>
      </c>
      <c r="K40" s="35"/>
    </row>
    <row r="41" customFormat="false" ht="15" hidden="false" customHeight="false" outlineLevel="0" collapsed="false">
      <c r="A41" s="67"/>
      <c r="B41" s="68"/>
      <c r="C41" s="27"/>
      <c r="D41" s="25"/>
      <c r="E41" s="71" t="str">
        <f aca="false">IF($A41="","",Assumptions!$B$4)</f>
        <v/>
      </c>
      <c r="F41" s="42" t="str">
        <f aca="false">IF(OR($A41="",$C41=""),"",MAX($C41*$E41,Assumptions!$B$5))</f>
        <v/>
      </c>
      <c r="G41" s="42" t="str">
        <f aca="false">IF($F41="","",$C41-$F41)</f>
        <v/>
      </c>
      <c r="H41" s="27"/>
      <c r="I41" s="42" t="str">
        <f aca="false">IF(OR($G41="",$H41=""),"",$G41-$H41)</f>
        <v/>
      </c>
      <c r="J41" s="41" t="str">
        <f aca="false">IF(OR($I41="",$H41="",$H41=0),"",$I41/$H41)</f>
        <v/>
      </c>
      <c r="K41" s="35"/>
    </row>
    <row r="42" customFormat="false" ht="15" hidden="false" customHeight="false" outlineLevel="0" collapsed="false">
      <c r="A42" s="67"/>
      <c r="B42" s="68"/>
      <c r="C42" s="27"/>
      <c r="D42" s="25"/>
      <c r="E42" s="71" t="str">
        <f aca="false">IF($A42="","",Assumptions!$B$4)</f>
        <v/>
      </c>
      <c r="F42" s="42" t="str">
        <f aca="false">IF(OR($A42="",$C42=""),"",MAX($C42*$E42,Assumptions!$B$5))</f>
        <v/>
      </c>
      <c r="G42" s="42" t="str">
        <f aca="false">IF($F42="","",$C42-$F42)</f>
        <v/>
      </c>
      <c r="H42" s="27"/>
      <c r="I42" s="42" t="str">
        <f aca="false">IF(OR($G42="",$H42=""),"",$G42-$H42)</f>
        <v/>
      </c>
      <c r="J42" s="41" t="str">
        <f aca="false">IF(OR($I42="",$H42="",$H42=0),"",$I42/$H42)</f>
        <v/>
      </c>
      <c r="K42" s="35"/>
    </row>
    <row r="43" customFormat="false" ht="15" hidden="false" customHeight="false" outlineLevel="0" collapsed="false">
      <c r="A43" s="67"/>
      <c r="B43" s="68"/>
      <c r="C43" s="27"/>
      <c r="D43" s="25"/>
      <c r="E43" s="71" t="str">
        <f aca="false">IF($A43="","",Assumptions!$B$4)</f>
        <v/>
      </c>
      <c r="F43" s="42" t="str">
        <f aca="false">IF(OR($A43="",$C43=""),"",MAX($C43*$E43,Assumptions!$B$5))</f>
        <v/>
      </c>
      <c r="G43" s="42" t="str">
        <f aca="false">IF($F43="","",$C43-$F43)</f>
        <v/>
      </c>
      <c r="H43" s="27"/>
      <c r="I43" s="42" t="str">
        <f aca="false">IF(OR($G43="",$H43=""),"",$G43-$H43)</f>
        <v/>
      </c>
      <c r="J43" s="41" t="str">
        <f aca="false">IF(OR($I43="",$H43="",$H43=0),"",$I43/$H43)</f>
        <v/>
      </c>
      <c r="K43" s="35"/>
    </row>
    <row r="44" customFormat="false" ht="15" hidden="false" customHeight="false" outlineLevel="0" collapsed="false">
      <c r="A44" s="67"/>
      <c r="B44" s="68"/>
      <c r="C44" s="27"/>
      <c r="D44" s="25"/>
      <c r="E44" s="71" t="str">
        <f aca="false">IF($A44="","",Assumptions!$B$4)</f>
        <v/>
      </c>
      <c r="F44" s="42" t="str">
        <f aca="false">IF(OR($A44="",$C44=""),"",MAX($C44*$E44,Assumptions!$B$5))</f>
        <v/>
      </c>
      <c r="G44" s="42" t="str">
        <f aca="false">IF($F44="","",$C44-$F44)</f>
        <v/>
      </c>
      <c r="H44" s="27"/>
      <c r="I44" s="42" t="str">
        <f aca="false">IF(OR($G44="",$H44=""),"",$G44-$H44)</f>
        <v/>
      </c>
      <c r="J44" s="41" t="str">
        <f aca="false">IF(OR($I44="",$H44="",$H44=0),"",$I44/$H44)</f>
        <v/>
      </c>
      <c r="K44" s="35"/>
    </row>
    <row r="45" customFormat="false" ht="15" hidden="false" customHeight="false" outlineLevel="0" collapsed="false">
      <c r="A45" s="67"/>
      <c r="B45" s="68"/>
      <c r="C45" s="27"/>
      <c r="D45" s="25"/>
      <c r="E45" s="71" t="str">
        <f aca="false">IF($A45="","",Assumptions!$B$4)</f>
        <v/>
      </c>
      <c r="F45" s="42" t="str">
        <f aca="false">IF(OR($A45="",$C45=""),"",MAX($C45*$E45,Assumptions!$B$5))</f>
        <v/>
      </c>
      <c r="G45" s="42" t="str">
        <f aca="false">IF($F45="","",$C45-$F45)</f>
        <v/>
      </c>
      <c r="H45" s="27"/>
      <c r="I45" s="42" t="str">
        <f aca="false">IF(OR($G45="",$H45=""),"",$G45-$H45)</f>
        <v/>
      </c>
      <c r="J45" s="41" t="str">
        <f aca="false">IF(OR($I45="",$H45="",$H45=0),"",$I45/$H45)</f>
        <v/>
      </c>
      <c r="K45" s="35"/>
    </row>
    <row r="46" customFormat="false" ht="15" hidden="false" customHeight="false" outlineLevel="0" collapsed="false">
      <c r="A46" s="67"/>
      <c r="B46" s="68"/>
      <c r="C46" s="27"/>
      <c r="D46" s="25"/>
      <c r="E46" s="71" t="str">
        <f aca="false">IF($A46="","",Assumptions!$B$4)</f>
        <v/>
      </c>
      <c r="F46" s="42" t="str">
        <f aca="false">IF(OR($A46="",$C46=""),"",MAX($C46*$E46,Assumptions!$B$5))</f>
        <v/>
      </c>
      <c r="G46" s="42" t="str">
        <f aca="false">IF($F46="","",$C46-$F46)</f>
        <v/>
      </c>
      <c r="H46" s="27"/>
      <c r="I46" s="42" t="str">
        <f aca="false">IF(OR($G46="",$H46=""),"",$G46-$H46)</f>
        <v/>
      </c>
      <c r="J46" s="41" t="str">
        <f aca="false">IF(OR($I46="",$H46="",$H46=0),"",$I46/$H46)</f>
        <v/>
      </c>
      <c r="K46" s="35"/>
    </row>
    <row r="47" customFormat="false" ht="15" hidden="false" customHeight="false" outlineLevel="0" collapsed="false">
      <c r="A47" s="67"/>
      <c r="B47" s="68"/>
      <c r="C47" s="27"/>
      <c r="D47" s="25"/>
      <c r="E47" s="71" t="str">
        <f aca="false">IF($A47="","",Assumptions!$B$4)</f>
        <v/>
      </c>
      <c r="F47" s="42" t="str">
        <f aca="false">IF(OR($A47="",$C47=""),"",MAX($C47*$E47,Assumptions!$B$5))</f>
        <v/>
      </c>
      <c r="G47" s="42" t="str">
        <f aca="false">IF($F47="","",$C47-$F47)</f>
        <v/>
      </c>
      <c r="H47" s="27"/>
      <c r="I47" s="42" t="str">
        <f aca="false">IF(OR($G47="",$H47=""),"",$G47-$H47)</f>
        <v/>
      </c>
      <c r="J47" s="41" t="str">
        <f aca="false">IF(OR($I47="",$H47="",$H47=0),"",$I47/$H47)</f>
        <v/>
      </c>
      <c r="K47" s="35"/>
    </row>
    <row r="48" customFormat="false" ht="15" hidden="false" customHeight="false" outlineLevel="0" collapsed="false">
      <c r="A48" s="67"/>
      <c r="B48" s="68"/>
      <c r="C48" s="27"/>
      <c r="D48" s="25"/>
      <c r="E48" s="71" t="str">
        <f aca="false">IF($A48="","",Assumptions!$B$4)</f>
        <v/>
      </c>
      <c r="F48" s="42" t="str">
        <f aca="false">IF(OR($A48="",$C48=""),"",MAX($C48*$E48,Assumptions!$B$5))</f>
        <v/>
      </c>
      <c r="G48" s="42" t="str">
        <f aca="false">IF($F48="","",$C48-$F48)</f>
        <v/>
      </c>
      <c r="H48" s="27"/>
      <c r="I48" s="42" t="str">
        <f aca="false">IF(OR($G48="",$H48=""),"",$G48-$H48)</f>
        <v/>
      </c>
      <c r="J48" s="41" t="str">
        <f aca="false">IF(OR($I48="",$H48="",$H48=0),"",$I48/$H48)</f>
        <v/>
      </c>
      <c r="K48" s="35"/>
    </row>
    <row r="49" customFormat="false" ht="15" hidden="false" customHeight="false" outlineLevel="0" collapsed="false">
      <c r="A49" s="67"/>
      <c r="B49" s="68"/>
      <c r="C49" s="27"/>
      <c r="D49" s="25"/>
      <c r="E49" s="71" t="str">
        <f aca="false">IF($A49="","",Assumptions!$B$4)</f>
        <v/>
      </c>
      <c r="F49" s="42" t="str">
        <f aca="false">IF(OR($A49="",$C49=""),"",MAX($C49*$E49,Assumptions!$B$5))</f>
        <v/>
      </c>
      <c r="G49" s="42" t="str">
        <f aca="false">IF($F49="","",$C49-$F49)</f>
        <v/>
      </c>
      <c r="H49" s="27"/>
      <c r="I49" s="42" t="str">
        <f aca="false">IF(OR($G49="",$H49=""),"",$G49-$H49)</f>
        <v/>
      </c>
      <c r="J49" s="41" t="str">
        <f aca="false">IF(OR($I49="",$H49="",$H49=0),"",$I49/$H49)</f>
        <v/>
      </c>
      <c r="K49" s="35"/>
    </row>
    <row r="50" customFormat="false" ht="15" hidden="false" customHeight="false" outlineLevel="0" collapsed="false">
      <c r="A50" s="67"/>
      <c r="B50" s="68"/>
      <c r="C50" s="27"/>
      <c r="D50" s="25"/>
      <c r="E50" s="71" t="str">
        <f aca="false">IF($A50="","",Assumptions!$B$4)</f>
        <v/>
      </c>
      <c r="F50" s="42" t="str">
        <f aca="false">IF(OR($A50="",$C50=""),"",MAX($C50*$E50,Assumptions!$B$5))</f>
        <v/>
      </c>
      <c r="G50" s="42" t="str">
        <f aca="false">IF($F50="","",$C50-$F50)</f>
        <v/>
      </c>
      <c r="H50" s="27"/>
      <c r="I50" s="42" t="str">
        <f aca="false">IF(OR($G50="",$H50=""),"",$G50-$H50)</f>
        <v/>
      </c>
      <c r="J50" s="41" t="str">
        <f aca="false">IF(OR($I50="",$H50="",$H50=0),"",$I50/$H50)</f>
        <v/>
      </c>
      <c r="K50" s="35"/>
    </row>
    <row r="51" customFormat="false" ht="15" hidden="false" customHeight="false" outlineLevel="0" collapsed="false">
      <c r="A51" s="67"/>
      <c r="B51" s="68"/>
      <c r="C51" s="27"/>
      <c r="D51" s="25"/>
      <c r="E51" s="71" t="str">
        <f aca="false">IF($A51="","",Assumptions!$B$4)</f>
        <v/>
      </c>
      <c r="F51" s="42" t="str">
        <f aca="false">IF(OR($A51="",$C51=""),"",MAX($C51*$E51,Assumptions!$B$5))</f>
        <v/>
      </c>
      <c r="G51" s="42" t="str">
        <f aca="false">IF($F51="","",$C51-$F51)</f>
        <v/>
      </c>
      <c r="H51" s="27"/>
      <c r="I51" s="42" t="str">
        <f aca="false">IF(OR($G51="",$H51=""),"",$G51-$H51)</f>
        <v/>
      </c>
      <c r="J51" s="41" t="str">
        <f aca="false">IF(OR($I51="",$H51="",$H51=0),"",$I51/$H51)</f>
        <v/>
      </c>
      <c r="K51" s="35"/>
    </row>
    <row r="52" customFormat="false" ht="15" hidden="false" customHeight="false" outlineLevel="0" collapsed="false">
      <c r="A52" s="67"/>
      <c r="B52" s="68"/>
      <c r="C52" s="27"/>
      <c r="D52" s="25"/>
      <c r="E52" s="71" t="str">
        <f aca="false">IF($A52="","",Assumptions!$B$4)</f>
        <v/>
      </c>
      <c r="F52" s="42" t="str">
        <f aca="false">IF(OR($A52="",$C52=""),"",MAX($C52*$E52,Assumptions!$B$5))</f>
        <v/>
      </c>
      <c r="G52" s="42" t="str">
        <f aca="false">IF($F52="","",$C52-$F52)</f>
        <v/>
      </c>
      <c r="H52" s="27"/>
      <c r="I52" s="42" t="str">
        <f aca="false">IF(OR($G52="",$H52=""),"",$G52-$H52)</f>
        <v/>
      </c>
      <c r="J52" s="41" t="str">
        <f aca="false">IF(OR($I52="",$H52="",$H52=0),"",$I52/$H52)</f>
        <v/>
      </c>
      <c r="K52" s="35"/>
    </row>
    <row r="53" customFormat="false" ht="15" hidden="false" customHeight="false" outlineLevel="0" collapsed="false">
      <c r="A53" s="67"/>
      <c r="B53" s="68"/>
      <c r="C53" s="27"/>
      <c r="D53" s="25"/>
      <c r="E53" s="71" t="str">
        <f aca="false">IF($A53="","",Assumptions!$B$4)</f>
        <v/>
      </c>
      <c r="F53" s="42" t="str">
        <f aca="false">IF(OR($A53="",$C53=""),"",MAX($C53*$E53,Assumptions!$B$5))</f>
        <v/>
      </c>
      <c r="G53" s="42" t="str">
        <f aca="false">IF($F53="","",$C53-$F53)</f>
        <v/>
      </c>
      <c r="H53" s="27"/>
      <c r="I53" s="42" t="str">
        <f aca="false">IF(OR($G53="",$H53=""),"",$G53-$H53)</f>
        <v/>
      </c>
      <c r="J53" s="41" t="str">
        <f aca="false">IF(OR($I53="",$H53="",$H53=0),"",$I53/$H53)</f>
        <v/>
      </c>
      <c r="K53" s="35"/>
    </row>
    <row r="54" customFormat="false" ht="15" hidden="false" customHeight="false" outlineLevel="0" collapsed="false">
      <c r="A54" s="67"/>
      <c r="B54" s="68"/>
      <c r="C54" s="27"/>
      <c r="D54" s="25"/>
      <c r="E54" s="71" t="str">
        <f aca="false">IF($A54="","",Assumptions!$B$4)</f>
        <v/>
      </c>
      <c r="F54" s="42" t="str">
        <f aca="false">IF(OR($A54="",$C54=""),"",MAX($C54*$E54,Assumptions!$B$5))</f>
        <v/>
      </c>
      <c r="G54" s="42" t="str">
        <f aca="false">IF($F54="","",$C54-$F54)</f>
        <v/>
      </c>
      <c r="H54" s="27"/>
      <c r="I54" s="42" t="str">
        <f aca="false">IF(OR($G54="",$H54=""),"",$G54-$H54)</f>
        <v/>
      </c>
      <c r="J54" s="41" t="str">
        <f aca="false">IF(OR($I54="",$H54="",$H54=0),"",$I54/$H54)</f>
        <v/>
      </c>
      <c r="K54" s="35"/>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4"/>
    <col collapsed="false" customWidth="true" hidden="false" outlineLevel="0" max="4" min="4" style="0" width="78"/>
  </cols>
  <sheetData>
    <row r="1" customFormat="false" ht="24" hidden="false" customHeight="true" outlineLevel="0" collapsed="false">
      <c r="A1" s="1" t="s">
        <v>653</v>
      </c>
      <c r="B1" s="1"/>
      <c r="C1" s="1"/>
      <c r="D1" s="1"/>
    </row>
    <row r="3" customFormat="false" ht="15" hidden="false" customHeight="false" outlineLevel="0" collapsed="false">
      <c r="A3" s="47" t="s">
        <v>654</v>
      </c>
      <c r="B3" s="48"/>
      <c r="C3" s="48"/>
      <c r="D3" s="48"/>
    </row>
    <row r="4" customFormat="false" ht="18" hidden="false" customHeight="true" outlineLevel="0" collapsed="false">
      <c r="A4" s="8" t="s">
        <v>655</v>
      </c>
      <c r="B4" s="72" t="n">
        <f aca="false">COUNTIF(Portfolio!$C$5:$C$104,"Active")</f>
        <v>1</v>
      </c>
      <c r="D4" s="73" t="s">
        <v>656</v>
      </c>
    </row>
    <row r="5" customFormat="false" ht="18" hidden="false" customHeight="true" outlineLevel="0" collapsed="false">
      <c r="A5" s="8" t="s">
        <v>657</v>
      </c>
      <c r="B5" s="74" t="n">
        <f aca="false">SUMIF(Portfolio!$C$5:$C$104,"Active",Portfolio!$E$5:$E$104)</f>
        <v>2400</v>
      </c>
      <c r="D5" s="73" t="s">
        <v>658</v>
      </c>
    </row>
    <row r="6" customFormat="false" ht="18" hidden="false" customHeight="true" outlineLevel="0" collapsed="false">
      <c r="A6" s="8" t="s">
        <v>659</v>
      </c>
      <c r="B6" s="74" t="n">
        <f aca="false">SUMIF(Portfolio!$C$5:$C$104,"Active",Portfolio!$I$5:$I$104)</f>
        <v>22</v>
      </c>
      <c r="D6" s="73" t="s">
        <v>660</v>
      </c>
    </row>
    <row r="7" customFormat="false" ht="18" hidden="false" customHeight="true" outlineLevel="0" collapsed="false">
      <c r="A7" s="8" t="s">
        <v>661</v>
      </c>
      <c r="B7" s="74" t="n">
        <f aca="false">SUMIF(Portfolio!$C$5:$C$104,"Active",Portfolio!$J$5:$J$104)</f>
        <v>2422</v>
      </c>
      <c r="D7" s="73" t="s">
        <v>662</v>
      </c>
    </row>
    <row r="8" customFormat="false" ht="31.5" hidden="false" customHeight="true" outlineLevel="0" collapsed="false">
      <c r="A8" s="8" t="s">
        <v>663</v>
      </c>
      <c r="B8" s="74" t="n">
        <f aca="false">SUMIF(Portfolio!$C$5:$C$104,"Active",Portfolio!$F$5:$F$104)</f>
        <v>11</v>
      </c>
      <c r="D8" s="73" t="s">
        <v>664</v>
      </c>
    </row>
    <row r="10" customFormat="false" ht="15" hidden="false" customHeight="false" outlineLevel="0" collapsed="false">
      <c r="A10" s="47" t="s">
        <v>665</v>
      </c>
      <c r="B10" s="48"/>
      <c r="C10" s="48"/>
      <c r="D10" s="48"/>
    </row>
    <row r="11" customFormat="false" ht="18" hidden="false" customHeight="true" outlineLevel="0" collapsed="false">
      <c r="A11" s="8" t="s">
        <v>666</v>
      </c>
      <c r="B11" s="72" t="n">
        <f aca="false">COUNTIF('Sales Log'!$A$5:$A$54,"&lt;&gt;")</f>
        <v>1</v>
      </c>
      <c r="D11" s="73" t="s">
        <v>667</v>
      </c>
    </row>
    <row r="12" customFormat="false" ht="18" hidden="false" customHeight="true" outlineLevel="0" collapsed="false">
      <c r="A12" s="8" t="s">
        <v>668</v>
      </c>
      <c r="B12" s="74" t="n">
        <f aca="false">SUM('Sales Log'!$C$5:$C$54)</f>
        <v>11500</v>
      </c>
      <c r="D12" s="73" t="s">
        <v>669</v>
      </c>
    </row>
    <row r="13" customFormat="false" ht="18" hidden="false" customHeight="true" outlineLevel="0" collapsed="false">
      <c r="A13" s="8" t="s">
        <v>670</v>
      </c>
      <c r="B13" s="74" t="n">
        <f aca="false">SUM('Sales Log'!$G$5:$G$54)</f>
        <v>9200</v>
      </c>
      <c r="D13" s="73" t="s">
        <v>671</v>
      </c>
    </row>
    <row r="14" customFormat="false" ht="18" hidden="false" customHeight="true" outlineLevel="0" collapsed="false">
      <c r="A14" s="8" t="s">
        <v>672</v>
      </c>
      <c r="B14" s="74" t="n">
        <f aca="false">SUM('Sales Log'!$I$5:$I$54)</f>
        <v>6767</v>
      </c>
      <c r="D14" s="73" t="s">
        <v>673</v>
      </c>
    </row>
    <row r="15" customFormat="false" ht="31.5" hidden="false" customHeight="true" outlineLevel="0" collapsed="false">
      <c r="A15" s="8" t="s">
        <v>674</v>
      </c>
      <c r="B15" s="75" t="n">
        <f aca="false">IF($B$8=0,"n/a",SUM('Sales Log'!$I$5:$I$54)/$B$8)</f>
        <v>615.181818181818</v>
      </c>
      <c r="D15" s="73" t="s">
        <v>675</v>
      </c>
    </row>
    <row r="17" customFormat="false" ht="15" hidden="false" customHeight="false" outlineLevel="0" collapsed="false">
      <c r="A17" s="47" t="s">
        <v>676</v>
      </c>
      <c r="B17" s="48"/>
      <c r="C17" s="48"/>
      <c r="D17" s="48"/>
    </row>
    <row r="18" customFormat="false" ht="31.5" hidden="false" customHeight="true" outlineLevel="0" collapsed="false">
      <c r="A18" s="8" t="s">
        <v>677</v>
      </c>
      <c r="B18" s="76" t="n">
        <f aca="false">IF(($B$4+COUNTIF('Sales Log'!$A$5:$A$54,"&lt;&gt;"))=0,"n/a",COUNTIF('Sales Log'!$A$5:$A$54,"&lt;&gt;")/($B$4+COUNTIF('Sales Log'!$A$5:$A$54,"&lt;&gt;")))</f>
        <v>0.5</v>
      </c>
      <c r="D18" s="73" t="s">
        <v>678</v>
      </c>
    </row>
    <row r="19" customFormat="false" ht="18" hidden="false" customHeight="true" outlineLevel="0" collapsed="false">
      <c r="A19" s="8" t="s">
        <v>679</v>
      </c>
      <c r="B19" s="76" t="n">
        <f aca="false">Assumptions!$B$6</f>
        <v>0.01</v>
      </c>
      <c r="D19" s="73" t="s">
        <v>680</v>
      </c>
    </row>
    <row r="20" customFormat="false" ht="18" hidden="false" customHeight="true" outlineLevel="0" collapsed="false">
      <c r="A20" s="8" t="s">
        <v>681</v>
      </c>
      <c r="B20" s="77" t="n">
        <f aca="false">$B$4*Assumptions!$B$6</f>
        <v>0.01</v>
      </c>
      <c r="D20" s="73" t="s">
        <v>682</v>
      </c>
    </row>
    <row r="22" customFormat="false" ht="15" hidden="false" customHeight="false" outlineLevel="0" collapsed="false">
      <c r="A22" s="47" t="s">
        <v>683</v>
      </c>
      <c r="B22" s="48"/>
      <c r="C22" s="48"/>
      <c r="D22" s="48"/>
    </row>
    <row r="23" customFormat="false" ht="18" hidden="false" customHeight="true" outlineLevel="0" collapsed="false">
      <c r="A23" s="8" t="s">
        <v>684</v>
      </c>
      <c r="B23" s="72" t="n">
        <f aca="false">COUNTIF(Candidates!$A$5:$A$204,"&lt;&gt;")</f>
        <v>200</v>
      </c>
      <c r="D23" s="73" t="s">
        <v>685</v>
      </c>
    </row>
    <row r="24" customFormat="false" ht="18" hidden="false" customHeight="true" outlineLevel="0" collapsed="false">
      <c r="A24" s="8" t="s">
        <v>686</v>
      </c>
      <c r="B24" s="72" t="n">
        <f aca="false">COUNTIF(Candidates!$V$5:$V$204,"BUY")</f>
        <v>0</v>
      </c>
      <c r="D24" s="73" t="s">
        <v>687</v>
      </c>
    </row>
    <row r="25" customFormat="false" ht="18" hidden="false" customHeight="true" outlineLevel="0" collapsed="false">
      <c r="A25" s="8" t="s">
        <v>688</v>
      </c>
      <c r="B25" s="72" t="n">
        <f aca="false">COUNTIF(Candidates!$V$5:$V$204,"MARGINAL")</f>
        <v>0</v>
      </c>
      <c r="D25" s="73" t="s">
        <v>689</v>
      </c>
    </row>
    <row r="26" customFormat="false" ht="18" hidden="false" customHeight="true" outlineLevel="0" collapsed="false">
      <c r="A26" s="8" t="s">
        <v>690</v>
      </c>
      <c r="B26" s="72" t="n">
        <f aca="false">COUNTIF(Candidates!$V$5:$V$204,"NEEDS VALUATION")+COUNTIF(Candidates!$V$5:$V$204,"NEEDS PRICE")</f>
        <v>190</v>
      </c>
      <c r="D26" s="73" t="s">
        <v>691</v>
      </c>
    </row>
    <row r="27" customFormat="false" ht="18" hidden="false" customHeight="true" outlineLevel="0" collapsed="false">
      <c r="A27" s="8" t="s">
        <v>692</v>
      </c>
      <c r="B27" s="72" t="n">
        <f aca="false">COUNTIF(Candidates!$V$5:$V$204,"PASS")+COUNTIF(Candidates!$V$5:$V$204,"REJECT")</f>
        <v>10</v>
      </c>
      <c r="D27" s="73" t="s">
        <v>693</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3" min="3" style="0" width="14"/>
    <col collapsed="false" customWidth="true" hidden="false" outlineLevel="0" max="4" min="4" style="0" width="58"/>
    <col collapsed="false" customWidth="true" hidden="false" outlineLevel="0" max="5" min="5" style="0" width="46"/>
  </cols>
  <sheetData>
    <row r="1" customFormat="false" ht="24" hidden="false" customHeight="true" outlineLevel="0" collapsed="false">
      <c r="A1" s="1" t="s">
        <v>694</v>
      </c>
      <c r="B1" s="1"/>
      <c r="C1" s="1"/>
      <c r="D1" s="1"/>
      <c r="E1" s="1"/>
    </row>
    <row r="3" customFormat="false" ht="46.25" hidden="false" customHeight="false" outlineLevel="0" collapsed="false">
      <c r="A3" s="78" t="s">
        <v>695</v>
      </c>
    </row>
    <row r="5" customFormat="false" ht="42" hidden="false" customHeight="true" outlineLevel="0" collapsed="false">
      <c r="A5" s="7" t="s">
        <v>696</v>
      </c>
      <c r="B5" s="7" t="s">
        <v>42</v>
      </c>
      <c r="C5" s="7" t="s">
        <v>697</v>
      </c>
      <c r="D5" s="7" t="s">
        <v>698</v>
      </c>
      <c r="E5" s="7" t="s">
        <v>699</v>
      </c>
    </row>
    <row r="6" customFormat="false" ht="30" hidden="false" customHeight="true" outlineLevel="0" collapsed="false">
      <c r="A6" s="18" t="s">
        <v>700</v>
      </c>
      <c r="B6" s="40" t="s">
        <v>701</v>
      </c>
      <c r="C6" s="40" t="s">
        <v>702</v>
      </c>
      <c r="D6" s="8" t="s">
        <v>703</v>
      </c>
      <c r="E6" s="8" t="s">
        <v>704</v>
      </c>
    </row>
    <row r="7" customFormat="false" ht="30" hidden="false" customHeight="true" outlineLevel="0" collapsed="false">
      <c r="A7" s="18" t="s">
        <v>705</v>
      </c>
      <c r="B7" s="40" t="s">
        <v>706</v>
      </c>
      <c r="C7" s="40" t="s">
        <v>702</v>
      </c>
      <c r="D7" s="8" t="s">
        <v>707</v>
      </c>
      <c r="E7" s="8" t="s">
        <v>704</v>
      </c>
    </row>
    <row r="8" customFormat="false" ht="30" hidden="false" customHeight="true" outlineLevel="0" collapsed="false">
      <c r="A8" s="18" t="s">
        <v>708</v>
      </c>
      <c r="B8" s="40" t="s">
        <v>709</v>
      </c>
      <c r="C8" s="40" t="s">
        <v>702</v>
      </c>
      <c r="D8" s="8" t="s">
        <v>710</v>
      </c>
      <c r="E8" s="8" t="s">
        <v>704</v>
      </c>
    </row>
    <row r="9" customFormat="false" ht="30" hidden="false" customHeight="true" outlineLevel="0" collapsed="false">
      <c r="A9" s="18" t="s">
        <v>711</v>
      </c>
      <c r="B9" s="40" t="s">
        <v>712</v>
      </c>
      <c r="C9" s="40" t="s">
        <v>713</v>
      </c>
      <c r="D9" s="8" t="s">
        <v>714</v>
      </c>
      <c r="E9" s="8" t="s">
        <v>715</v>
      </c>
    </row>
    <row r="10" customFormat="false" ht="30" hidden="false" customHeight="true" outlineLevel="0" collapsed="false">
      <c r="A10" s="18" t="s">
        <v>716</v>
      </c>
      <c r="B10" s="40" t="s">
        <v>717</v>
      </c>
      <c r="C10" s="40" t="s">
        <v>702</v>
      </c>
      <c r="D10" s="8" t="s">
        <v>718</v>
      </c>
      <c r="E10" s="8" t="s">
        <v>704</v>
      </c>
    </row>
    <row r="11" customFormat="false" ht="30" hidden="false" customHeight="true" outlineLevel="0" collapsed="false">
      <c r="A11" s="18" t="s">
        <v>719</v>
      </c>
      <c r="B11" s="40" t="s">
        <v>720</v>
      </c>
      <c r="C11" s="40" t="s">
        <v>702</v>
      </c>
      <c r="D11" s="8" t="s">
        <v>721</v>
      </c>
      <c r="E11" s="8" t="s">
        <v>704</v>
      </c>
    </row>
    <row r="12" customFormat="false" ht="30" hidden="false" customHeight="true" outlineLevel="0" collapsed="false">
      <c r="A12" s="18" t="s">
        <v>722</v>
      </c>
      <c r="B12" s="40" t="s">
        <v>723</v>
      </c>
      <c r="C12" s="40" t="s">
        <v>702</v>
      </c>
      <c r="D12" s="8" t="s">
        <v>724</v>
      </c>
      <c r="E12" s="8" t="s">
        <v>704</v>
      </c>
    </row>
    <row r="13" customFormat="false" ht="30" hidden="false" customHeight="true" outlineLevel="0" collapsed="false">
      <c r="A13" s="18" t="s">
        <v>725</v>
      </c>
      <c r="B13" s="40" t="s">
        <v>726</v>
      </c>
      <c r="C13" s="40" t="s">
        <v>702</v>
      </c>
      <c r="D13" s="8" t="s">
        <v>724</v>
      </c>
      <c r="E13" s="8" t="s">
        <v>704</v>
      </c>
    </row>
    <row r="14" customFormat="false" ht="30" hidden="false" customHeight="true" outlineLevel="0" collapsed="false">
      <c r="A14" s="18" t="s">
        <v>727</v>
      </c>
      <c r="B14" s="40" t="s">
        <v>728</v>
      </c>
      <c r="C14" s="40" t="s">
        <v>702</v>
      </c>
      <c r="D14" s="8" t="s">
        <v>729</v>
      </c>
      <c r="E14" s="8" t="s">
        <v>704</v>
      </c>
    </row>
    <row r="15" customFormat="false" ht="30" hidden="false" customHeight="true" outlineLevel="0" collapsed="false">
      <c r="A15" s="18" t="s">
        <v>730</v>
      </c>
      <c r="B15" s="40" t="s">
        <v>731</v>
      </c>
      <c r="C15" s="40" t="s">
        <v>702</v>
      </c>
      <c r="D15" s="8" t="s">
        <v>732</v>
      </c>
      <c r="E15" s="8" t="s">
        <v>715</v>
      </c>
    </row>
    <row r="16" customFormat="false" ht="30" hidden="false" customHeight="true" outlineLevel="0" collapsed="false">
      <c r="A16" s="18" t="s">
        <v>733</v>
      </c>
      <c r="B16" s="40" t="s">
        <v>734</v>
      </c>
      <c r="C16" s="40" t="s">
        <v>713</v>
      </c>
      <c r="D16" s="8" t="s">
        <v>735</v>
      </c>
      <c r="E16" s="8" t="s">
        <v>715</v>
      </c>
    </row>
    <row r="17" customFormat="false" ht="30" hidden="false" customHeight="true" outlineLevel="0" collapsed="false">
      <c r="A17" s="18" t="s">
        <v>736</v>
      </c>
      <c r="B17" s="40" t="s">
        <v>737</v>
      </c>
      <c r="C17" s="40" t="s">
        <v>702</v>
      </c>
      <c r="D17" s="8" t="s">
        <v>738</v>
      </c>
      <c r="E17" s="8" t="s">
        <v>739</v>
      </c>
    </row>
    <row r="18" customFormat="false" ht="30" hidden="false" customHeight="true" outlineLevel="0" collapsed="false">
      <c r="A18" s="18" t="s">
        <v>740</v>
      </c>
      <c r="B18" s="40" t="s">
        <v>741</v>
      </c>
      <c r="C18" s="40" t="s">
        <v>702</v>
      </c>
      <c r="D18" s="8" t="s">
        <v>742</v>
      </c>
      <c r="E18" s="8" t="s">
        <v>743</v>
      </c>
    </row>
    <row r="19" customFormat="false" ht="30" hidden="false" customHeight="true" outlineLevel="0" collapsed="false">
      <c r="A19" s="18" t="s">
        <v>744</v>
      </c>
      <c r="B19" s="40" t="s">
        <v>745</v>
      </c>
      <c r="C19" s="40" t="s">
        <v>702</v>
      </c>
      <c r="D19" s="8" t="s">
        <v>746</v>
      </c>
      <c r="E19" s="8" t="s">
        <v>747</v>
      </c>
    </row>
    <row r="20" customFormat="false" ht="30" hidden="false" customHeight="true" outlineLevel="0" collapsed="false">
      <c r="A20" s="18" t="s">
        <v>748</v>
      </c>
      <c r="B20" s="40" t="s">
        <v>749</v>
      </c>
      <c r="C20" s="40" t="s">
        <v>702</v>
      </c>
      <c r="D20" s="8" t="s">
        <v>750</v>
      </c>
      <c r="E20" s="8" t="s">
        <v>751</v>
      </c>
    </row>
    <row r="21" customFormat="false" ht="30" hidden="false" customHeight="true" outlineLevel="0" collapsed="false">
      <c r="A21" s="18" t="s">
        <v>752</v>
      </c>
      <c r="B21" s="40" t="s">
        <v>753</v>
      </c>
      <c r="C21" s="40" t="s">
        <v>702</v>
      </c>
      <c r="D21" s="8" t="s">
        <v>754</v>
      </c>
      <c r="E21" s="8" t="s">
        <v>751</v>
      </c>
    </row>
    <row r="22" customFormat="false" ht="30" hidden="false" customHeight="true" outlineLevel="0" collapsed="false">
      <c r="A22" s="18" t="s">
        <v>755</v>
      </c>
      <c r="B22" s="40" t="s">
        <v>756</v>
      </c>
      <c r="C22" s="40" t="s">
        <v>702</v>
      </c>
      <c r="D22" s="8" t="s">
        <v>757</v>
      </c>
      <c r="E22" s="8" t="s">
        <v>758</v>
      </c>
    </row>
    <row r="24" customFormat="false" ht="15" hidden="false" customHeight="false" outlineLevel="0" collapsed="false">
      <c r="A24" s="49" t="s">
        <v>759</v>
      </c>
    </row>
    <row r="25" customFormat="false" ht="15" hidden="false" customHeight="false" outlineLevel="0" collapsed="false">
      <c r="A25" s="79" t="s">
        <v>760</v>
      </c>
      <c r="B25" s="79"/>
      <c r="C25" s="79"/>
      <c r="D25" s="79"/>
      <c r="E25" s="79"/>
    </row>
    <row r="26" customFormat="false" ht="15" hidden="false" customHeight="false" outlineLevel="0" collapsed="false">
      <c r="A26" s="79" t="s">
        <v>761</v>
      </c>
      <c r="B26" s="79"/>
      <c r="C26" s="79"/>
      <c r="D26" s="79"/>
      <c r="E26" s="79"/>
    </row>
    <row r="27" customFormat="false" ht="15" hidden="false" customHeight="false" outlineLevel="0" collapsed="false">
      <c r="A27" s="79" t="s">
        <v>762</v>
      </c>
      <c r="B27" s="79"/>
      <c r="C27" s="79"/>
      <c r="D27" s="79"/>
      <c r="E27" s="79"/>
    </row>
    <row r="28" customFormat="false" ht="15" hidden="false" customHeight="false" outlineLevel="0" collapsed="false">
      <c r="A28" s="79" t="s">
        <v>763</v>
      </c>
      <c r="B28" s="79"/>
      <c r="C28" s="79"/>
      <c r="D28" s="79"/>
      <c r="E28" s="79"/>
    </row>
    <row r="29" customFormat="false" ht="15" hidden="false" customHeight="false" outlineLevel="0" collapsed="false">
      <c r="A29" s="79" t="s">
        <v>764</v>
      </c>
      <c r="B29" s="79"/>
      <c r="C29" s="79"/>
      <c r="D29" s="79"/>
      <c r="E29" s="79"/>
    </row>
  </sheetData>
  <mergeCells count="6">
    <mergeCell ref="A1:E1"/>
    <mergeCell ref="A25:E25"/>
    <mergeCell ref="A26:E26"/>
    <mergeCell ref="A27:E27"/>
    <mergeCell ref="A28:E28"/>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16"/>
    <col collapsed="false" customWidth="true" hidden="false" outlineLevel="0" max="4" min="4" style="0" width="60"/>
    <col collapsed="false" customWidth="true" hidden="true" outlineLevel="0" max="5" min="5" style="0" width="40"/>
  </cols>
  <sheetData>
    <row r="1" customFormat="false" ht="24" hidden="false" customHeight="true" outlineLevel="0" collapsed="false">
      <c r="A1" s="1" t="s">
        <v>765</v>
      </c>
      <c r="B1" s="1"/>
      <c r="C1" s="1"/>
      <c r="D1" s="1"/>
      <c r="E1" s="1"/>
    </row>
    <row r="3" customFormat="false" ht="15" hidden="false" customHeight="false" outlineLevel="0" collapsed="false">
      <c r="A3" s="47" t="s">
        <v>766</v>
      </c>
      <c r="B3" s="48"/>
      <c r="C3" s="48"/>
      <c r="D3" s="48"/>
      <c r="E3" s="48"/>
    </row>
    <row r="4" customFormat="false" ht="15" hidden="false" customHeight="false" outlineLevel="0" collapsed="false">
      <c r="A4" s="80" t="s">
        <v>767</v>
      </c>
      <c r="B4" s="80" t="s">
        <v>42</v>
      </c>
      <c r="C4" s="80" t="s">
        <v>768</v>
      </c>
      <c r="D4" s="80" t="s">
        <v>699</v>
      </c>
    </row>
    <row r="5" customFormat="false" ht="15" hidden="false" customHeight="false" outlineLevel="0" collapsed="false">
      <c r="A5" s="81" t="s">
        <v>769</v>
      </c>
      <c r="B5" s="82" t="n">
        <v>190109</v>
      </c>
      <c r="C5" s="40" t="s">
        <v>770</v>
      </c>
      <c r="D5" s="83" t="s">
        <v>771</v>
      </c>
    </row>
    <row r="6" customFormat="false" ht="15" hidden="false" customHeight="false" outlineLevel="0" collapsed="false">
      <c r="A6" s="81" t="s">
        <v>772</v>
      </c>
      <c r="B6" s="84" t="n">
        <v>314700000</v>
      </c>
      <c r="C6" s="40" t="s">
        <v>770</v>
      </c>
      <c r="D6" s="83" t="s">
        <v>773</v>
      </c>
    </row>
    <row r="7" customFormat="false" ht="15" hidden="false" customHeight="false" outlineLevel="0" collapsed="false">
      <c r="A7" s="81" t="s">
        <v>774</v>
      </c>
      <c r="B7" s="82" t="n">
        <v>128300</v>
      </c>
      <c r="C7" s="40" t="s">
        <v>775</v>
      </c>
      <c r="D7" s="83" t="s">
        <v>776</v>
      </c>
    </row>
    <row r="8" customFormat="false" ht="15" hidden="false" customHeight="false" outlineLevel="0" collapsed="false">
      <c r="A8" s="81" t="s">
        <v>777</v>
      </c>
      <c r="B8" s="82" t="n">
        <v>700</v>
      </c>
      <c r="C8" s="40" t="s">
        <v>778</v>
      </c>
      <c r="D8" s="83" t="s">
        <v>779</v>
      </c>
    </row>
    <row r="9" customFormat="false" ht="15" hidden="false" customHeight="false" outlineLevel="0" collapsed="false">
      <c r="A9" s="81" t="s">
        <v>780</v>
      </c>
      <c r="B9" s="82" t="n">
        <v>698</v>
      </c>
      <c r="C9" s="40" t="s">
        <v>781</v>
      </c>
      <c r="D9" s="83" t="s">
        <v>782</v>
      </c>
    </row>
    <row r="10" customFormat="false" ht="15" hidden="false" customHeight="false" outlineLevel="0" collapsed="false">
      <c r="A10" s="81" t="s">
        <v>783</v>
      </c>
      <c r="B10" s="82" t="n">
        <v>2262</v>
      </c>
      <c r="C10" s="40" t="s">
        <v>781</v>
      </c>
      <c r="D10" s="83" t="s">
        <v>784</v>
      </c>
    </row>
    <row r="11" customFormat="false" ht="15" hidden="false" customHeight="false" outlineLevel="0" collapsed="false">
      <c r="A11" s="81" t="s">
        <v>785</v>
      </c>
      <c r="B11" s="82" t="n">
        <v>480667</v>
      </c>
      <c r="C11" s="40" t="s">
        <v>786</v>
      </c>
      <c r="D11" s="83" t="s">
        <v>787</v>
      </c>
    </row>
    <row r="12" customFormat="false" ht="15" hidden="false" customHeight="false" outlineLevel="0" collapsed="false">
      <c r="A12" s="81" t="s">
        <v>788</v>
      </c>
      <c r="B12" s="82" t="n">
        <v>206000</v>
      </c>
      <c r="C12" s="40" t="s">
        <v>789</v>
      </c>
      <c r="D12" s="83" t="s">
        <v>790</v>
      </c>
    </row>
    <row r="13" customFormat="false" ht="15" hidden="false" customHeight="false" outlineLevel="0" collapsed="false">
      <c r="A13" s="81" t="s">
        <v>791</v>
      </c>
      <c r="B13" s="84" t="n">
        <v>303700000</v>
      </c>
      <c r="C13" s="40" t="s">
        <v>702</v>
      </c>
      <c r="D13" s="83" t="s">
        <v>792</v>
      </c>
    </row>
    <row r="14" customFormat="false" ht="42" hidden="false" customHeight="true" outlineLevel="0" collapsed="false">
      <c r="A14" s="85" t="s">
        <v>793</v>
      </c>
      <c r="B14" s="86" t="n">
        <f aca="false">B12/B13</f>
        <v>0.000678300954889694</v>
      </c>
      <c r="C14" s="40" t="s">
        <v>789</v>
      </c>
      <c r="D14" s="83" t="s">
        <v>794</v>
      </c>
    </row>
    <row r="16" customFormat="false" ht="15" hidden="false" customHeight="false" outlineLevel="0" collapsed="false">
      <c r="A16" s="47" t="s">
        <v>795</v>
      </c>
      <c r="B16" s="48"/>
      <c r="C16" s="48"/>
      <c r="D16" s="48"/>
      <c r="E16" s="48"/>
    </row>
    <row r="17" customFormat="false" ht="31.5" hidden="false" customHeight="true" outlineLevel="0" collapsed="false">
      <c r="A17" s="7" t="s">
        <v>796</v>
      </c>
      <c r="B17" s="7" t="s">
        <v>797</v>
      </c>
      <c r="C17" s="7" t="s">
        <v>798</v>
      </c>
      <c r="D17" s="7" t="s">
        <v>799</v>
      </c>
    </row>
    <row r="18" customFormat="false" ht="15" hidden="false" customHeight="false" outlineLevel="0" collapsed="false">
      <c r="A18" s="81" t="s">
        <v>800</v>
      </c>
      <c r="B18" s="87" t="n">
        <v>0.305</v>
      </c>
      <c r="C18" s="42"/>
      <c r="D18" s="88" t="n">
        <f aca="false">1</f>
        <v>1</v>
      </c>
      <c r="E18" s="89" t="n">
        <v>0</v>
      </c>
    </row>
    <row r="19" customFormat="false" ht="15" hidden="false" customHeight="false" outlineLevel="0" collapsed="false">
      <c r="A19" s="81" t="s">
        <v>801</v>
      </c>
      <c r="B19" s="87" t="n">
        <v>0.565</v>
      </c>
      <c r="C19" s="42" t="n">
        <v>255</v>
      </c>
      <c r="D19" s="88" t="n">
        <f aca="false">1-SUM($B$18:$B$18)</f>
        <v>0.695</v>
      </c>
      <c r="E19" s="89" t="n">
        <v>100</v>
      </c>
    </row>
    <row r="20" customFormat="false" ht="15" hidden="false" customHeight="false" outlineLevel="0" collapsed="false">
      <c r="A20" s="81" t="s">
        <v>802</v>
      </c>
      <c r="B20" s="87" t="n">
        <v>0.1236</v>
      </c>
      <c r="C20" s="42"/>
      <c r="D20" s="88" t="n">
        <f aca="false">1-SUM($B$18:$B$19)</f>
        <v>0.13</v>
      </c>
      <c r="E20" s="89" t="n">
        <v>1000</v>
      </c>
    </row>
    <row r="21" customFormat="false" ht="15" hidden="false" customHeight="false" outlineLevel="0" collapsed="false">
      <c r="A21" s="81" t="s">
        <v>803</v>
      </c>
      <c r="B21" s="87" t="n">
        <v>0.006</v>
      </c>
      <c r="C21" s="42"/>
      <c r="D21" s="88" t="n">
        <f aca="false">1-SUM($B$18:$B$20)</f>
        <v>0.00640000000000007</v>
      </c>
      <c r="E21" s="89" t="n">
        <v>10000</v>
      </c>
    </row>
    <row r="22" customFormat="false" ht="15" hidden="false" customHeight="false" outlineLevel="0" collapsed="false">
      <c r="A22" s="81" t="s">
        <v>804</v>
      </c>
      <c r="B22" s="87" t="n">
        <v>0.0004</v>
      </c>
      <c r="C22" s="42"/>
      <c r="D22" s="88" t="n">
        <f aca="false">1-SUM($B$18:$B$21)</f>
        <v>0.000400000000000067</v>
      </c>
      <c r="E22" s="89" t="n">
        <v>100000</v>
      </c>
    </row>
    <row r="23" customFormat="false" ht="27.75" hidden="false" customHeight="true" outlineLevel="0" collapsed="false">
      <c r="A23" s="85" t="s">
        <v>805</v>
      </c>
      <c r="B23" s="82" t="n">
        <v>198</v>
      </c>
      <c r="D23" s="83" t="s">
        <v>806</v>
      </c>
    </row>
    <row r="24" customFormat="false" ht="27.75" hidden="false" customHeight="true" outlineLevel="0" collapsed="false">
      <c r="A24" s="85" t="s">
        <v>807</v>
      </c>
      <c r="B24" s="84" t="n">
        <v>818</v>
      </c>
      <c r="D24" s="83" t="s">
        <v>808</v>
      </c>
    </row>
    <row r="25" customFormat="false" ht="15" hidden="false" customHeight="false" outlineLevel="0" collapsed="false">
      <c r="A25" s="90" t="s">
        <v>809</v>
      </c>
    </row>
    <row r="27" customFormat="false" ht="15" hidden="false" customHeight="false" outlineLevel="0" collapsed="false">
      <c r="A27" s="47" t="s">
        <v>810</v>
      </c>
      <c r="B27" s="48"/>
      <c r="C27" s="48"/>
      <c r="D27" s="48"/>
      <c r="E27" s="48"/>
    </row>
    <row r="28" customFormat="false" ht="15" hidden="false" customHeight="false" outlineLevel="0" collapsed="false">
      <c r="A28" s="80" t="s">
        <v>811</v>
      </c>
      <c r="B28" s="80" t="s">
        <v>42</v>
      </c>
      <c r="C28" s="80"/>
      <c r="D28" s="80" t="s">
        <v>105</v>
      </c>
    </row>
    <row r="29" customFormat="false" ht="15" hidden="false" customHeight="false" outlineLevel="0" collapsed="false">
      <c r="A29" s="81" t="s">
        <v>812</v>
      </c>
      <c r="B29" s="82" t="n">
        <v>256600</v>
      </c>
      <c r="D29" s="83" t="s">
        <v>813</v>
      </c>
    </row>
    <row r="30" customFormat="false" ht="39.75" hidden="false" customHeight="true" outlineLevel="0" collapsed="false">
      <c r="A30" s="81" t="s">
        <v>814</v>
      </c>
      <c r="B30" s="91" t="n">
        <v>25000000</v>
      </c>
      <c r="D30" s="83" t="s">
        <v>815</v>
      </c>
    </row>
    <row r="31" customFormat="false" ht="27.75" hidden="false" customHeight="true" outlineLevel="0" collapsed="false">
      <c r="A31" s="85" t="s">
        <v>816</v>
      </c>
      <c r="B31" s="88" t="n">
        <f aca="false">$B$29/$B$30</f>
        <v>0.010264</v>
      </c>
      <c r="D31" s="83" t="s">
        <v>817</v>
      </c>
    </row>
    <row r="32" customFormat="false" ht="43.5" hidden="false" customHeight="true" outlineLevel="0" collapsed="false">
      <c r="A32" s="85" t="s">
        <v>818</v>
      </c>
      <c r="B32" s="88" t="n">
        <f aca="false">Assumptions!$B$6</f>
        <v>0.01</v>
      </c>
      <c r="D32" s="83" t="s">
        <v>819</v>
      </c>
    </row>
    <row r="34" customFormat="false" ht="15" hidden="false" customHeight="false" outlineLevel="0" collapsed="false">
      <c r="A34" s="47" t="s">
        <v>820</v>
      </c>
      <c r="B34" s="48"/>
      <c r="C34" s="48"/>
      <c r="D34" s="48"/>
      <c r="E34" s="48"/>
    </row>
    <row r="35" customFormat="false" ht="27.75" hidden="false" customHeight="true" outlineLevel="0" collapsed="false">
      <c r="A35" s="81" t="s">
        <v>821</v>
      </c>
      <c r="B35" s="11" t="n">
        <v>1800</v>
      </c>
      <c r="D35" s="83" t="s">
        <v>822</v>
      </c>
    </row>
    <row r="36" customFormat="false" ht="15" hidden="false" customHeight="false" outlineLevel="0" collapsed="false">
      <c r="A36" s="81" t="s">
        <v>823</v>
      </c>
      <c r="B36" s="92" t="str">
        <f aca="false">INDEX($A$18:$A$22,MATCH($B$35,$E$18:$E$22,1))</f>
        <v>$1,000 - $9,999</v>
      </c>
    </row>
    <row r="37" customFormat="false" ht="15" hidden="false" customHeight="false" outlineLevel="0" collapsed="false">
      <c r="A37" s="81" t="s">
        <v>824</v>
      </c>
      <c r="B37" s="54" t="n">
        <f aca="false">MATCH($B$35,$E$18:$E$22,1)</f>
        <v>3</v>
      </c>
    </row>
    <row r="38" customFormat="false" ht="15" hidden="false" customHeight="false" outlineLevel="0" collapsed="false">
      <c r="A38" s="81" t="s">
        <v>825</v>
      </c>
      <c r="B38" s="38" t="n">
        <f aca="false">MAX(1,INDEX($E$18:$E$22,$B$37))</f>
        <v>1000</v>
      </c>
    </row>
    <row r="39" customFormat="false" ht="15" hidden="false" customHeight="false" outlineLevel="0" collapsed="false">
      <c r="A39" s="81" t="s">
        <v>826</v>
      </c>
      <c r="B39" s="38" t="n">
        <f aca="false">INDEX($E$18:$E$22,MIN($B$37+1,5))</f>
        <v>10000</v>
      </c>
    </row>
    <row r="40" customFormat="false" ht="15" hidden="false" customHeight="false" outlineLevel="0" collapsed="false">
      <c r="A40" s="81" t="s">
        <v>827</v>
      </c>
      <c r="B40" s="93" t="n">
        <f aca="false">INDEX($D$18:$D$22,$B$37)</f>
        <v>0.13</v>
      </c>
    </row>
    <row r="41" customFormat="false" ht="15" hidden="false" customHeight="false" outlineLevel="0" collapsed="false">
      <c r="A41" s="81" t="s">
        <v>828</v>
      </c>
      <c r="B41" s="93" t="n">
        <f aca="false">INDEX($D$18:$D$22,MIN($B$37+1,5))</f>
        <v>0.00640000000000007</v>
      </c>
    </row>
    <row r="42" customFormat="false" ht="39.75" hidden="false" customHeight="true" outlineLevel="0" collapsed="false">
      <c r="A42" s="85" t="s">
        <v>829</v>
      </c>
      <c r="B42" s="88" t="n">
        <f aca="false">IF($B$37&gt;=5,$B$40,$B$40+($B$41-$B$40)*LOG($B$35/$B$38)/LOG($B$39/$B$38))</f>
        <v>0.0984483183692315</v>
      </c>
      <c r="D42" s="83" t="s">
        <v>830</v>
      </c>
    </row>
    <row r="43" customFormat="false" ht="15" hidden="false" customHeight="false" outlineLevel="0" collapsed="false">
      <c r="A43" s="85" t="s">
        <v>831</v>
      </c>
      <c r="B43" s="94" t="n">
        <f aca="false">IF(OR($B$42="",$B$42=0),"",1/$B$42)</f>
        <v>10.1576138278918</v>
      </c>
      <c r="D43" s="83" t="s">
        <v>832</v>
      </c>
    </row>
    <row r="45" customFormat="false" ht="15" hidden="false" customHeight="false" outlineLevel="0" collapsed="false">
      <c r="A45" s="47" t="s">
        <v>833</v>
      </c>
      <c r="B45" s="48"/>
      <c r="C45" s="48"/>
      <c r="D45" s="48"/>
      <c r="E45" s="48"/>
    </row>
    <row r="46" customFormat="false" ht="42" hidden="false" customHeight="true" outlineLevel="0" collapsed="false">
      <c r="A46" s="95" t="s">
        <v>834</v>
      </c>
      <c r="B46" s="95"/>
      <c r="C46" s="95"/>
      <c r="D46" s="95"/>
      <c r="E46" s="95"/>
    </row>
    <row r="47" customFormat="false" ht="42" hidden="false" customHeight="true" outlineLevel="0" collapsed="false">
      <c r="A47" s="95" t="s">
        <v>835</v>
      </c>
      <c r="B47" s="95"/>
      <c r="C47" s="95"/>
      <c r="D47" s="95"/>
      <c r="E47" s="95"/>
    </row>
    <row r="48" customFormat="false" ht="42" hidden="false" customHeight="true" outlineLevel="0" collapsed="false">
      <c r="A48" s="95" t="s">
        <v>836</v>
      </c>
      <c r="B48" s="95"/>
      <c r="C48" s="95"/>
      <c r="D48" s="95"/>
      <c r="E48" s="95"/>
    </row>
    <row r="49" customFormat="false" ht="42" hidden="false" customHeight="true" outlineLevel="0" collapsed="false">
      <c r="A49" s="95" t="s">
        <v>837</v>
      </c>
      <c r="B49" s="95"/>
      <c r="C49" s="95"/>
      <c r="D49" s="95"/>
      <c r="E49" s="95"/>
    </row>
    <row r="50" customFormat="false" ht="42" hidden="false" customHeight="true" outlineLevel="0" collapsed="false">
      <c r="A50" s="95" t="s">
        <v>838</v>
      </c>
      <c r="B50" s="95"/>
      <c r="C50" s="95"/>
      <c r="D50" s="95"/>
      <c r="E50" s="95"/>
    </row>
    <row r="52" customFormat="false" ht="15" hidden="false" customHeight="false" outlineLevel="0" collapsed="false">
      <c r="A52" s="47" t="s">
        <v>839</v>
      </c>
      <c r="B52" s="48"/>
      <c r="C52" s="48"/>
      <c r="D52" s="48"/>
      <c r="E52" s="48"/>
    </row>
    <row r="53" customFormat="false" ht="15" hidden="false" customHeight="false" outlineLevel="0" collapsed="false">
      <c r="A53" s="80" t="s">
        <v>699</v>
      </c>
      <c r="B53" s="80" t="s">
        <v>840</v>
      </c>
      <c r="C53" s="80" t="s">
        <v>841</v>
      </c>
      <c r="D53" s="80" t="s">
        <v>842</v>
      </c>
    </row>
    <row r="54" customFormat="false" ht="39.75" hidden="false" customHeight="true" outlineLevel="0" collapsed="false">
      <c r="A54" s="96" t="s">
        <v>843</v>
      </c>
      <c r="B54" s="97" t="s">
        <v>844</v>
      </c>
      <c r="C54" s="97" t="s">
        <v>845</v>
      </c>
      <c r="D54" s="83" t="s">
        <v>846</v>
      </c>
    </row>
    <row r="55" customFormat="false" ht="39.75" hidden="false" customHeight="true" outlineLevel="0" collapsed="false">
      <c r="A55" s="96" t="s">
        <v>847</v>
      </c>
      <c r="B55" s="97" t="s">
        <v>848</v>
      </c>
      <c r="C55" s="97" t="s">
        <v>845</v>
      </c>
      <c r="D55" s="83" t="s">
        <v>849</v>
      </c>
    </row>
    <row r="56" customFormat="false" ht="39.75" hidden="false" customHeight="true" outlineLevel="0" collapsed="false">
      <c r="A56" s="96" t="s">
        <v>850</v>
      </c>
      <c r="B56" s="97" t="s">
        <v>848</v>
      </c>
      <c r="C56" s="97" t="s">
        <v>851</v>
      </c>
      <c r="D56" s="83" t="s">
        <v>852</v>
      </c>
    </row>
    <row r="57" customFormat="false" ht="39.75" hidden="false" customHeight="true" outlineLevel="0" collapsed="false">
      <c r="A57" s="96" t="s">
        <v>853</v>
      </c>
      <c r="B57" s="97" t="s">
        <v>848</v>
      </c>
      <c r="C57" s="97" t="s">
        <v>854</v>
      </c>
      <c r="D57" s="83" t="s">
        <v>855</v>
      </c>
    </row>
    <row r="58" customFormat="false" ht="39.75" hidden="false" customHeight="true" outlineLevel="0" collapsed="false">
      <c r="A58" s="96" t="s">
        <v>856</v>
      </c>
      <c r="B58" s="97" t="s">
        <v>848</v>
      </c>
      <c r="C58" s="97" t="s">
        <v>857</v>
      </c>
      <c r="D58" s="83" t="s">
        <v>858</v>
      </c>
    </row>
    <row r="59" customFormat="false" ht="39.75" hidden="false" customHeight="true" outlineLevel="0" collapsed="false">
      <c r="A59" s="96" t="s">
        <v>859</v>
      </c>
      <c r="B59" s="97" t="s">
        <v>848</v>
      </c>
      <c r="C59" s="97" t="s">
        <v>845</v>
      </c>
      <c r="D59" s="83" t="s">
        <v>860</v>
      </c>
    </row>
    <row r="60" customFormat="false" ht="39.75" hidden="false" customHeight="true" outlineLevel="0" collapsed="false">
      <c r="A60" s="96" t="s">
        <v>861</v>
      </c>
      <c r="B60" s="97" t="s">
        <v>862</v>
      </c>
      <c r="C60" s="97" t="s">
        <v>845</v>
      </c>
      <c r="D60" s="83" t="s">
        <v>863</v>
      </c>
    </row>
    <row r="61" customFormat="false" ht="39.75" hidden="false" customHeight="true" outlineLevel="0" collapsed="false">
      <c r="A61" s="96" t="s">
        <v>864</v>
      </c>
      <c r="B61" s="97" t="s">
        <v>865</v>
      </c>
      <c r="C61" s="97" t="s">
        <v>866</v>
      </c>
      <c r="D61" s="83" t="s">
        <v>867</v>
      </c>
    </row>
    <row r="63" customFormat="false" ht="15" hidden="false" customHeight="false" outlineLevel="0" collapsed="false">
      <c r="A63" s="6" t="s">
        <v>868</v>
      </c>
    </row>
  </sheetData>
  <mergeCells count="6">
    <mergeCell ref="A1:E1"/>
    <mergeCell ref="A46:E46"/>
    <mergeCell ref="A47:E47"/>
    <mergeCell ref="A48:E48"/>
    <mergeCell ref="A49:E49"/>
    <mergeCell ref="A50:E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2026-08-06T21:47:37Z</dcterms:created>
  <dc:creator>openpyxl</dc:creator>
  <dc:description/>
  <dc:language>en-US</dc:language>
  <cp:lastModifiedBy/>
  <dcterms:modified xsi:type="dcterms:W3CDTF">2026-08-06T21:47:42Z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