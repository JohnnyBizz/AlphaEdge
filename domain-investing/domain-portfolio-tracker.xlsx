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Portfolio" sheetId="5" state="visible" r:id="rId7"/>
    <sheet name="Sales Log" sheetId="6" state="visible" r:id="rId8"/>
    <sheet name="Dashboard" sheetId="7" state="visible" r:id="rId9"/>
    <sheet name="Comps" sheetId="8" state="visible" r:id="rId10"/>
  </sheets>
  <definedNames>
    <definedName function="false" hidden="true" localSheetId="3" name="_xlnm._FilterDatabase" vbProcedure="false">Candidates!$A$4:$V$204</definedName>
    <definedName function="false" hidden="true" localSheetId="4"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4" authorId="0">
      <text>
        <r>
          <rPr>
            <sz val="10"/>
            <rFont val="Arial"/>
            <family val="2"/>
          </rPr>
          <t xml:space="preserve">Score this against the Comps tab. If you cannot name a comparable sale, this is a 1 or 2 — not a 3.</t>
        </r>
      </text>
    </comment>
    <comment ref="S4" authorId="0">
      <text>
        <r>
          <rPr>
            <sz val="10"/>
            <rFont val="Arial"/>
            <family val="2"/>
          </rPr>
          <t xml:space="preserve">Max Rational Bid = (net proceeds after commission x probability of selling within the horizon) minus total renewal carry over that horizon. Pay more than this and the name is negative expected value even if your resale estimate is right.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sharedStrings.xml><?xml version="1.0" encoding="utf-8"?>
<sst xmlns="http://schemas.openxmlformats.org/spreadsheetml/2006/main" count="890" uniqueCount="523">
  <si>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</si>
  <si>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</si>
  <si>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</si>
  <si>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</si>
  <si>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</si>
  <si>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</si>
  <si>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</si>
  <si>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</si>
  <si>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</si>
  <si>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</si>
  <si>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</si>
  <si>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</si>
  <si>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</si>
  <si>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</si>
  <si>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</si>
  <si>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</si>
  <si>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</si>
  <si>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</si>
  <si>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</si>
  <si>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</si>
  <si>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</si>
  <si>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</si>
  <si>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</si>
  <si>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</si>
  <si>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</si>
  <si>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</si>
  <si>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</si>
  <si>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</si>
  <si>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</si>
  <si>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2% sell-through rate you sell roughly one name per fifty per year, while paying renewals on all fifty.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</si>
  <si>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</si>
  <si>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</si>
  <si>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</si>
  <si>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</si>
  <si>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</si>
  <si>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2026-08-03.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</si>
  <si>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</si>
  <si>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</si>
  <si>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</si>
  <si>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</si>
  <si>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</si>
  <si>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</si>
  <si>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</si>
  <si>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</si>
  <si>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</si>
  <si>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</si>
  <si>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</si>
  <si>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</si>
  <si>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Industry norm is 1.5-2% of listed names per year; 1-5% is considered healthy. Raise this only once your own Sales Log justifies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</si>
  <si>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</si>
  <si>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</si>
  <si>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</si>
  <si>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</si>
  <si>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</si>
  <si>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</si>
  <si>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</si>
  <si>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</si>
  <si>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</si>
  <si>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</si>
  <si>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</si>
  <si>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</si>
  <si>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</si>
  <si>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</si>
  <si>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</si>
  <si>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</si>
  <si>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</si>
  <si>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</si>
  <si>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</si>
  <si>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</si>
  <si>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</si>
  <si>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</si>
  <si>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</si>
  <si>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</si>
  <si>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</si>
  <si>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</si>
  <si>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</si>
  <si>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</si>
  <si>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</si>
  <si>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</si>
  <si>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</si>
  <si>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</si>
  <si>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</si>
  <si>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</si>
  <si>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</si>
  <si>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</si>
  <si>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</si>
  <si>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</si>
  <si>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</si>
  <si>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</si>
  <si>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</si>
  <si>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</si>
  <si>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Acquisition margin</t>
  </si>
  <si>
    <t xml:space="preserve">Asking price is at or above what you think it resells for.</t>
  </si>
  <si>
    <t xml:space="preserve">Some headroom, but thin after commission and carry.</t>
  </si>
  <si>
    <t xml:space="preserve">Buying well under estimated resale value — expired auction, drop catch, or an underpriced listing.</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</si>
  <si>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</si>
  <si>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</si>
  <si>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</si>
  <si>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</si>
  <si>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</si>
  <si>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</si>
  <si>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</si>
  <si>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</si>
  <si>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</si>
  <si>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</si>
  <si>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</si>
  <si>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</si>
  <si>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</si>
  <si>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</si>
  <si>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</si>
  <si>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</si>
  <si>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</si>
  <si>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</si>
  <si>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</si>
  <si>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</si>
  <si>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</si>
  <si>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</si>
  <si>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</si>
  <si>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</si>
  <si>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</si>
  <si>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</si>
  <si>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</si>
  <si>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</si>
  <si>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</si>
  <si>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</si>
  <si>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</si>
  <si>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</si>
  <si>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</si>
  <si>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</si>
  <si>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</si>
  <si>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</si>
  <si>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</si>
  <si>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</si>
  <si>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</si>
  <si>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</si>
  <si>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</si>
  <si>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</si>
  <si>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</si>
  <si>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</si>
  <si>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</si>
  <si>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</si>
  <si>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</si>
  <si>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</si>
  <si>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</si>
  <si>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</si>
  <si>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</si>
  <si>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Niche 1: equipment financing &amp; commercial lending, both batches checked at GoDaddy 2026-08-03. Batch 1 rows 5-60: 20 of 56 available. Batch 2 rows 61-112: 8 of 52 available, only one at registration price. Across all 108 names, every name available at registration price scores below the BUY threshold. Premium figures are ASKING prices, not sale comps.</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</si>
  <si>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</si>
  <si>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</si>
  <si>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</si>
  <si>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</si>
  <si>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</si>
  <si>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</si>
  <si>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</si>
  <si>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Acquisition Margin (1-5)</t>
  </si>
  <si>
    <t xml:space="preserve">TM Risk? (Y/N)</t>
  </si>
  <si>
    <t xml:space="preserve">Hyphen/Digit? (Y/N)</t>
  </si>
  <si>
    <t xml:space="preserve">Acquisition Cost</t>
  </si>
  <si>
    <t xml:space="preserve">Est. Resale Value</t>
  </si>
  <si>
    <t xml:space="preserve">Annual Renewal</t>
  </si>
  <si>
    <t xml:space="preserve">Weighted Score</t>
  </si>
  <si>
    <t xml:space="preserve">Hard Filter</t>
  </si>
  <si>
    <t xml:space="preserve">Net After Commission</t>
  </si>
  <si>
    <t xml:space="preserve">P(sale in horizon)</t>
  </si>
  <si>
    <t xml:space="preserve">Expected Carry</t>
  </si>
  <si>
    <t xml:space="preserve">Max Rational Bid</t>
  </si>
  <si>
    <t xml:space="preserve">Availability Checked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</si>
  <si>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</si>
  <si>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</si>
  <si>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</si>
  <si>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</si>
  <si>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</si>
  <si>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</si>
  <si>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</si>
  <si>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</si>
  <si>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</si>
  <si>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</si>
  <si>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</si>
  <si>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</si>
  <si>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</si>
  <si>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</si>
  <si>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</si>
  <si>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</si>
  <si>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</si>
  <si>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</si>
  <si>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</si>
  <si>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</si>
  <si>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</si>
  <si>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</si>
  <si>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</si>
  <si>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</si>
  <si>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</si>
  <si>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</si>
  <si>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</si>
  <si>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</si>
  <si>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</si>
  <si>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</si>
  <si>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</si>
  <si>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</si>
  <si>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</si>
  <si>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</si>
  <si>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</si>
  <si>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</si>
  <si>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</si>
  <si>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</si>
  <si>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</si>
  <si>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</si>
  <si>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</si>
  <si>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</si>
  <si>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</si>
  <si>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</si>
  <si>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</si>
  <si>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</si>
  <si>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</si>
  <si>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</si>
  <si>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</si>
  <si>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</si>
  <si>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</si>
  <si>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</si>
  <si>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</si>
  <si>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</si>
  <si>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</si>
  <si>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</si>
  <si>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</si>
  <si>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</si>
  <si>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</si>
  <si>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</si>
  <si>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</si>
  <si>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</si>
  <si>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</si>
  <si>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</si>
  <si>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</si>
  <si>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</si>
  <si>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</si>
  <si>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</si>
  <si>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</si>
  <si>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</si>
  <si>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</si>
  <si>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</si>
  <si>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</si>
  <si>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</si>
  <si>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</si>
  <si>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</si>
  <si>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</si>
  <si>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</si>
  <si>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</si>
  <si>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</si>
  <si>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</si>
  <si>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</si>
  <si>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</si>
  <si>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</si>
  <si>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</si>
  <si>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</si>
  <si>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</si>
  <si>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</si>
  <si>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</si>
  <si>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</si>
  <si>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</si>
  <si>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</si>
  <si>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</si>
  <si>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</si>
  <si>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</si>
  <si>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</si>
  <si>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</si>
  <si>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</si>
  <si>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</si>
  <si>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</si>
  <si>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</si>
  <si>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</si>
  <si>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</si>
  <si>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</si>
  <si>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</si>
  <si>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</si>
  <si>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</si>
  <si>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</si>
  <si>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</si>
  <si>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</si>
  <si>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</si>
  <si>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</si>
  <si>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</si>
  <si>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</si>
  <si>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</si>
  <si>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creditbox.com</t>
  </si>
  <si>
    <t xml:space="preserve">[B2/Jargon] 'Inside the credit box' is everyday underwriting speech. Not a consumer search term, so less likely mined.</t>
  </si>
  <si>
    <t xml:space="preserve">residualvalue.com</t>
  </si>
  <si>
    <t xml:space="preserve">[B2/Jargon] Core equipment-lease concept — the whole economics of an FMV lease.</t>
  </si>
  <si>
    <t xml:space="preserve">buyrate.com</t>
  </si>
  <si>
    <t xml:space="preserve">[B2/Jargon] The rate a funder quotes a broker. Pure industry vocabulary.</t>
  </si>
  <si>
    <t xml:space="preserve">ticketsize.com</t>
  </si>
  <si>
    <t xml:space="preserve">[B2/Jargon] How the industry segments deals. Narrow but real.</t>
  </si>
  <si>
    <t xml:space="preserve">capitalcall.com</t>
  </si>
  <si>
    <t xml:space="preserve">[B2/Jargon] Fund-finance term with a wider PE buyer pool than equipment alone.</t>
  </si>
  <si>
    <t xml:space="preserve">nonrecourse.com</t>
  </si>
  <si>
    <t xml:space="preserve">[B2/Jargon] Financing structure term. Single compound word.</t>
  </si>
  <si>
    <t xml:space="preserve">termloan.com</t>
  </si>
  <si>
    <t xml:space="preserve">[B2/Jargon] Clean product term, two short syllables.</t>
  </si>
  <si>
    <t xml:space="preserve">creditline.com</t>
  </si>
  <si>
    <t xml:space="preserve">[B2/Jargon] Very high commercial intent. Expect taken.</t>
  </si>
  <si>
    <t xml:space="preserve">originations.com</t>
  </si>
  <si>
    <t xml:space="preserve">[B2/Jargon] How lenders describe new business volume.</t>
  </si>
  <si>
    <t xml:space="preserve">syndications.com</t>
  </si>
  <si>
    <t xml:space="preserve">[B2/Jargon] Lender syndication desks. Narrow institutional pool.</t>
  </si>
  <si>
    <t xml:space="preserve">covenants.com</t>
  </si>
  <si>
    <t xml:space="preserve">[B2/Jargon] Loan covenants. Also has a religious reading — muddies intent.</t>
  </si>
  <si>
    <t xml:space="preserve">stipsheet.com</t>
  </si>
  <si>
    <t xml:space="preserve">[B2/Jargon] 'Stips' is deep insider slang. Too obscure — included to test the floor.</t>
  </si>
  <si>
    <t xml:space="preserve">getfunded.com</t>
  </si>
  <si>
    <t xml:space="preserve">[B2/Action] Direct call to action, exactly what a borrower types. Expect taken.</t>
  </si>
  <si>
    <t xml:space="preserve">getapproved.com</t>
  </si>
  <si>
    <t xml:space="preserve">[B2/Action] Same pattern, slightly broader than lending.</t>
  </si>
  <si>
    <t xml:space="preserve">prequalify.com</t>
  </si>
  <si>
    <t xml:space="preserve">[B2/Action] Real lending-funnel term with very high intent. Expect taken.</t>
  </si>
  <si>
    <t xml:space="preserve">fundfast.com</t>
  </si>
  <si>
    <t xml:space="preserve">[B2/Action] Speed is the actual selling point in commercial lending.</t>
  </si>
  <si>
    <t xml:space="preserve">approvefast.com</t>
  </si>
  <si>
    <t xml:space="preserve">[B2/Action] Same idea, weaker word pairing.</t>
  </si>
  <si>
    <t xml:space="preserve">leaseit.com</t>
  </si>
  <si>
    <t xml:space="preserve">[B2/Action] Short and punchy. 'it' is slightly weak when spoken.</t>
  </si>
  <si>
    <t xml:space="preserve">borrowsmart.com</t>
  </si>
  <si>
    <t xml:space="preserve">[B2/Action] Generic advice framing rather than a product.</t>
  </si>
  <si>
    <t xml:space="preserve">fundmyfleet.com</t>
  </si>
  <si>
    <t xml:space="preserve">[B2/Action] Three words, but alliterative and clear. Fleet is a real vertical.</t>
  </si>
  <si>
    <t xml:space="preserve">ballast.com</t>
  </si>
  <si>
    <t xml:space="preserve">[B2/Metaphor] Stability metaphor, clean dictionary word. Expect taken or expensive.</t>
  </si>
  <si>
    <t xml:space="preserve">linchpin.com</t>
  </si>
  <si>
    <t xml:space="preserve">[B2/Metaphor] Strong business metaphor, broad appeal beyond lending.</t>
  </si>
  <si>
    <t xml:space="preserve">ratchet.com</t>
  </si>
  <si>
    <t xml:space="preserve">[B2/Metaphor] Also a genuine PE structuring term. Dual meaning helps.</t>
  </si>
  <si>
    <t xml:space="preserve">trestle.com</t>
  </si>
  <si>
    <t xml:space="preserve">[B2/Metaphor] Bridge structure. Quietly industrial.</t>
  </si>
  <si>
    <t xml:space="preserve">gantry.com</t>
  </si>
  <si>
    <t xml:space="preserve">[B2/Metaphor] Crane gantry — directly evokes heavy equipment.</t>
  </si>
  <si>
    <t xml:space="preserve">capstan.com</t>
  </si>
  <si>
    <t xml:space="preserve">[B2/Metaphor] Winch drum. Obscure to outsiders, evocative to insiders.</t>
  </si>
  <si>
    <t xml:space="preserve">bollard.com</t>
  </si>
  <si>
    <t xml:space="preserve">[B2/Metaphor] Mooring post. Weak commercial connection.</t>
  </si>
  <si>
    <t xml:space="preserve">crosstie.com</t>
  </si>
  <si>
    <t xml:space="preserve">[B2/Metaphor] Railroad tie. Obscure and hard to spell.</t>
  </si>
  <si>
    <t xml:space="preserve">flywheel.com</t>
  </si>
  <si>
    <t xml:space="preserve">[B2/Metaphor] TM FLAG — Flywheel is an established software brand.</t>
  </si>
  <si>
    <t xml:space="preserve">fulcrum.com</t>
  </si>
  <si>
    <t xml:space="preserve">[B2/Metaphor] TM FLAG — Fulcrum Capital and others already use this.</t>
  </si>
  <si>
    <t xml:space="preserve">leasable.com</t>
  </si>
  <si>
    <t xml:space="preserve">[B2/Coined] Real adjective, rarely used. Spelling is a mild risk (leaseable).</t>
  </si>
  <si>
    <t xml:space="preserve">fundify.com</t>
  </si>
  <si>
    <t xml:space="preserve">[B2/Coined] -ify pattern. Crowded style but clean to say.</t>
  </si>
  <si>
    <t xml:space="preserve">leasify.com</t>
  </si>
  <si>
    <t xml:space="preserve">[B2/Coined] Same pattern, closer to the niche.</t>
  </si>
  <si>
    <t xml:space="preserve">lendly.com</t>
  </si>
  <si>
    <t xml:space="preserve">[B2/Coined] Short -ly brandable.</t>
  </si>
  <si>
    <t xml:space="preserve">fundwise.com</t>
  </si>
  <si>
    <t xml:space="preserve">[B2/Coined] Reads credible and established. Likely taken.</t>
  </si>
  <si>
    <t xml:space="preserve">fundpilot.com</t>
  </si>
  <si>
    <t xml:space="preserve">[B2/Coined] -pilot suffix suggests software as much as lending.</t>
  </si>
  <si>
    <t xml:space="preserve">creditpilot.com</t>
  </si>
  <si>
    <t xml:space="preserve">[B2/Coined] Same.</t>
  </si>
  <si>
    <t xml:space="preserve">lendable.com</t>
  </si>
  <si>
    <t xml:space="preserve">[B2/Coined] TM FLAG — Lendable is an operating lender.</t>
  </si>
  <si>
    <t xml:space="preserve">capitalize.com</t>
  </si>
  <si>
    <t xml:space="preserve">[B2/Coined] TM FLAG — Capitalize is an existing fintech.</t>
  </si>
  <si>
    <t xml:space="preserve">decisioning.com</t>
  </si>
  <si>
    <t xml:space="preserve">[B2/Fintech] Credit decisioning is the standard term for the software category.</t>
  </si>
  <si>
    <t xml:space="preserve">originate.com</t>
  </si>
  <si>
    <t xml:space="preserve">[B2/Fintech] Single verb at the centre of lending. Expect taken.</t>
  </si>
  <si>
    <t xml:space="preserve">servicing.com</t>
  </si>
  <si>
    <t xml:space="preserve">[B2/Fintech] Loan servicing — huge industry. Expect taken.</t>
  </si>
  <si>
    <t xml:space="preserve">adjudicate.com</t>
  </si>
  <si>
    <t xml:space="preserve">[B2/Fintech] Credit adjudication. Also legal — broader buyer pool.</t>
  </si>
  <si>
    <t xml:space="preserve">creditflow.com</t>
  </si>
  <si>
    <t xml:space="preserve">[B2/Fintech] Clean, software-flavoured, says what it does.</t>
  </si>
  <si>
    <t xml:space="preserve">loanstack.com</t>
  </si>
  <si>
    <t xml:space="preserve">[B2/Fintech] 'Stack' reads modern and technical.</t>
  </si>
  <si>
    <t xml:space="preserve">riskdesk.com</t>
  </si>
  <si>
    <t xml:space="preserve">[B2/Fintech] Desk pattern applied to risk rather than funding.</t>
  </si>
  <si>
    <t xml:space="preserve">amortize.com</t>
  </si>
  <si>
    <t xml:space="preserve">[B2/Fintech] Single verb, unambiguous finance meaning.</t>
  </si>
  <si>
    <t xml:space="preserve">collateralize.com</t>
  </si>
  <si>
    <t xml:space="preserve">[B2/Fintech] Long, but precise and uncontested vocabulary.</t>
  </si>
  <si>
    <t xml:space="preserve">dealflow.com</t>
  </si>
  <si>
    <t xml:space="preserve">[B2/Fintech] Widely used across PE, VC and lending. Expect taken.</t>
  </si>
  <si>
    <t xml:space="preserve">loantape.com</t>
  </si>
  <si>
    <t xml:space="preserve">[B2/Fintech] A 'loan tape' is the loan-level data file in a portfolio sale.</t>
  </si>
  <si>
    <t xml:space="preserve">paperwork.com</t>
  </si>
  <si>
    <t xml:space="preserve">[B2/Fintech] The thing every borrower hates. Broad, not lending-specific.</t>
  </si>
  <si>
    <t xml:space="preserve">fundingapi.com</t>
  </si>
  <si>
    <t xml:space="preserve">[B2/Fintech] Embedded-lending angle. 'API' dates quickly.</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</si>
  <si>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</si>
  <si>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</si>
  <si>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</si>
  <si>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</si>
  <si>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</si>
  <si>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</si>
  <si>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</si>
  <si>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</si>
  <si>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</si>
  <si>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</si>
  <si>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</si>
  <si>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</si>
  <si>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</si>
  <si>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</si>
  <si>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</si>
  <si>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</si>
  <si>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</si>
  <si>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</si>
  <si>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</si>
  <si>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</si>
  <si>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</si>
  <si>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</si>
  <si>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</si>
  <si>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</si>
  <si>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</si>
  <si>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</si>
  <si>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</si>
  <si>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</si>
  <si>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</si>
  <si>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</si>
  <si>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</si>
  <si>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</si>
  <si>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</si>
  <si>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</si>
  <si>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</si>
  <si>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</si>
  <si>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</si>
  <si>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</si>
  <si>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</si>
  <si>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</si>
  <si>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</si>
  <si>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</si>
  <si>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</si>
  <si>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</si>
  <si>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</si>
  <si>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</si>
  <si>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</si>
  <si>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</si>
  <si>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</si>
  <si>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</si>
  <si>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</si>
  <si>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</si>
  <si>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</si>
  <si>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</si>
  <si>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</si>
  <si>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</si>
  <si>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</si>
  <si>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</si>
  <si>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</si>
  <si>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Passes the score bar and the price maths.</t>
  </si>
  <si>
    <t xml:space="preserve">Verdict: BUY IF CHEAPER</t>
  </si>
  <si>
    <t xml:space="preserve">Good names above your max rational bid. Bid the max and walk.</t>
  </si>
  <si>
    <t xml:space="preserve">Verdict: WATCH</t>
  </si>
  <si>
    <t xml:space="preserve">Borderline.</t>
  </si>
  <si>
    <t xml:space="preserve">Verdict: PASS / REJECT</t>
  </si>
  <si>
    <t xml:space="preserve">Below the bar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</si>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</sst>
</file>

<file path=xl/styles.xml><?xml version="1.0" encoding="utf-8"?>
<styleSheet xmlns="http://schemas.openxmlformats.org/spreadsheetml/2006/main">
  <numFmts count="10">
    <numFmt numFmtId="164" formatCode="General"/>
    <numFmt numFmtId="165" formatCode="0.0%;\(0.0%\);\-"/>
    <numFmt numFmtId="166" formatCode="\$#,##0;&quot;($&quot;#,##0\);\-"/>
    <numFmt numFmtId="167" formatCode="0.00"/>
    <numFmt numFmtId="168" formatCode="0.0\x"/>
    <numFmt numFmtId="169" formatCode="\$#,##0.00;&quot;($&quot;#,##0.00\);\-"/>
    <numFmt numFmtId="170" formatCode="\$#,##0.00;&quot;($&quot;#,##0.00\);\-"/>
    <numFmt numFmtId="171" formatCode="yyyy\-mm\-dd"/>
    <numFmt numFmtId="172" formatCode="0"/>
    <numFmt numFmtId="173" formatCode="0.00\x"/>
  </numFmts>
  <fonts count="21">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1"/>
      <color rgb="FF008000"/>
      <name val="Arial"/>
      <family val="0"/>
      <charset val="1"/>
    </font>
    <font>
      <sz val="9"/>
      <color rgb="FF000000"/>
      <name val="Arial"/>
      <family val="0"/>
      <charset val="1"/>
    </font>
    <font>
      <b val="true"/>
      <sz val="10"/>
      <name val="Arial"/>
      <family val="0"/>
      <charset val="1"/>
    </font>
    <font>
      <sz val="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2">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5"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71"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72" fontId="10"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71" fontId="13" fillId="0" borderId="1" xfId="0" applyFont="true" applyBorder="true" applyAlignment="true" applyProtection="false">
      <alignment horizontal="center" vertical="center" textRotation="0" wrapText="false" indent="0" shrinkToFit="false"/>
      <protection locked="true" hidden="false"/>
    </xf>
    <xf numFmtId="172"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72"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73" fontId="17" fillId="0" borderId="1" xfId="0" applyFont="true" applyBorder="true" applyAlignment="true" applyProtection="false">
      <alignment horizontal="center"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4" hidden="false" customHeight="true" outlineLevel="0" collapsed="false">
      <c r="A1" s="2" t="s">
        <v>0</v>
      </c>
      <c r="B1" s="2"/>
      <c r="C1" s="2"/>
      <c r="D1" s="2"/>
      <c r="E1" s="2"/>
      <c r="F1" s="2"/>
    </row>
    <row r="3" customFormat="false" ht="15" hidden="false" customHeight="true" outlineLevel="0" collapsed="false">
      <c r="A3" s="3"/>
      <c r="B3" s="4"/>
    </row>
    <row r="4" customFormat="false" ht="15" hidden="false" customHeight="true" outlineLevel="0" collapsed="false">
      <c r="A4" s="5" t="s">
        <v>1</v>
      </c>
      <c r="B4" s="6"/>
    </row>
    <row r="5" customFormat="false" ht="30" hidden="false" customHeight="true" outlineLevel="0" collapsed="false">
      <c r="A5" s="3" t="s">
        <v>2</v>
      </c>
      <c r="B5" s="4" t="s">
        <v>3</v>
      </c>
    </row>
    <row r="6" customFormat="false" ht="30" hidden="false" customHeight="true" outlineLevel="0" collapsed="false">
      <c r="A6" s="3" t="s">
        <v>4</v>
      </c>
      <c r="B6" s="4" t="s">
        <v>5</v>
      </c>
    </row>
    <row r="7" customFormat="false" ht="30" hidden="false" customHeight="true" outlineLevel="0" collapsed="false">
      <c r="A7" s="3" t="s">
        <v>6</v>
      </c>
      <c r="B7" s="4" t="s">
        <v>7</v>
      </c>
    </row>
    <row r="8" customFormat="false" ht="30" hidden="false" customHeight="true" outlineLevel="0" collapsed="false">
      <c r="A8" s="3" t="s">
        <v>8</v>
      </c>
      <c r="B8" s="4" t="s">
        <v>9</v>
      </c>
    </row>
    <row r="9" customFormat="false" ht="15" hidden="false" customHeight="true" outlineLevel="0" collapsed="false">
      <c r="A9" s="3" t="s">
        <v>10</v>
      </c>
      <c r="B9" s="4" t="s">
        <v>11</v>
      </c>
    </row>
    <row r="10" customFormat="false" ht="15" hidden="false" customHeight="true" outlineLevel="0" collapsed="false">
      <c r="A10" s="3" t="s">
        <v>12</v>
      </c>
      <c r="B10" s="4" t="s">
        <v>13</v>
      </c>
    </row>
    <row r="11" customFormat="false" ht="15" hidden="false" customHeight="true" outlineLevel="0" collapsed="false">
      <c r="A11" s="3" t="s">
        <v>14</v>
      </c>
      <c r="B11" s="4" t="s">
        <v>15</v>
      </c>
    </row>
    <row r="12" customFormat="false" ht="15" hidden="false" customHeight="true" outlineLevel="0" collapsed="false">
      <c r="A12" s="3"/>
      <c r="B12" s="4"/>
    </row>
    <row r="13" customFormat="false" ht="15" hidden="false" customHeight="true" outlineLevel="0" collapsed="false">
      <c r="A13" s="5" t="s">
        <v>16</v>
      </c>
      <c r="B13" s="6"/>
    </row>
    <row r="14" customFormat="false" ht="15" hidden="false" customHeight="true" outlineLevel="0" collapsed="false">
      <c r="A14" s="3" t="s">
        <v>17</v>
      </c>
      <c r="B14" s="4" t="s">
        <v>18</v>
      </c>
    </row>
    <row r="15" customFormat="false" ht="15" hidden="false" customHeight="true" outlineLevel="0" collapsed="false">
      <c r="A15" s="3" t="s">
        <v>19</v>
      </c>
      <c r="B15" s="4" t="s">
        <v>20</v>
      </c>
    </row>
    <row r="16" customFormat="false" ht="15" hidden="false" customHeight="true" outlineLevel="0" collapsed="false">
      <c r="A16" s="3" t="s">
        <v>21</v>
      </c>
      <c r="B16" s="4" t="s">
        <v>22</v>
      </c>
    </row>
    <row r="17" customFormat="false" ht="15" hidden="false" customHeight="true" outlineLevel="0" collapsed="false">
      <c r="A17" s="3" t="s">
        <v>23</v>
      </c>
      <c r="B17" s="4" t="s">
        <v>24</v>
      </c>
    </row>
    <row r="18" customFormat="false" ht="15" hidden="false" customHeight="true" outlineLevel="0" collapsed="false">
      <c r="A18" s="3" t="s">
        <v>25</v>
      </c>
      <c r="B18" s="4" t="s">
        <v>26</v>
      </c>
    </row>
    <row r="19" customFormat="false" ht="15" hidden="false" customHeight="true" outlineLevel="0" collapsed="false">
      <c r="A19" s="3"/>
      <c r="B19" s="4"/>
    </row>
    <row r="20" customFormat="false" ht="15" hidden="false" customHeight="true" outlineLevel="0" collapsed="false">
      <c r="A20" s="5" t="s">
        <v>27</v>
      </c>
      <c r="B20" s="6"/>
    </row>
    <row r="21" customFormat="false" ht="78" hidden="false" customHeight="true" outlineLevel="0" collapsed="false">
      <c r="A21" s="3" t="s">
        <v>28</v>
      </c>
      <c r="B21" s="4" t="s">
        <v>29</v>
      </c>
    </row>
    <row r="22" customFormat="false" ht="30" hidden="false" customHeight="true" outlineLevel="0" collapsed="false">
      <c r="A22" s="3" t="s">
        <v>30</v>
      </c>
      <c r="B22" s="4" t="s">
        <v>31</v>
      </c>
    </row>
    <row r="23" customFormat="false" ht="30" hidden="false" customHeight="true" outlineLevel="0" collapsed="false">
      <c r="A23" s="3" t="s">
        <v>32</v>
      </c>
      <c r="B23" s="4" t="s">
        <v>33</v>
      </c>
    </row>
    <row r="25" customFormat="false" ht="15" hidden="false" customHeight="true" outlineLevel="0" collapsed="false">
      <c r="A25" s="7" t="s">
        <v>34</v>
      </c>
      <c r="B25" s="7" t="s">
        <v>35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3" min="3" style="1" width="12"/>
    <col collapsed="false" customWidth="true" hidden="false" outlineLevel="0" max="4" min="4" style="1" width="74"/>
  </cols>
  <sheetData>
    <row r="1" customFormat="false" ht="24" hidden="false" customHeight="true" outlineLevel="0" collapsed="false">
      <c r="A1" s="2" t="s">
        <v>36</v>
      </c>
      <c r="B1" s="2"/>
      <c r="C1" s="2"/>
      <c r="D1" s="2"/>
      <c r="E1" s="2"/>
    </row>
    <row r="3" customFormat="false" ht="42" hidden="false" customHeight="true" outlineLevel="0" collapsed="false">
      <c r="A3" s="8" t="s">
        <v>37</v>
      </c>
      <c r="B3" s="8" t="s">
        <v>38</v>
      </c>
      <c r="C3" s="8" t="s">
        <v>39</v>
      </c>
      <c r="D3" s="8" t="s">
        <v>40</v>
      </c>
    </row>
    <row r="4" customFormat="false" ht="30" hidden="false" customHeight="true" outlineLevel="0" collapsed="false">
      <c r="A4" s="9" t="s">
        <v>41</v>
      </c>
      <c r="B4" s="10" t="n">
        <v>0.2</v>
      </c>
      <c r="C4" s="11" t="s">
        <v>42</v>
      </c>
      <c r="D4" s="9" t="s">
        <v>43</v>
      </c>
    </row>
    <row r="5" customFormat="false" ht="30" hidden="false" customHeight="true" outlineLevel="0" collapsed="false">
      <c r="A5" s="9" t="s">
        <v>44</v>
      </c>
      <c r="B5" s="12" t="n">
        <v>15</v>
      </c>
      <c r="C5" s="11" t="s">
        <v>45</v>
      </c>
      <c r="D5" s="9" t="s">
        <v>46</v>
      </c>
    </row>
    <row r="6" customFormat="false" ht="30" hidden="false" customHeight="true" outlineLevel="0" collapsed="false">
      <c r="A6" s="9" t="s">
        <v>47</v>
      </c>
      <c r="B6" s="10" t="n">
        <v>0.02</v>
      </c>
      <c r="C6" s="11" t="s">
        <v>42</v>
      </c>
      <c r="D6" s="9" t="s">
        <v>48</v>
      </c>
    </row>
    <row r="7" customFormat="false" ht="30" hidden="false" customHeight="true" outlineLevel="0" collapsed="false">
      <c r="A7" s="9" t="s">
        <v>49</v>
      </c>
      <c r="B7" s="13" t="n">
        <v>5</v>
      </c>
      <c r="C7" s="11" t="s">
        <v>50</v>
      </c>
      <c r="D7" s="9" t="s">
        <v>51</v>
      </c>
    </row>
    <row r="8" customFormat="false" ht="30" hidden="false" customHeight="true" outlineLevel="0" collapsed="false">
      <c r="A8" s="9" t="s">
        <v>52</v>
      </c>
      <c r="B8" s="12" t="n">
        <v>11</v>
      </c>
      <c r="C8" s="11" t="s">
        <v>45</v>
      </c>
      <c r="D8" s="9" t="s">
        <v>53</v>
      </c>
    </row>
    <row r="9" customFormat="false" ht="30" hidden="false" customHeight="true" outlineLevel="0" collapsed="false">
      <c r="A9" s="9" t="s">
        <v>54</v>
      </c>
      <c r="B9" s="12" t="n">
        <v>35</v>
      </c>
      <c r="C9" s="11" t="s">
        <v>45</v>
      </c>
      <c r="D9" s="9" t="s">
        <v>55</v>
      </c>
    </row>
    <row r="10" customFormat="false" ht="30" hidden="false" customHeight="true" outlineLevel="0" collapsed="false">
      <c r="A10" s="9" t="s">
        <v>56</v>
      </c>
      <c r="B10" s="14" t="n">
        <v>10</v>
      </c>
      <c r="C10" s="11" t="s">
        <v>57</v>
      </c>
      <c r="D10" s="9" t="s">
        <v>58</v>
      </c>
    </row>
    <row r="12" customFormat="false" ht="15" hidden="false" customHeight="true" outlineLevel="0" collapsed="false">
      <c r="A12" s="5" t="s">
        <v>59</v>
      </c>
      <c r="D12" s="15"/>
    </row>
    <row r="13" customFormat="false" ht="43.5" hidden="false" customHeight="true" outlineLevel="0" collapsed="false">
      <c r="A13" s="9" t="s">
        <v>60</v>
      </c>
      <c r="B13" s="16" t="n">
        <f aca="false">1-(1-$B$6)^$B$7</f>
        <v>0.0960792032000001</v>
      </c>
      <c r="D13" s="9" t="s">
        <v>61</v>
      </c>
    </row>
    <row r="14" customFormat="false" ht="15" hidden="false" customHeight="true" outlineLevel="0" collapsed="false">
      <c r="A14" s="9" t="s">
        <v>62</v>
      </c>
      <c r="B14" s="17" t="n">
        <f aca="false">$B$8*$B$7</f>
        <v>55</v>
      </c>
      <c r="D14" s="9" t="s">
        <v>63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5" min="3" style="1" width="44"/>
  </cols>
  <sheetData>
    <row r="1" customFormat="false" ht="24" hidden="false" customHeight="true" outlineLevel="0" collapsed="false">
      <c r="A1" s="2" t="s">
        <v>64</v>
      </c>
      <c r="B1" s="2"/>
      <c r="C1" s="2"/>
      <c r="D1" s="2"/>
      <c r="E1" s="2"/>
      <c r="F1" s="2"/>
    </row>
    <row r="3" customFormat="false" ht="15" hidden="false" customHeight="true" outlineLevel="0" collapsed="false">
      <c r="A3" s="18" t="s">
        <v>65</v>
      </c>
    </row>
    <row r="4" customFormat="false" ht="42" hidden="false" customHeight="true" outlineLevel="0" collapsed="false">
      <c r="A4" s="8" t="s">
        <v>66</v>
      </c>
      <c r="B4" s="8" t="s">
        <v>67</v>
      </c>
      <c r="C4" s="8" t="s">
        <v>68</v>
      </c>
      <c r="D4" s="8" t="s">
        <v>69</v>
      </c>
      <c r="E4" s="8" t="s">
        <v>70</v>
      </c>
    </row>
    <row r="5" customFormat="false" ht="57.75" hidden="false" customHeight="true" outlineLevel="0" collapsed="false">
      <c r="A5" s="19" t="s">
        <v>71</v>
      </c>
      <c r="B5" s="10" t="n">
        <v>0.2</v>
      </c>
      <c r="C5" s="9" t="s">
        <v>72</v>
      </c>
      <c r="D5" s="9" t="s">
        <v>73</v>
      </c>
      <c r="E5" s="9" t="s">
        <v>74</v>
      </c>
    </row>
    <row r="6" customFormat="false" ht="57.75" hidden="false" customHeight="true" outlineLevel="0" collapsed="false">
      <c r="A6" s="19" t="s">
        <v>75</v>
      </c>
      <c r="B6" s="10" t="n">
        <v>0.25</v>
      </c>
      <c r="C6" s="9" t="s">
        <v>76</v>
      </c>
      <c r="D6" s="9" t="s">
        <v>77</v>
      </c>
      <c r="E6" s="9" t="s">
        <v>78</v>
      </c>
    </row>
    <row r="7" customFormat="false" ht="57.75" hidden="false" customHeight="true" outlineLevel="0" collapsed="false">
      <c r="A7" s="19" t="s">
        <v>79</v>
      </c>
      <c r="B7" s="10" t="n">
        <v>0.2</v>
      </c>
      <c r="C7" s="9" t="s">
        <v>80</v>
      </c>
      <c r="D7" s="9" t="s">
        <v>81</v>
      </c>
      <c r="E7" s="9" t="s">
        <v>82</v>
      </c>
    </row>
    <row r="8" customFormat="false" ht="57.75" hidden="false" customHeight="true" outlineLevel="0" collapsed="false">
      <c r="A8" s="19" t="s">
        <v>83</v>
      </c>
      <c r="B8" s="10" t="n">
        <v>0.15</v>
      </c>
      <c r="C8" s="9" t="s">
        <v>84</v>
      </c>
      <c r="D8" s="9" t="s">
        <v>85</v>
      </c>
      <c r="E8" s="9" t="s">
        <v>86</v>
      </c>
    </row>
    <row r="9" customFormat="false" ht="57.75" hidden="false" customHeight="true" outlineLevel="0" collapsed="false">
      <c r="A9" s="19" t="s">
        <v>87</v>
      </c>
      <c r="B9" s="10" t="n">
        <v>0.1</v>
      </c>
      <c r="C9" s="9" t="s">
        <v>88</v>
      </c>
      <c r="D9" s="9" t="s">
        <v>89</v>
      </c>
      <c r="E9" s="9" t="s">
        <v>90</v>
      </c>
    </row>
    <row r="10" customFormat="false" ht="57.75" hidden="false" customHeight="true" outlineLevel="0" collapsed="false">
      <c r="A10" s="19" t="s">
        <v>91</v>
      </c>
      <c r="B10" s="10" t="n">
        <v>0.1</v>
      </c>
      <c r="C10" s="9" t="s">
        <v>92</v>
      </c>
      <c r="D10" s="9" t="s">
        <v>93</v>
      </c>
      <c r="E10" s="9" t="s">
        <v>94</v>
      </c>
    </row>
    <row r="11" customFormat="false" ht="15" hidden="false" customHeight="true" outlineLevel="0" collapsed="false">
      <c r="A11" s="20" t="s">
        <v>95</v>
      </c>
      <c r="B11" s="16" t="n">
        <f aca="false">SUM(B5:B10)</f>
        <v>1</v>
      </c>
      <c r="C11" s="19" t="str">
        <f aca="false">IF(ABS(B11-1)&lt;0.0001,"OK — weights sum to 100%","ERROR — weights must sum to 100%")</f>
        <v>OK — weights sum to 100%</v>
      </c>
    </row>
    <row r="13" customFormat="false" ht="15" hidden="false" customHeight="true" outlineLevel="0" collapsed="false">
      <c r="A13" s="5" t="s">
        <v>96</v>
      </c>
      <c r="B13" s="15"/>
      <c r="C13" s="15"/>
      <c r="D13" s="15"/>
      <c r="E13" s="15"/>
    </row>
    <row r="14" customFormat="false" ht="42" hidden="false" customHeight="true" outlineLevel="0" collapsed="false">
      <c r="A14" s="8" t="s">
        <v>71</v>
      </c>
      <c r="B14" s="8" t="s">
        <v>97</v>
      </c>
      <c r="C14" s="8" t="s">
        <v>98</v>
      </c>
      <c r="D14" s="8" t="s">
        <v>99</v>
      </c>
      <c r="E14" s="8"/>
    </row>
    <row r="15" customFormat="false" ht="15" hidden="false" customHeight="true" outlineLevel="0" collapsed="false">
      <c r="A15" s="11" t="s">
        <v>100</v>
      </c>
      <c r="B15" s="21" t="n">
        <v>5</v>
      </c>
      <c r="C15" s="22" t="n">
        <v>11</v>
      </c>
      <c r="D15" s="9" t="s">
        <v>101</v>
      </c>
    </row>
    <row r="16" customFormat="false" ht="23.25" hidden="false" customHeight="true" outlineLevel="0" collapsed="false">
      <c r="A16" s="11" t="s">
        <v>102</v>
      </c>
      <c r="B16" s="21" t="n">
        <v>4</v>
      </c>
      <c r="C16" s="22" t="n">
        <v>90</v>
      </c>
      <c r="D16" s="9" t="s">
        <v>103</v>
      </c>
    </row>
    <row r="17" customFormat="false" ht="23.25" hidden="false" customHeight="true" outlineLevel="0" collapsed="false">
      <c r="A17" s="11" t="s">
        <v>104</v>
      </c>
      <c r="B17" s="21" t="n">
        <v>3</v>
      </c>
      <c r="C17" s="22" t="n">
        <v>40</v>
      </c>
      <c r="D17" s="9" t="s">
        <v>105</v>
      </c>
    </row>
    <row r="18" customFormat="false" ht="15" hidden="false" customHeight="true" outlineLevel="0" collapsed="false">
      <c r="A18" s="11" t="s">
        <v>106</v>
      </c>
      <c r="B18" s="21" t="n">
        <v>3</v>
      </c>
      <c r="C18" s="22" t="n">
        <v>30</v>
      </c>
      <c r="D18" s="9" t="s">
        <v>107</v>
      </c>
    </row>
    <row r="19" customFormat="false" ht="15" hidden="false" customHeight="true" outlineLevel="0" collapsed="false">
      <c r="A19" s="11" t="s">
        <v>108</v>
      </c>
      <c r="B19" s="21" t="n">
        <v>3</v>
      </c>
      <c r="C19" s="22" t="n">
        <v>13</v>
      </c>
      <c r="D19" s="9" t="s">
        <v>109</v>
      </c>
    </row>
    <row r="20" customFormat="false" ht="15" hidden="false" customHeight="true" outlineLevel="0" collapsed="false">
      <c r="A20" s="11" t="s">
        <v>110</v>
      </c>
      <c r="B20" s="21" t="n">
        <v>3</v>
      </c>
      <c r="C20" s="22" t="n">
        <v>13</v>
      </c>
      <c r="D20" s="9" t="s">
        <v>111</v>
      </c>
    </row>
    <row r="21" customFormat="false" ht="15" hidden="false" customHeight="true" outlineLevel="0" collapsed="false">
      <c r="A21" s="11" t="s">
        <v>112</v>
      </c>
      <c r="B21" s="21" t="n">
        <v>2</v>
      </c>
      <c r="C21" s="22" t="n">
        <v>18</v>
      </c>
      <c r="D21" s="9" t="s">
        <v>113</v>
      </c>
    </row>
    <row r="22" customFormat="false" ht="15" hidden="false" customHeight="true" outlineLevel="0" collapsed="false">
      <c r="A22" s="11" t="s">
        <v>114</v>
      </c>
      <c r="B22" s="21" t="n">
        <v>2</v>
      </c>
      <c r="C22" s="22" t="n">
        <v>15</v>
      </c>
      <c r="D22" s="9" t="s">
        <v>115</v>
      </c>
    </row>
    <row r="23" customFormat="false" ht="15" hidden="false" customHeight="true" outlineLevel="0" collapsed="false">
      <c r="A23" s="11" t="s">
        <v>116</v>
      </c>
      <c r="B23" s="21" t="n">
        <v>1</v>
      </c>
      <c r="C23" s="22" t="n">
        <v>12</v>
      </c>
      <c r="D23" s="9" t="s">
        <v>117</v>
      </c>
    </row>
    <row r="24" customFormat="false" ht="15" hidden="false" customHeight="true" outlineLevel="0" collapsed="false">
      <c r="A24" s="11" t="s">
        <v>118</v>
      </c>
      <c r="B24" s="21" t="n">
        <v>1</v>
      </c>
      <c r="C24" s="22" t="n">
        <v>25</v>
      </c>
      <c r="D24" s="9" t="s">
        <v>119</v>
      </c>
    </row>
    <row r="26" customFormat="false" ht="15" hidden="false" customHeight="true" outlineLevel="0" collapsed="false">
      <c r="A26" s="5" t="s">
        <v>120</v>
      </c>
      <c r="B26" s="15"/>
      <c r="C26" s="15"/>
      <c r="D26" s="15"/>
      <c r="E26" s="15"/>
    </row>
    <row r="27" customFormat="false" ht="30" hidden="false" customHeight="true" outlineLevel="0" collapsed="false">
      <c r="A27" s="20" t="s">
        <v>121</v>
      </c>
      <c r="B27" s="9" t="s">
        <v>122</v>
      </c>
      <c r="C27" s="9"/>
      <c r="D27" s="9"/>
      <c r="E27" s="9"/>
    </row>
    <row r="28" customFormat="false" ht="30" hidden="false" customHeight="true" outlineLevel="0" collapsed="false">
      <c r="A28" s="20" t="s">
        <v>121</v>
      </c>
      <c r="B28" s="9" t="s">
        <v>123</v>
      </c>
      <c r="C28" s="9"/>
      <c r="D28" s="9"/>
      <c r="E28" s="9"/>
    </row>
    <row r="29" customFormat="false" ht="30" hidden="false" customHeight="true" outlineLevel="0" collapsed="false">
      <c r="A29" s="20" t="s">
        <v>121</v>
      </c>
      <c r="B29" s="9" t="s">
        <v>124</v>
      </c>
      <c r="C29" s="9"/>
      <c r="D29" s="9"/>
      <c r="E29" s="9"/>
    </row>
    <row r="30" customFormat="false" ht="30" hidden="false" customHeight="true" outlineLevel="0" collapsed="false">
      <c r="A30" s="20" t="s">
        <v>121</v>
      </c>
      <c r="B30" s="9" t="s">
        <v>125</v>
      </c>
      <c r="C30" s="9"/>
      <c r="D30" s="9"/>
      <c r="E30" s="9"/>
    </row>
    <row r="32" customFormat="false" ht="15" hidden="false" customHeight="true" outlineLevel="0" collapsed="false">
      <c r="A32" s="5" t="s">
        <v>126</v>
      </c>
      <c r="B32" s="15"/>
      <c r="C32" s="15"/>
      <c r="D32" s="15"/>
      <c r="E32" s="15"/>
    </row>
    <row r="33" customFormat="false" ht="42" hidden="false" customHeight="true" outlineLevel="0" collapsed="false">
      <c r="A33" s="8" t="s">
        <v>127</v>
      </c>
      <c r="B33" s="8" t="s">
        <v>128</v>
      </c>
      <c r="C33" s="8" t="s">
        <v>129</v>
      </c>
      <c r="D33" s="8"/>
      <c r="E33" s="8"/>
    </row>
    <row r="34" customFormat="false" ht="45.75" hidden="false" customHeight="true" outlineLevel="0" collapsed="false">
      <c r="A34" s="20" t="s">
        <v>130</v>
      </c>
      <c r="B34" s="9" t="s">
        <v>131</v>
      </c>
      <c r="C34" s="9" t="s">
        <v>132</v>
      </c>
    </row>
    <row r="35" customFormat="false" ht="34.5" hidden="false" customHeight="true" outlineLevel="0" collapsed="false">
      <c r="A35" s="20" t="s">
        <v>133</v>
      </c>
      <c r="B35" s="9" t="s">
        <v>134</v>
      </c>
      <c r="C35" s="9" t="s">
        <v>135</v>
      </c>
    </row>
    <row r="36" customFormat="false" ht="23.25" hidden="false" customHeight="true" outlineLevel="0" collapsed="false">
      <c r="A36" s="20" t="s">
        <v>136</v>
      </c>
      <c r="B36" s="9" t="s">
        <v>137</v>
      </c>
      <c r="C36" s="9" t="s">
        <v>138</v>
      </c>
    </row>
    <row r="37" customFormat="false" ht="15" hidden="false" customHeight="true" outlineLevel="0" collapsed="false">
      <c r="A37" s="20" t="s">
        <v>139</v>
      </c>
      <c r="B37" s="9" t="s">
        <v>140</v>
      </c>
      <c r="C37" s="9" t="s">
        <v>141</v>
      </c>
    </row>
    <row r="38" customFormat="false" ht="23.25" hidden="false" customHeight="true" outlineLevel="0" collapsed="false">
      <c r="A38" s="20" t="s">
        <v>142</v>
      </c>
      <c r="B38" s="9" t="s">
        <v>143</v>
      </c>
      <c r="C38" s="9" t="s">
        <v>144</v>
      </c>
    </row>
  </sheetData>
  <mergeCells count="5">
    <mergeCell ref="A1:F1"/>
    <mergeCell ref="B27:E27"/>
    <mergeCell ref="B28:E28"/>
    <mergeCell ref="B29:E29"/>
    <mergeCell ref="B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9"/>
    <col collapsed="false" customWidth="true" hidden="false" outlineLevel="0" max="5" min="4" style="1" width="12"/>
    <col collapsed="false" customWidth="true" hidden="false" outlineLevel="0" max="6" min="6" style="1" width="13"/>
    <col collapsed="false" customWidth="true" hidden="false" outlineLevel="0" max="7" min="7" style="1" width="11"/>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3"/>
    <col collapsed="false" customWidth="true" hidden="false" outlineLevel="0" max="12" min="12" style="1" width="14"/>
    <col collapsed="false" customWidth="true" hidden="false" outlineLevel="0" max="14" min="13" style="1" width="12"/>
    <col collapsed="false" customWidth="true" hidden="false" outlineLevel="0" max="15" min="15" style="1" width="11"/>
    <col collapsed="false" customWidth="true" hidden="false" outlineLevel="0" max="16" min="16" style="1" width="15"/>
    <col collapsed="false" customWidth="true" hidden="false" outlineLevel="0" max="17" min="17" style="1" width="13"/>
    <col collapsed="false" customWidth="true" hidden="false" outlineLevel="0" max="18" min="18" style="1" width="12"/>
    <col collapsed="false" customWidth="true" hidden="false" outlineLevel="0" max="19" min="19" style="1" width="15"/>
    <col collapsed="false" customWidth="true" hidden="false" outlineLevel="0" max="20" min="20" style="1" width="16"/>
    <col collapsed="false" customWidth="true" hidden="false" outlineLevel="0" max="21" min="21" style="1" width="13"/>
    <col collapsed="false" customWidth="true" hidden="false" outlineLevel="0" max="22" min="22" style="1" width="40"/>
  </cols>
  <sheetData>
    <row r="1" customFormat="false" ht="24" hidden="false" customHeight="true" outlineLevel="0" collapsed="false">
      <c r="A1" s="2" t="s">
        <v>145</v>
      </c>
      <c r="B1" s="2"/>
      <c r="C1" s="2"/>
      <c r="D1" s="2"/>
      <c r="E1" s="2"/>
      <c r="F1" s="2"/>
      <c r="G1" s="2"/>
      <c r="H1" s="2"/>
      <c r="I1" s="2"/>
      <c r="J1" s="2"/>
      <c r="K1" s="2"/>
      <c r="L1" s="2"/>
      <c r="M1" s="2"/>
      <c r="N1" s="2"/>
      <c r="O1" s="2"/>
      <c r="P1" s="2"/>
      <c r="Q1" s="2"/>
      <c r="R1" s="2"/>
      <c r="S1" s="2"/>
      <c r="T1" s="2"/>
      <c r="U1" s="2"/>
      <c r="V1" s="2"/>
    </row>
    <row r="2" customFormat="false" ht="15" hidden="false" customHeight="true" outlineLevel="0" collapsed="false">
      <c r="A2" s="18" t="s">
        <v>146</v>
      </c>
    </row>
    <row r="4" customFormat="false" ht="42" hidden="false" customHeight="true" outlineLevel="0" collapsed="false">
      <c r="A4" s="8" t="s">
        <v>147</v>
      </c>
      <c r="B4" s="8" t="s">
        <v>148</v>
      </c>
      <c r="C4" s="8" t="s">
        <v>149</v>
      </c>
      <c r="D4" s="8" t="s">
        <v>150</v>
      </c>
      <c r="E4" s="8" t="s">
        <v>151</v>
      </c>
      <c r="F4" s="8" t="s">
        <v>152</v>
      </c>
      <c r="G4" s="8" t="s">
        <v>153</v>
      </c>
      <c r="H4" s="8" t="s">
        <v>154</v>
      </c>
      <c r="I4" s="8" t="s">
        <v>155</v>
      </c>
      <c r="J4" s="8" t="s">
        <v>156</v>
      </c>
      <c r="K4" s="8" t="s">
        <v>157</v>
      </c>
      <c r="L4" s="8" t="s">
        <v>158</v>
      </c>
      <c r="M4" s="8" t="s">
        <v>159</v>
      </c>
      <c r="N4" s="8" t="s">
        <v>160</v>
      </c>
      <c r="O4" s="8" t="s">
        <v>161</v>
      </c>
      <c r="P4" s="8" t="s">
        <v>162</v>
      </c>
      <c r="Q4" s="8" t="s">
        <v>163</v>
      </c>
      <c r="R4" s="8" t="s">
        <v>164</v>
      </c>
      <c r="S4" s="8" t="s">
        <v>165</v>
      </c>
      <c r="T4" s="8" t="s">
        <v>127</v>
      </c>
      <c r="U4" s="8" t="s">
        <v>166</v>
      </c>
      <c r="V4" s="8" t="s">
        <v>167</v>
      </c>
    </row>
    <row r="5" customFormat="false" ht="23.25" hidden="false" customHeight="true" outlineLevel="0" collapsed="false">
      <c r="A5" s="23" t="s">
        <v>168</v>
      </c>
      <c r="B5" s="24" t="str">
        <f aca="false">IF($A5="","",IF(ISERROR(FIND(".",$A5)),"",LOWER(MID($A5,FIND(CHAR(1),SUBSTITUTE($A5,".",CHAR(1),LEN($A5)-LEN(SUBSTITUTE($A5,".",""))))+1,LEN($A5)))))</f>
        <v>com</v>
      </c>
      <c r="C5" s="25" t="n">
        <f aca="false">IF($B5="","",IFERROR(INDEX(Rubric!$B$15:$B$24,MATCH(LOWER($B5),Rubric!$A$15:$A$24,0)),INDEX(Rubric!$B$15:$B$24,MATCH("other",Rubric!$A$15:$A$24,0))))</f>
        <v>5</v>
      </c>
      <c r="D5" s="26" t="n">
        <v>5</v>
      </c>
      <c r="E5" s="26" t="n">
        <v>4</v>
      </c>
      <c r="F5" s="26" t="n">
        <v>4</v>
      </c>
      <c r="G5" s="26" t="n">
        <v>5</v>
      </c>
      <c r="H5" s="26" t="n">
        <v>2</v>
      </c>
      <c r="I5" s="26" t="s">
        <v>169</v>
      </c>
      <c r="J5" s="26" t="s">
        <v>169</v>
      </c>
      <c r="K5" s="27"/>
      <c r="L5" s="27" t="n">
        <v>40000</v>
      </c>
      <c r="M5" s="28" t="n">
        <f aca="false">IF($B5="","",IFERROR(INDEX(Rubric!$C$15:$C$24,MATCH(LOWER($B5),Rubric!$A$15:$A$24,0)),INDEX(Rubric!$C$15:$C$24,MATCH("other",Rubric!$A$15:$A$24,0))))</f>
        <v>11</v>
      </c>
      <c r="N5" s="29" t="n">
        <f aca="false">IF(OR($A5="",$C5=""),"",$C5*Rubric!$B$5+$D5*Rubric!$B$6+$E5*Rubric!$B$7+$F5*Rubric!$B$8+$G5*Rubric!$B$9+$H5*Rubric!$B$10)</f>
        <v>4.35</v>
      </c>
      <c r="O5" s="30" t="str">
        <f aca="false">IF($A5="","",IF(OR(UPPER($I5)="Y",UPPER($J5)="Y"),"FAIL","PASS"))</f>
        <v>PASS</v>
      </c>
      <c r="P5" s="31" t="n">
        <f aca="false">IF(OR($A5="",$L5=""),"",MAX(0,$L5-MAX($L5*Assumptions!$B$4,Assumptions!$B$5)))</f>
        <v>32000</v>
      </c>
      <c r="Q5" s="32" t="n">
        <f aca="false">IF($A5="","",Assumptions!$B$13)</f>
        <v>0.0960792032000001</v>
      </c>
      <c r="R5" s="31" t="n">
        <f aca="false">IF(OR($A5="",$M5=""),"",$M5*Assumptions!$B$7)</f>
        <v>55</v>
      </c>
      <c r="S5" s="31" t="n">
        <f aca="false">IF(OR($A5="",$P5="",$R5=""),"",MAX(0,$P5*$Q5-$R5))</f>
        <v>3019.5345024</v>
      </c>
      <c r="T5" s="30" t="str">
        <f aca="false">IF($A5="","",IF($O5="FAIL","REJECT",IF($N5&gt;=4,IF(AND($K5&lt;&gt;"",$K5&gt;$S5),"BUY IF CHEAPER","BUY"),IF($N5&gt;=3.2,"WATCH","PASS"))))</f>
        <v>BUY</v>
      </c>
      <c r="U5" s="26" t="s">
        <v>170</v>
      </c>
      <c r="V5" s="33" t="s">
        <v>171</v>
      </c>
    </row>
    <row r="6" customFormat="false" ht="15" hidden="false" customHeight="true" outlineLevel="0" collapsed="false">
      <c r="A6" s="23" t="s">
        <v>172</v>
      </c>
      <c r="B6" s="34" t="str">
        <f aca="false">IF($A6="","",IF(ISERROR(FIND(".",$A6)),"",LOWER(MID($A6,FIND(CHAR(1),SUBSTITUTE($A6,".",CHAR(1),LEN($A6)-LEN(SUBSTITUTE($A6,".",""))))+1,LEN($A6)))))</f>
        <v>com</v>
      </c>
      <c r="C6" s="35" t="n">
        <f aca="false">IF($B6="","",IFERROR(INDEX(Rubric!$B$15:$B$24,MATCH(LOWER($B6),Rubric!$A$15:$A$24,0)),INDEX(Rubric!$B$15:$B$24,MATCH("other",Rubric!$A$15:$A$24,0))))</f>
        <v>5</v>
      </c>
      <c r="D6" s="26" t="n">
        <v>5</v>
      </c>
      <c r="E6" s="26" t="n">
        <v>3</v>
      </c>
      <c r="F6" s="26" t="n">
        <v>3</v>
      </c>
      <c r="G6" s="26" t="n">
        <v>4</v>
      </c>
      <c r="H6" s="26" t="n">
        <v>2</v>
      </c>
      <c r="I6" s="26" t="s">
        <v>169</v>
      </c>
      <c r="J6" s="26" t="s">
        <v>169</v>
      </c>
      <c r="K6" s="27"/>
      <c r="L6" s="27" t="n">
        <v>30000</v>
      </c>
      <c r="M6" s="36" t="n">
        <f aca="false">IF($B6="","",IFERROR(INDEX(Rubric!$C$15:$C$24,MATCH(LOWER($B6),Rubric!$A$15:$A$24,0)),INDEX(Rubric!$C$15:$C$24,MATCH("other",Rubric!$A$15:$A$24,0))))</f>
        <v>11</v>
      </c>
      <c r="N6" s="37" t="n">
        <f aca="false">IF(OR($A6="",$C6=""),"",$C6*Rubric!$B$5+$D6*Rubric!$B$6+$E6*Rubric!$B$7+$F6*Rubric!$B$8+$G6*Rubric!$B$9+$H6*Rubric!$B$10)</f>
        <v>3.9</v>
      </c>
      <c r="O6" s="38" t="str">
        <f aca="false">IF($A6="","",IF(OR(UPPER($I6)="Y",UPPER($J6)="Y"),"FAIL","PASS"))</f>
        <v>PASS</v>
      </c>
      <c r="P6" s="39" t="n">
        <f aca="false">IF(OR($A6="",$L6=""),"",MAX(0,$L6-MAX($L6*Assumptions!$B$4,Assumptions!$B$5)))</f>
        <v>24000</v>
      </c>
      <c r="Q6" s="40" t="n">
        <f aca="false">IF($A6="","",Assumptions!$B$13)</f>
        <v>0.0960792032000001</v>
      </c>
      <c r="R6" s="39" t="n">
        <f aca="false">IF(OR($A6="",$M6=""),"",$M6*Assumptions!$B$7)</f>
        <v>55</v>
      </c>
      <c r="S6" s="39" t="n">
        <f aca="false">IF(OR($A6="",$P6="",$R6=""),"",MAX(0,$P6*$Q6-$R6))</f>
        <v>2250.9008768</v>
      </c>
      <c r="T6" s="38" t="str">
        <f aca="false">IF($A6="","",IF($O6="FAIL","REJECT",IF($N6&gt;=4,IF(AND($K6&lt;&gt;"",$K6&gt;$S6),"BUY IF CHEAPER","BUY"),IF($N6&gt;=3.2,"WATCH","PASS"))))</f>
        <v>WATCH</v>
      </c>
      <c r="U6" s="26" t="s">
        <v>170</v>
      </c>
      <c r="V6" s="33" t="s">
        <v>173</v>
      </c>
    </row>
    <row r="7" customFormat="false" ht="15" hidden="false" customHeight="true" outlineLevel="0" collapsed="false">
      <c r="A7" s="23" t="s">
        <v>174</v>
      </c>
      <c r="B7" s="34" t="str">
        <f aca="false">IF($A7="","",IF(ISERROR(FIND(".",$A7)),"",LOWER(MID($A7,FIND(CHAR(1),SUBSTITUTE($A7,".",CHAR(1),LEN($A7)-LEN(SUBSTITUTE($A7,".",""))))+1,LEN($A7)))))</f>
        <v>com</v>
      </c>
      <c r="C7" s="35" t="n">
        <f aca="false">IF($B7="","",IFERROR(INDEX(Rubric!$B$15:$B$24,MATCH(LOWER($B7),Rubric!$A$15:$A$24,0)),INDEX(Rubric!$B$15:$B$24,MATCH("other",Rubric!$A$15:$A$24,0))))</f>
        <v>5</v>
      </c>
      <c r="D7" s="26" t="n">
        <v>5</v>
      </c>
      <c r="E7" s="26" t="n">
        <v>3</v>
      </c>
      <c r="F7" s="26" t="n">
        <v>3</v>
      </c>
      <c r="G7" s="26" t="n">
        <v>5</v>
      </c>
      <c r="H7" s="26" t="n">
        <v>2</v>
      </c>
      <c r="I7" s="26" t="s">
        <v>169</v>
      </c>
      <c r="J7" s="26" t="s">
        <v>169</v>
      </c>
      <c r="K7" s="27"/>
      <c r="L7" s="27" t="n">
        <v>25000</v>
      </c>
      <c r="M7" s="36" t="n">
        <f aca="false">IF($B7="","",IFERROR(INDEX(Rubric!$C$15:$C$24,MATCH(LOWER($B7),Rubric!$A$15:$A$24,0)),INDEX(Rubric!$C$15:$C$24,MATCH("other",Rubric!$A$15:$A$24,0))))</f>
        <v>11</v>
      </c>
      <c r="N7" s="37" t="n">
        <f aca="false">IF(OR($A7="",$C7=""),"",$C7*Rubric!$B$5+$D7*Rubric!$B$6+$E7*Rubric!$B$7+$F7*Rubric!$B$8+$G7*Rubric!$B$9+$H7*Rubric!$B$10)</f>
        <v>4</v>
      </c>
      <c r="O7" s="38" t="str">
        <f aca="false">IF($A7="","",IF(OR(UPPER($I7)="Y",UPPER($J7)="Y"),"FAIL","PASS"))</f>
        <v>PASS</v>
      </c>
      <c r="P7" s="39" t="n">
        <f aca="false">IF(OR($A7="",$L7=""),"",MAX(0,$L7-MAX($L7*Assumptions!$B$4,Assumptions!$B$5)))</f>
        <v>20000</v>
      </c>
      <c r="Q7" s="40" t="n">
        <f aca="false">IF($A7="","",Assumptions!$B$13)</f>
        <v>0.0960792032000001</v>
      </c>
      <c r="R7" s="39" t="n">
        <f aca="false">IF(OR($A7="",$M7=""),"",$M7*Assumptions!$B$7)</f>
        <v>55</v>
      </c>
      <c r="S7" s="39" t="n">
        <f aca="false">IF(OR($A7="",$P7="",$R7=""),"",MAX(0,$P7*$Q7-$R7))</f>
        <v>1866.584064</v>
      </c>
      <c r="T7" s="38" t="str">
        <f aca="false">IF($A7="","",IF($O7="FAIL","REJECT",IF($N7&gt;=4,IF(AND($K7&lt;&gt;"",$K7&gt;$S7),"BUY IF CHEAPER","BUY"),IF($N7&gt;=3.2,"WATCH","PASS"))))</f>
        <v>BUY</v>
      </c>
      <c r="U7" s="26" t="s">
        <v>170</v>
      </c>
      <c r="V7" s="33" t="s">
        <v>175</v>
      </c>
    </row>
    <row r="8" customFormat="false" ht="15" hidden="false" customHeight="true" outlineLevel="0" collapsed="false">
      <c r="A8" s="23" t="s">
        <v>176</v>
      </c>
      <c r="B8" s="34" t="str">
        <f aca="false">IF($A8="","",IF(ISERROR(FIND(".",$A8)),"",LOWER(MID($A8,FIND(CHAR(1),SUBSTITUTE($A8,".",CHAR(1),LEN($A8)-LEN(SUBSTITUTE($A8,".",""))))+1,LEN($A8)))))</f>
        <v>com</v>
      </c>
      <c r="C8" s="35" t="n">
        <f aca="false">IF($B8="","",IFERROR(INDEX(Rubric!$B$15:$B$24,MATCH(LOWER($B8),Rubric!$A$15:$A$24,0)),INDEX(Rubric!$B$15:$B$24,MATCH("other",Rubric!$A$15:$A$24,0))))</f>
        <v>5</v>
      </c>
      <c r="D8" s="26" t="n">
        <v>5</v>
      </c>
      <c r="E8" s="26" t="n">
        <v>3</v>
      </c>
      <c r="F8" s="26" t="n">
        <v>3</v>
      </c>
      <c r="G8" s="26" t="n">
        <v>5</v>
      </c>
      <c r="H8" s="26" t="n">
        <v>2</v>
      </c>
      <c r="I8" s="26" t="s">
        <v>169</v>
      </c>
      <c r="J8" s="26" t="s">
        <v>169</v>
      </c>
      <c r="K8" s="27"/>
      <c r="L8" s="27" t="n">
        <v>25000</v>
      </c>
      <c r="M8" s="36" t="n">
        <f aca="false">IF($B8="","",IFERROR(INDEX(Rubric!$C$15:$C$24,MATCH(LOWER($B8),Rubric!$A$15:$A$24,0)),INDEX(Rubric!$C$15:$C$24,MATCH("other",Rubric!$A$15:$A$24,0))))</f>
        <v>11</v>
      </c>
      <c r="N8" s="37" t="n">
        <f aca="false">IF(OR($A8="",$C8=""),"",$C8*Rubric!$B$5+$D8*Rubric!$B$6+$E8*Rubric!$B$7+$F8*Rubric!$B$8+$G8*Rubric!$B$9+$H8*Rubric!$B$10)</f>
        <v>4</v>
      </c>
      <c r="O8" s="38" t="str">
        <f aca="false">IF($A8="","",IF(OR(UPPER($I8)="Y",UPPER($J8)="Y"),"FAIL","PASS"))</f>
        <v>PASS</v>
      </c>
      <c r="P8" s="39" t="n">
        <f aca="false">IF(OR($A8="",$L8=""),"",MAX(0,$L8-MAX($L8*Assumptions!$B$4,Assumptions!$B$5)))</f>
        <v>20000</v>
      </c>
      <c r="Q8" s="40" t="n">
        <f aca="false">IF($A8="","",Assumptions!$B$13)</f>
        <v>0.0960792032000001</v>
      </c>
      <c r="R8" s="39" t="n">
        <f aca="false">IF(OR($A8="",$M8=""),"",$M8*Assumptions!$B$7)</f>
        <v>55</v>
      </c>
      <c r="S8" s="39" t="n">
        <f aca="false">IF(OR($A8="",$P8="",$R8=""),"",MAX(0,$P8*$Q8-$R8))</f>
        <v>1866.584064</v>
      </c>
      <c r="T8" s="38" t="str">
        <f aca="false">IF($A8="","",IF($O8="FAIL","REJECT",IF($N8&gt;=4,IF(AND($K8&lt;&gt;"",$K8&gt;$S8),"BUY IF CHEAPER","BUY"),IF($N8&gt;=3.2,"WATCH","PASS"))))</f>
        <v>BUY</v>
      </c>
      <c r="U8" s="26" t="s">
        <v>170</v>
      </c>
      <c r="V8" s="33" t="s">
        <v>177</v>
      </c>
    </row>
    <row r="9" customFormat="false" ht="15" hidden="false" customHeight="true" outlineLevel="0" collapsed="false">
      <c r="A9" s="23" t="s">
        <v>178</v>
      </c>
      <c r="B9" s="34" t="str">
        <f aca="false">IF($A9="","",IF(ISERROR(FIND(".",$A9)),"",LOWER(MID($A9,FIND(CHAR(1),SUBSTITUTE($A9,".",CHAR(1),LEN($A9)-LEN(SUBSTITUTE($A9,".",""))))+1,LEN($A9)))))</f>
        <v>com</v>
      </c>
      <c r="C9" s="35" t="n">
        <f aca="false">IF($B9="","",IFERROR(INDEX(Rubric!$B$15:$B$24,MATCH(LOWER($B9),Rubric!$A$15:$A$24,0)),INDEX(Rubric!$B$15:$B$24,MATCH("other",Rubric!$A$15:$A$24,0))))</f>
        <v>5</v>
      </c>
      <c r="D9" s="26" t="n">
        <v>5</v>
      </c>
      <c r="E9" s="26" t="n">
        <v>3</v>
      </c>
      <c r="F9" s="26" t="n">
        <v>3</v>
      </c>
      <c r="G9" s="26" t="n">
        <v>5</v>
      </c>
      <c r="H9" s="26" t="n">
        <v>2</v>
      </c>
      <c r="I9" s="26" t="s">
        <v>169</v>
      </c>
      <c r="J9" s="26" t="s">
        <v>169</v>
      </c>
      <c r="K9" s="27"/>
      <c r="L9" s="27" t="n">
        <v>20000</v>
      </c>
      <c r="M9" s="36" t="n">
        <f aca="false">IF($B9="","",IFERROR(INDEX(Rubric!$C$15:$C$24,MATCH(LOWER($B9),Rubric!$A$15:$A$24,0)),INDEX(Rubric!$C$15:$C$24,MATCH("other",Rubric!$A$15:$A$24,0))))</f>
        <v>11</v>
      </c>
      <c r="N9" s="37" t="n">
        <f aca="false">IF(OR($A9="",$C9=""),"",$C9*Rubric!$B$5+$D9*Rubric!$B$6+$E9*Rubric!$B$7+$F9*Rubric!$B$8+$G9*Rubric!$B$9+$H9*Rubric!$B$10)</f>
        <v>4</v>
      </c>
      <c r="O9" s="38" t="str">
        <f aca="false">IF($A9="","",IF(OR(UPPER($I9)="Y",UPPER($J9)="Y"),"FAIL","PASS"))</f>
        <v>PASS</v>
      </c>
      <c r="P9" s="39" t="n">
        <f aca="false">IF(OR($A9="",$L9=""),"",MAX(0,$L9-MAX($L9*Assumptions!$B$4,Assumptions!$B$5)))</f>
        <v>16000</v>
      </c>
      <c r="Q9" s="40" t="n">
        <f aca="false">IF($A9="","",Assumptions!$B$13)</f>
        <v>0.0960792032000001</v>
      </c>
      <c r="R9" s="39" t="n">
        <f aca="false">IF(OR($A9="",$M9=""),"",$M9*Assumptions!$B$7)</f>
        <v>55</v>
      </c>
      <c r="S9" s="39" t="n">
        <f aca="false">IF(OR($A9="",$P9="",$R9=""),"",MAX(0,$P9*$Q9-$R9))</f>
        <v>1482.2672512</v>
      </c>
      <c r="T9" s="38" t="str">
        <f aca="false">IF($A9="","",IF($O9="FAIL","REJECT",IF($N9&gt;=4,IF(AND($K9&lt;&gt;"",$K9&gt;$S9),"BUY IF CHEAPER","BUY"),IF($N9&gt;=3.2,"WATCH","PASS"))))</f>
        <v>BUY</v>
      </c>
      <c r="U9" s="26" t="s">
        <v>170</v>
      </c>
      <c r="V9" s="33" t="s">
        <v>179</v>
      </c>
    </row>
    <row r="10" customFormat="false" ht="15" hidden="false" customHeight="true" outlineLevel="0" collapsed="false">
      <c r="A10" s="23" t="s">
        <v>180</v>
      </c>
      <c r="B10" s="34" t="str">
        <f aca="false">IF($A10="","",IF(ISERROR(FIND(".",$A10)),"",LOWER(MID($A10,FIND(CHAR(1),SUBSTITUTE($A10,".",CHAR(1),LEN($A10)-LEN(SUBSTITUTE($A10,".",""))))+1,LEN($A10)))))</f>
        <v>com</v>
      </c>
      <c r="C10" s="35" t="n">
        <f aca="false">IF($B10="","",IFERROR(INDEX(Rubric!$B$15:$B$24,MATCH(LOWER($B10),Rubric!$A$15:$A$24,0)),INDEX(Rubric!$B$15:$B$24,MATCH("other",Rubric!$A$15:$A$24,0))))</f>
        <v>5</v>
      </c>
      <c r="D10" s="26" t="n">
        <v>5</v>
      </c>
      <c r="E10" s="26" t="n">
        <v>3</v>
      </c>
      <c r="F10" s="26" t="n">
        <v>2</v>
      </c>
      <c r="G10" s="26" t="n">
        <v>4</v>
      </c>
      <c r="H10" s="26" t="n">
        <v>2</v>
      </c>
      <c r="I10" s="26" t="s">
        <v>169</v>
      </c>
      <c r="J10" s="26" t="s">
        <v>169</v>
      </c>
      <c r="K10" s="27"/>
      <c r="L10" s="27" t="n">
        <v>20000</v>
      </c>
      <c r="M10" s="36" t="n">
        <f aca="false">IF($B10="","",IFERROR(INDEX(Rubric!$C$15:$C$24,MATCH(LOWER($B10),Rubric!$A$15:$A$24,0)),INDEX(Rubric!$C$15:$C$24,MATCH("other",Rubric!$A$15:$A$24,0))))</f>
        <v>11</v>
      </c>
      <c r="N10" s="37" t="n">
        <f aca="false">IF(OR($A10="",$C10=""),"",$C10*Rubric!$B$5+$D10*Rubric!$B$6+$E10*Rubric!$B$7+$F10*Rubric!$B$8+$G10*Rubric!$B$9+$H10*Rubric!$B$10)</f>
        <v>3.75</v>
      </c>
      <c r="O10" s="38" t="str">
        <f aca="false">IF($A10="","",IF(OR(UPPER($I10)="Y",UPPER($J10)="Y"),"FAIL","PASS"))</f>
        <v>PASS</v>
      </c>
      <c r="P10" s="39" t="n">
        <f aca="false">IF(OR($A10="",$L10=""),"",MAX(0,$L10-MAX($L10*Assumptions!$B$4,Assumptions!$B$5)))</f>
        <v>16000</v>
      </c>
      <c r="Q10" s="40" t="n">
        <f aca="false">IF($A10="","",Assumptions!$B$13)</f>
        <v>0.0960792032000001</v>
      </c>
      <c r="R10" s="39" t="n">
        <f aca="false">IF(OR($A10="",$M10=""),"",$M10*Assumptions!$B$7)</f>
        <v>55</v>
      </c>
      <c r="S10" s="39" t="n">
        <f aca="false">IF(OR($A10="",$P10="",$R10=""),"",MAX(0,$P10*$Q10-$R10))</f>
        <v>1482.2672512</v>
      </c>
      <c r="T10" s="38" t="str">
        <f aca="false">IF($A10="","",IF($O10="FAIL","REJECT",IF($N10&gt;=4,IF(AND($K10&lt;&gt;"",$K10&gt;$S10),"BUY IF CHEAPER","BUY"),IF($N10&gt;=3.2,"WATCH","PASS"))))</f>
        <v>WATCH</v>
      </c>
      <c r="U10" s="26" t="s">
        <v>170</v>
      </c>
      <c r="V10" s="33" t="s">
        <v>181</v>
      </c>
    </row>
    <row r="11" customFormat="false" ht="15" hidden="false" customHeight="true" outlineLevel="0" collapsed="false">
      <c r="A11" s="23" t="s">
        <v>182</v>
      </c>
      <c r="B11" s="34" t="str">
        <f aca="false">IF($A11="","",IF(ISERROR(FIND(".",$A11)),"",LOWER(MID($A11,FIND(CHAR(1),SUBSTITUTE($A11,".",CHAR(1),LEN($A11)-LEN(SUBSTITUTE($A11,".",""))))+1,LEN($A11)))))</f>
        <v>com</v>
      </c>
      <c r="C11" s="35" t="n">
        <f aca="false">IF($B11="","",IFERROR(INDEX(Rubric!$B$15:$B$24,MATCH(LOWER($B11),Rubric!$A$15:$A$24,0)),INDEX(Rubric!$B$15:$B$24,MATCH("other",Rubric!$A$15:$A$24,0))))</f>
        <v>5</v>
      </c>
      <c r="D11" s="26" t="n">
        <v>5</v>
      </c>
      <c r="E11" s="26" t="n">
        <v>3</v>
      </c>
      <c r="F11" s="26" t="n">
        <v>2</v>
      </c>
      <c r="G11" s="26" t="n">
        <v>4</v>
      </c>
      <c r="H11" s="26" t="n">
        <v>2</v>
      </c>
      <c r="I11" s="26" t="s">
        <v>169</v>
      </c>
      <c r="J11" s="26" t="s">
        <v>169</v>
      </c>
      <c r="K11" s="27"/>
      <c r="L11" s="27" t="n">
        <v>12000</v>
      </c>
      <c r="M11" s="36" t="n">
        <f aca="false">IF($B11="","",IFERROR(INDEX(Rubric!$C$15:$C$24,MATCH(LOWER($B11),Rubric!$A$15:$A$24,0)),INDEX(Rubric!$C$15:$C$24,MATCH("other",Rubric!$A$15:$A$24,0))))</f>
        <v>11</v>
      </c>
      <c r="N11" s="37" t="n">
        <f aca="false">IF(OR($A11="",$C11=""),"",$C11*Rubric!$B$5+$D11*Rubric!$B$6+$E11*Rubric!$B$7+$F11*Rubric!$B$8+$G11*Rubric!$B$9+$H11*Rubric!$B$10)</f>
        <v>3.75</v>
      </c>
      <c r="O11" s="38" t="str">
        <f aca="false">IF($A11="","",IF(OR(UPPER($I11)="Y",UPPER($J11)="Y"),"FAIL","PASS"))</f>
        <v>PASS</v>
      </c>
      <c r="P11" s="39" t="n">
        <f aca="false">IF(OR($A11="",$L11=""),"",MAX(0,$L11-MAX($L11*Assumptions!$B$4,Assumptions!$B$5)))</f>
        <v>9600</v>
      </c>
      <c r="Q11" s="40" t="n">
        <f aca="false">IF($A11="","",Assumptions!$B$13)</f>
        <v>0.0960792032000001</v>
      </c>
      <c r="R11" s="39" t="n">
        <f aca="false">IF(OR($A11="",$M11=""),"",$M11*Assumptions!$B$7)</f>
        <v>55</v>
      </c>
      <c r="S11" s="39" t="n">
        <f aca="false">IF(OR($A11="",$P11="",$R11=""),"",MAX(0,$P11*$Q11-$R11))</f>
        <v>867.360350720001</v>
      </c>
      <c r="T11" s="38" t="str">
        <f aca="false">IF($A11="","",IF($O11="FAIL","REJECT",IF($N11&gt;=4,IF(AND($K11&lt;&gt;"",$K11&gt;$S11),"BUY IF CHEAPER","BUY"),IF($N11&gt;=3.2,"WATCH","PASS"))))</f>
        <v>WATCH</v>
      </c>
      <c r="U11" s="26" t="s">
        <v>170</v>
      </c>
      <c r="V11" s="33" t="s">
        <v>183</v>
      </c>
    </row>
    <row r="12" customFormat="false" ht="15" hidden="false" customHeight="true" outlineLevel="0" collapsed="false">
      <c r="A12" s="23" t="s">
        <v>184</v>
      </c>
      <c r="B12" s="34" t="str">
        <f aca="false">IF($A12="","",IF(ISERROR(FIND(".",$A12)),"",LOWER(MID($A12,FIND(CHAR(1),SUBSTITUTE($A12,".",CHAR(1),LEN($A12)-LEN(SUBSTITUTE($A12,".",""))))+1,LEN($A12)))))</f>
        <v>com</v>
      </c>
      <c r="C12" s="35" t="n">
        <f aca="false">IF($B12="","",IFERROR(INDEX(Rubric!$B$15:$B$24,MATCH(LOWER($B12),Rubric!$A$15:$A$24,0)),INDEX(Rubric!$B$15:$B$24,MATCH("other",Rubric!$A$15:$A$24,0))))</f>
        <v>5</v>
      </c>
      <c r="D12" s="26" t="n">
        <v>4</v>
      </c>
      <c r="E12" s="26" t="n">
        <v>2</v>
      </c>
      <c r="F12" s="26" t="n">
        <v>3</v>
      </c>
      <c r="G12" s="26" t="n">
        <v>4</v>
      </c>
      <c r="H12" s="26" t="n">
        <v>2</v>
      </c>
      <c r="I12" s="26" t="s">
        <v>169</v>
      </c>
      <c r="J12" s="26" t="s">
        <v>169</v>
      </c>
      <c r="K12" s="27"/>
      <c r="L12" s="27" t="n">
        <v>8000</v>
      </c>
      <c r="M12" s="36" t="n">
        <f aca="false">IF($B12="","",IFERROR(INDEX(Rubric!$C$15:$C$24,MATCH(LOWER($B12),Rubric!$A$15:$A$24,0)),INDEX(Rubric!$C$15:$C$24,MATCH("other",Rubric!$A$15:$A$24,0))))</f>
        <v>11</v>
      </c>
      <c r="N12" s="37" t="n">
        <f aca="false">IF(OR($A12="",$C12=""),"",$C12*Rubric!$B$5+$D12*Rubric!$B$6+$E12*Rubric!$B$7+$F12*Rubric!$B$8+$G12*Rubric!$B$9+$H12*Rubric!$B$10)</f>
        <v>3.45</v>
      </c>
      <c r="O12" s="38" t="str">
        <f aca="false">IF($A12="","",IF(OR(UPPER($I12)="Y",UPPER($J12)="Y"),"FAIL","PASS"))</f>
        <v>PASS</v>
      </c>
      <c r="P12" s="39" t="n">
        <f aca="false">IF(OR($A12="",$L12=""),"",MAX(0,$L12-MAX($L12*Assumptions!$B$4,Assumptions!$B$5)))</f>
        <v>6400</v>
      </c>
      <c r="Q12" s="40" t="n">
        <f aca="false">IF($A12="","",Assumptions!$B$13)</f>
        <v>0.0960792032000001</v>
      </c>
      <c r="R12" s="39" t="n">
        <f aca="false">IF(OR($A12="",$M12=""),"",$M12*Assumptions!$B$7)</f>
        <v>55</v>
      </c>
      <c r="S12" s="39" t="n">
        <f aca="false">IF(OR($A12="",$P12="",$R12=""),"",MAX(0,$P12*$Q12-$R12))</f>
        <v>559.90690048</v>
      </c>
      <c r="T12" s="38" t="str">
        <f aca="false">IF($A12="","",IF($O12="FAIL","REJECT",IF($N12&gt;=4,IF(AND($K12&lt;&gt;"",$K12&gt;$S12),"BUY IF CHEAPER","BUY"),IF($N12&gt;=3.2,"WATCH","PASS"))))</f>
        <v>WATCH</v>
      </c>
      <c r="U12" s="26" t="s">
        <v>170</v>
      </c>
      <c r="V12" s="33" t="s">
        <v>185</v>
      </c>
    </row>
    <row r="13" customFormat="false" ht="23.25" hidden="false" customHeight="true" outlineLevel="0" collapsed="false">
      <c r="A13" s="23" t="s">
        <v>186</v>
      </c>
      <c r="B13" s="34" t="str">
        <f aca="false">IF($A13="","",IF(ISERROR(FIND(".",$A13)),"",LOWER(MID($A13,FIND(CHAR(1),SUBSTITUTE($A13,".",CHAR(1),LEN($A13)-LEN(SUBSTITUTE($A13,".",""))))+1,LEN($A13)))))</f>
        <v>com</v>
      </c>
      <c r="C13" s="35" t="n">
        <f aca="false">IF($B13="","",IFERROR(INDEX(Rubric!$B$15:$B$24,MATCH(LOWER($B13),Rubric!$A$15:$A$24,0)),INDEX(Rubric!$B$15:$B$24,MATCH("other",Rubric!$A$15:$A$24,0))))</f>
        <v>5</v>
      </c>
      <c r="D13" s="26" t="n">
        <v>4</v>
      </c>
      <c r="E13" s="26" t="n">
        <v>2</v>
      </c>
      <c r="F13" s="26" t="n">
        <v>3</v>
      </c>
      <c r="G13" s="26" t="n">
        <v>5</v>
      </c>
      <c r="H13" s="26" t="n">
        <v>2</v>
      </c>
      <c r="I13" s="26" t="s">
        <v>169</v>
      </c>
      <c r="J13" s="26" t="s">
        <v>169</v>
      </c>
      <c r="K13" s="27"/>
      <c r="L13" s="27" t="n">
        <v>7000</v>
      </c>
      <c r="M13" s="36" t="n">
        <f aca="false">IF($B13="","",IFERROR(INDEX(Rubric!$C$15:$C$24,MATCH(LOWER($B13),Rubric!$A$15:$A$24,0)),INDEX(Rubric!$C$15:$C$24,MATCH("other",Rubric!$A$15:$A$24,0))))</f>
        <v>11</v>
      </c>
      <c r="N13" s="37" t="n">
        <f aca="false">IF(OR($A13="",$C13=""),"",$C13*Rubric!$B$5+$D13*Rubric!$B$6+$E13*Rubric!$B$7+$F13*Rubric!$B$8+$G13*Rubric!$B$9+$H13*Rubric!$B$10)</f>
        <v>3.55</v>
      </c>
      <c r="O13" s="38" t="str">
        <f aca="false">IF($A13="","",IF(OR(UPPER($I13)="Y",UPPER($J13)="Y"),"FAIL","PASS"))</f>
        <v>PASS</v>
      </c>
      <c r="P13" s="39" t="n">
        <f aca="false">IF(OR($A13="",$L13=""),"",MAX(0,$L13-MAX($L13*Assumptions!$B$4,Assumptions!$B$5)))</f>
        <v>5600</v>
      </c>
      <c r="Q13" s="40" t="n">
        <f aca="false">IF($A13="","",Assumptions!$B$13)</f>
        <v>0.0960792032000001</v>
      </c>
      <c r="R13" s="39" t="n">
        <f aca="false">IF(OR($A13="",$M13=""),"",$M13*Assumptions!$B$7)</f>
        <v>55</v>
      </c>
      <c r="S13" s="39" t="n">
        <f aca="false">IF(OR($A13="",$P13="",$R13=""),"",MAX(0,$P13*$Q13-$R13))</f>
        <v>483.04353792</v>
      </c>
      <c r="T13" s="38" t="str">
        <f aca="false">IF($A13="","",IF($O13="FAIL","REJECT",IF($N13&gt;=4,IF(AND($K13&lt;&gt;"",$K13&gt;$S13),"BUY IF CHEAPER","BUY"),IF($N13&gt;=3.2,"WATCH","PASS"))))</f>
        <v>WATCH</v>
      </c>
      <c r="U13" s="26" t="s">
        <v>170</v>
      </c>
      <c r="V13" s="33" t="s">
        <v>187</v>
      </c>
    </row>
    <row r="14" customFormat="false" ht="15" hidden="false" customHeight="true" outlineLevel="0" collapsed="false">
      <c r="A14" s="23" t="s">
        <v>188</v>
      </c>
      <c r="B14" s="34" t="str">
        <f aca="false">IF($A14="","",IF(ISERROR(FIND(".",$A14)),"",LOWER(MID($A14,FIND(CHAR(1),SUBSTITUTE($A14,".",CHAR(1),LEN($A14)-LEN(SUBSTITUTE($A14,".",""))))+1,LEN($A14)))))</f>
        <v>com</v>
      </c>
      <c r="C14" s="35" t="n">
        <f aca="false">IF($B14="","",IFERROR(INDEX(Rubric!$B$15:$B$24,MATCH(LOWER($B14),Rubric!$A$15:$A$24,0)),INDEX(Rubric!$B$15:$B$24,MATCH("other",Rubric!$A$15:$A$24,0))))</f>
        <v>5</v>
      </c>
      <c r="D14" s="26" t="n">
        <v>5</v>
      </c>
      <c r="E14" s="26" t="n">
        <v>3</v>
      </c>
      <c r="F14" s="26" t="n">
        <v>4</v>
      </c>
      <c r="G14" s="26" t="n">
        <v>5</v>
      </c>
      <c r="H14" s="26" t="n">
        <v>2</v>
      </c>
      <c r="I14" s="26" t="s">
        <v>169</v>
      </c>
      <c r="J14" s="26" t="s">
        <v>169</v>
      </c>
      <c r="K14" s="27"/>
      <c r="L14" s="27" t="n">
        <v>18000</v>
      </c>
      <c r="M14" s="36" t="n">
        <f aca="false">IF($B14="","",IFERROR(INDEX(Rubric!$C$15:$C$24,MATCH(LOWER($B14),Rubric!$A$15:$A$24,0)),INDEX(Rubric!$C$15:$C$24,MATCH("other",Rubric!$A$15:$A$24,0))))</f>
        <v>11</v>
      </c>
      <c r="N14" s="37" t="n">
        <f aca="false">IF(OR($A14="",$C14=""),"",$C14*Rubric!$B$5+$D14*Rubric!$B$6+$E14*Rubric!$B$7+$F14*Rubric!$B$8+$G14*Rubric!$B$9+$H14*Rubric!$B$10)</f>
        <v>4.15</v>
      </c>
      <c r="O14" s="38" t="str">
        <f aca="false">IF($A14="","",IF(OR(UPPER($I14)="Y",UPPER($J14)="Y"),"FAIL","PASS"))</f>
        <v>PASS</v>
      </c>
      <c r="P14" s="39" t="n">
        <f aca="false">IF(OR($A14="",$L14=""),"",MAX(0,$L14-MAX($L14*Assumptions!$B$4,Assumptions!$B$5)))</f>
        <v>14400</v>
      </c>
      <c r="Q14" s="40" t="n">
        <f aca="false">IF($A14="","",Assumptions!$B$13)</f>
        <v>0.0960792032000001</v>
      </c>
      <c r="R14" s="39" t="n">
        <f aca="false">IF(OR($A14="",$M14=""),"",$M14*Assumptions!$B$7)</f>
        <v>55</v>
      </c>
      <c r="S14" s="39" t="n">
        <f aca="false">IF(OR($A14="",$P14="",$R14=""),"",MAX(0,$P14*$Q14-$R14))</f>
        <v>1328.54052608</v>
      </c>
      <c r="T14" s="38" t="str">
        <f aca="false">IF($A14="","",IF($O14="FAIL","REJECT",IF($N14&gt;=4,IF(AND($K14&lt;&gt;"",$K14&gt;$S14),"BUY IF CHEAPER","BUY"),IF($N14&gt;=3.2,"WATCH","PASS"))))</f>
        <v>BUY</v>
      </c>
      <c r="U14" s="26" t="s">
        <v>170</v>
      </c>
      <c r="V14" s="33" t="s">
        <v>189</v>
      </c>
    </row>
    <row r="15" customFormat="false" ht="15" hidden="false" customHeight="true" outlineLevel="0" collapsed="false">
      <c r="A15" s="23" t="s">
        <v>190</v>
      </c>
      <c r="B15" s="34" t="str">
        <f aca="false">IF($A15="","",IF(ISERROR(FIND(".",$A15)),"",LOWER(MID($A15,FIND(CHAR(1),SUBSTITUTE($A15,".",CHAR(1),LEN($A15)-LEN(SUBSTITUTE($A15,".",""))))+1,LEN($A15)))))</f>
        <v>com</v>
      </c>
      <c r="C15" s="35" t="n">
        <f aca="false">IF($B15="","",IFERROR(INDEX(Rubric!$B$15:$B$24,MATCH(LOWER($B15),Rubric!$A$15:$A$24,0)),INDEX(Rubric!$B$15:$B$24,MATCH("other",Rubric!$A$15:$A$24,0))))</f>
        <v>5</v>
      </c>
      <c r="D15" s="26" t="n">
        <v>4</v>
      </c>
      <c r="E15" s="26" t="n">
        <v>3</v>
      </c>
      <c r="F15" s="26" t="n">
        <v>3</v>
      </c>
      <c r="G15" s="26" t="n">
        <v>4</v>
      </c>
      <c r="H15" s="26" t="n">
        <v>5</v>
      </c>
      <c r="I15" s="26" t="s">
        <v>169</v>
      </c>
      <c r="J15" s="26" t="s">
        <v>169</v>
      </c>
      <c r="K15" s="27"/>
      <c r="L15" s="27" t="n">
        <v>4500</v>
      </c>
      <c r="M15" s="36" t="n">
        <f aca="false">IF($B15="","",IFERROR(INDEX(Rubric!$C$15:$C$24,MATCH(LOWER($B15),Rubric!$A$15:$A$24,0)),INDEX(Rubric!$C$15:$C$24,MATCH("other",Rubric!$A$15:$A$24,0))))</f>
        <v>11</v>
      </c>
      <c r="N15" s="37" t="n">
        <f aca="false">IF(OR($A15="",$C15=""),"",$C15*Rubric!$B$5+$D15*Rubric!$B$6+$E15*Rubric!$B$7+$F15*Rubric!$B$8+$G15*Rubric!$B$9+$H15*Rubric!$B$10)</f>
        <v>3.95</v>
      </c>
      <c r="O15" s="38" t="str">
        <f aca="false">IF($A15="","",IF(OR(UPPER($I15)="Y",UPPER($J15)="Y"),"FAIL","PASS"))</f>
        <v>PASS</v>
      </c>
      <c r="P15" s="39" t="n">
        <f aca="false">IF(OR($A15="",$L15=""),"",MAX(0,$L15-MAX($L15*Assumptions!$B$4,Assumptions!$B$5)))</f>
        <v>3600</v>
      </c>
      <c r="Q15" s="40" t="n">
        <f aca="false">IF($A15="","",Assumptions!$B$13)</f>
        <v>0.0960792032000001</v>
      </c>
      <c r="R15" s="39" t="n">
        <f aca="false">IF(OR($A15="",$M15=""),"",$M15*Assumptions!$B$7)</f>
        <v>55</v>
      </c>
      <c r="S15" s="39" t="n">
        <f aca="false">IF(OR($A15="",$P15="",$R15=""),"",MAX(0,$P15*$Q15-$R15))</f>
        <v>290.88513152</v>
      </c>
      <c r="T15" s="38" t="str">
        <f aca="false">IF($A15="","",IF($O15="FAIL","REJECT",IF($N15&gt;=4,IF(AND($K15&lt;&gt;"",$K15&gt;$S15),"BUY IF CHEAPER","BUY"),IF($N15&gt;=3.2,"WATCH","PASS"))))</f>
        <v>WATCH</v>
      </c>
      <c r="U15" s="26" t="s">
        <v>170</v>
      </c>
      <c r="V15" s="33" t="s">
        <v>191</v>
      </c>
    </row>
    <row r="16" customFormat="false" ht="15" hidden="false" customHeight="true" outlineLevel="0" collapsed="false">
      <c r="A16" s="23" t="s">
        <v>192</v>
      </c>
      <c r="B16" s="34" t="str">
        <f aca="false">IF($A16="","",IF(ISERROR(FIND(".",$A16)),"",LOWER(MID($A16,FIND(CHAR(1),SUBSTITUTE($A16,".",CHAR(1),LEN($A16)-LEN(SUBSTITUTE($A16,".",""))))+1,LEN($A16)))))</f>
        <v>com</v>
      </c>
      <c r="C16" s="35" t="n">
        <f aca="false">IF($B16="","",IFERROR(INDEX(Rubric!$B$15:$B$24,MATCH(LOWER($B16),Rubric!$A$15:$A$24,0)),INDEX(Rubric!$B$15:$B$24,MATCH("other",Rubric!$A$15:$A$24,0))))</f>
        <v>5</v>
      </c>
      <c r="D16" s="26" t="n">
        <v>4</v>
      </c>
      <c r="E16" s="26" t="n">
        <v>3</v>
      </c>
      <c r="F16" s="26" t="n">
        <v>3</v>
      </c>
      <c r="G16" s="26" t="n">
        <v>5</v>
      </c>
      <c r="H16" s="26" t="n">
        <v>5</v>
      </c>
      <c r="I16" s="26" t="s">
        <v>169</v>
      </c>
      <c r="J16" s="26" t="s">
        <v>169</v>
      </c>
      <c r="K16" s="27"/>
      <c r="L16" s="27" t="n">
        <v>3500</v>
      </c>
      <c r="M16" s="36" t="n">
        <f aca="false">IF($B16="","",IFERROR(INDEX(Rubric!$C$15:$C$24,MATCH(LOWER($B16),Rubric!$A$15:$A$24,0)),INDEX(Rubric!$C$15:$C$24,MATCH("other",Rubric!$A$15:$A$24,0))))</f>
        <v>11</v>
      </c>
      <c r="N16" s="37" t="n">
        <f aca="false">IF(OR($A16="",$C16=""),"",$C16*Rubric!$B$5+$D16*Rubric!$B$6+$E16*Rubric!$B$7+$F16*Rubric!$B$8+$G16*Rubric!$B$9+$H16*Rubric!$B$10)</f>
        <v>4.05</v>
      </c>
      <c r="O16" s="38" t="str">
        <f aca="false">IF($A16="","",IF(OR(UPPER($I16)="Y",UPPER($J16)="Y"),"FAIL","PASS"))</f>
        <v>PASS</v>
      </c>
      <c r="P16" s="39" t="n">
        <f aca="false">IF(OR($A16="",$L16=""),"",MAX(0,$L16-MAX($L16*Assumptions!$B$4,Assumptions!$B$5)))</f>
        <v>2800</v>
      </c>
      <c r="Q16" s="40" t="n">
        <f aca="false">IF($A16="","",Assumptions!$B$13)</f>
        <v>0.0960792032000001</v>
      </c>
      <c r="R16" s="39" t="n">
        <f aca="false">IF(OR($A16="",$M16=""),"",$M16*Assumptions!$B$7)</f>
        <v>55</v>
      </c>
      <c r="S16" s="39" t="n">
        <f aca="false">IF(OR($A16="",$P16="",$R16=""),"",MAX(0,$P16*$Q16-$R16))</f>
        <v>214.02176896</v>
      </c>
      <c r="T16" s="38" t="str">
        <f aca="false">IF($A16="","",IF($O16="FAIL","REJECT",IF($N16&gt;=4,IF(AND($K16&lt;&gt;"",$K16&gt;$S16),"BUY IF CHEAPER","BUY"),IF($N16&gt;=3.2,"WATCH","PASS"))))</f>
        <v>BUY</v>
      </c>
      <c r="U16" s="26" t="s">
        <v>170</v>
      </c>
      <c r="V16" s="33" t="s">
        <v>193</v>
      </c>
    </row>
    <row r="17" customFormat="false" ht="15" hidden="false" customHeight="true" outlineLevel="0" collapsed="false">
      <c r="A17" s="23" t="s">
        <v>194</v>
      </c>
      <c r="B17" s="34" t="str">
        <f aca="false">IF($A17="","",IF(ISERROR(FIND(".",$A17)),"",LOWER(MID($A17,FIND(CHAR(1),SUBSTITUTE($A17,".",CHAR(1),LEN($A17)-LEN(SUBSTITUTE($A17,".",""))))+1,LEN($A17)))))</f>
        <v>com</v>
      </c>
      <c r="C17" s="35" t="n">
        <f aca="false">IF($B17="","",IFERROR(INDEX(Rubric!$B$15:$B$24,MATCH(LOWER($B17),Rubric!$A$15:$A$24,0)),INDEX(Rubric!$B$15:$B$24,MATCH("other",Rubric!$A$15:$A$24,0))))</f>
        <v>5</v>
      </c>
      <c r="D17" s="26" t="n">
        <v>5</v>
      </c>
      <c r="E17" s="26" t="n">
        <v>3</v>
      </c>
      <c r="F17" s="26" t="n">
        <v>4</v>
      </c>
      <c r="G17" s="26" t="n">
        <v>5</v>
      </c>
      <c r="H17" s="26" t="n">
        <v>5</v>
      </c>
      <c r="I17" s="26" t="s">
        <v>169</v>
      </c>
      <c r="J17" s="26" t="s">
        <v>169</v>
      </c>
      <c r="K17" s="27"/>
      <c r="L17" s="27" t="n">
        <v>6000</v>
      </c>
      <c r="M17" s="36" t="n">
        <f aca="false">IF($B17="","",IFERROR(INDEX(Rubric!$C$15:$C$24,MATCH(LOWER($B17),Rubric!$A$15:$A$24,0)),INDEX(Rubric!$C$15:$C$24,MATCH("other",Rubric!$A$15:$A$24,0))))</f>
        <v>11</v>
      </c>
      <c r="N17" s="37" t="n">
        <f aca="false">IF(OR($A17="",$C17=""),"",$C17*Rubric!$B$5+$D17*Rubric!$B$6+$E17*Rubric!$B$7+$F17*Rubric!$B$8+$G17*Rubric!$B$9+$H17*Rubric!$B$10)</f>
        <v>4.45</v>
      </c>
      <c r="O17" s="38" t="str">
        <f aca="false">IF($A17="","",IF(OR(UPPER($I17)="Y",UPPER($J17)="Y"),"FAIL","PASS"))</f>
        <v>PASS</v>
      </c>
      <c r="P17" s="39" t="n">
        <f aca="false">IF(OR($A17="",$L17=""),"",MAX(0,$L17-MAX($L17*Assumptions!$B$4,Assumptions!$B$5)))</f>
        <v>4800</v>
      </c>
      <c r="Q17" s="40" t="n">
        <f aca="false">IF($A17="","",Assumptions!$B$13)</f>
        <v>0.0960792032000001</v>
      </c>
      <c r="R17" s="39" t="n">
        <f aca="false">IF(OR($A17="",$M17=""),"",$M17*Assumptions!$B$7)</f>
        <v>55</v>
      </c>
      <c r="S17" s="39" t="n">
        <f aca="false">IF(OR($A17="",$P17="",$R17=""),"",MAX(0,$P17*$Q17-$R17))</f>
        <v>406.18017536</v>
      </c>
      <c r="T17" s="38" t="str">
        <f aca="false">IF($A17="","",IF($O17="FAIL","REJECT",IF($N17&gt;=4,IF(AND($K17&lt;&gt;"",$K17&gt;$S17),"BUY IF CHEAPER","BUY"),IF($N17&gt;=3.2,"WATCH","PASS"))))</f>
        <v>BUY</v>
      </c>
      <c r="U17" s="26" t="s">
        <v>170</v>
      </c>
      <c r="V17" s="33" t="s">
        <v>195</v>
      </c>
    </row>
    <row r="18" customFormat="false" ht="15" hidden="false" customHeight="true" outlineLevel="0" collapsed="false">
      <c r="A18" s="23" t="s">
        <v>196</v>
      </c>
      <c r="B18" s="34" t="str">
        <f aca="false">IF($A18="","",IF(ISERROR(FIND(".",$A18)),"",LOWER(MID($A18,FIND(CHAR(1),SUBSTITUTE($A18,".",CHAR(1),LEN($A18)-LEN(SUBSTITUTE($A18,".",""))))+1,LEN($A18)))))</f>
        <v>com</v>
      </c>
      <c r="C18" s="35" t="n">
        <f aca="false">IF($B18="","",IFERROR(INDEX(Rubric!$B$15:$B$24,MATCH(LOWER($B18),Rubric!$A$15:$A$24,0)),INDEX(Rubric!$B$15:$B$24,MATCH("other",Rubric!$A$15:$A$24,0))))</f>
        <v>5</v>
      </c>
      <c r="D18" s="26" t="n">
        <v>4</v>
      </c>
      <c r="E18" s="26" t="n">
        <v>2</v>
      </c>
      <c r="F18" s="26" t="n">
        <v>4</v>
      </c>
      <c r="G18" s="26" t="n">
        <v>5</v>
      </c>
      <c r="H18" s="26" t="n">
        <v>5</v>
      </c>
      <c r="I18" s="26" t="s">
        <v>169</v>
      </c>
      <c r="J18" s="26" t="s">
        <v>169</v>
      </c>
      <c r="K18" s="41" t="n">
        <v>5000</v>
      </c>
      <c r="L18" s="27" t="n">
        <v>3000</v>
      </c>
      <c r="M18" s="36" t="n">
        <f aca="false">IF($B18="","",IFERROR(INDEX(Rubric!$C$15:$C$24,MATCH(LOWER($B18),Rubric!$A$15:$A$24,0)),INDEX(Rubric!$C$15:$C$24,MATCH("other",Rubric!$A$15:$A$24,0))))</f>
        <v>11</v>
      </c>
      <c r="N18" s="37" t="n">
        <f aca="false">IF(OR($A18="",$C18=""),"",$C18*Rubric!$B$5+$D18*Rubric!$B$6+$E18*Rubric!$B$7+$F18*Rubric!$B$8+$G18*Rubric!$B$9+$H18*Rubric!$B$10)</f>
        <v>4</v>
      </c>
      <c r="O18" s="38" t="str">
        <f aca="false">IF($A18="","",IF(OR(UPPER($I18)="Y",UPPER($J18)="Y"),"FAIL","PASS"))</f>
        <v>PASS</v>
      </c>
      <c r="P18" s="39" t="n">
        <f aca="false">IF(OR($A18="",$L18=""),"",MAX(0,$L18-MAX($L18*Assumptions!$B$4,Assumptions!$B$5)))</f>
        <v>2400</v>
      </c>
      <c r="Q18" s="40" t="n">
        <f aca="false">IF($A18="","",Assumptions!$B$13)</f>
        <v>0.0960792032000001</v>
      </c>
      <c r="R18" s="39" t="n">
        <f aca="false">IF(OR($A18="",$M18=""),"",$M18*Assumptions!$B$7)</f>
        <v>55</v>
      </c>
      <c r="S18" s="39" t="n">
        <f aca="false">IF(OR($A18="",$P18="",$R18=""),"",MAX(0,$P18*$Q18-$R18))</f>
        <v>175.59008768</v>
      </c>
      <c r="T18" s="38" t="str">
        <f aca="false">IF($A18="","",IF($O18="FAIL","REJECT",IF($N18&gt;=4,IF(AND($K18&lt;&gt;"",$K18&gt;$S18),"BUY IF CHEAPER","BUY"),IF($N18&gt;=3.2,"WATCH","PASS"))))</f>
        <v>BUY IF CHEAPER</v>
      </c>
      <c r="U18" s="26" t="s">
        <v>197</v>
      </c>
      <c r="V18" s="33" t="s">
        <v>198</v>
      </c>
    </row>
    <row r="19" customFormat="false" ht="15" hidden="false" customHeight="true" outlineLevel="0" collapsed="false">
      <c r="A19" s="23" t="s">
        <v>199</v>
      </c>
      <c r="B19" s="34" t="str">
        <f aca="false">IF($A19="","",IF(ISERROR(FIND(".",$A19)),"",LOWER(MID($A19,FIND(CHAR(1),SUBSTITUTE($A19,".",CHAR(1),LEN($A19)-LEN(SUBSTITUTE($A19,".",""))))+1,LEN($A19)))))</f>
        <v>com</v>
      </c>
      <c r="C19" s="35" t="n">
        <f aca="false">IF($B19="","",IFERROR(INDEX(Rubric!$B$15:$B$24,MATCH(LOWER($B19),Rubric!$A$15:$A$24,0)),INDEX(Rubric!$B$15:$B$24,MATCH("other",Rubric!$A$15:$A$24,0))))</f>
        <v>5</v>
      </c>
      <c r="D19" s="26" t="n">
        <v>5</v>
      </c>
      <c r="E19" s="26" t="n">
        <v>3</v>
      </c>
      <c r="F19" s="26" t="n">
        <v>4</v>
      </c>
      <c r="G19" s="26" t="n">
        <v>5</v>
      </c>
      <c r="H19" s="26" t="n">
        <v>5</v>
      </c>
      <c r="I19" s="26" t="s">
        <v>169</v>
      </c>
      <c r="J19" s="26" t="s">
        <v>169</v>
      </c>
      <c r="K19" s="41" t="n">
        <v>375000</v>
      </c>
      <c r="L19" s="27" t="n">
        <v>6000</v>
      </c>
      <c r="M19" s="36" t="n">
        <f aca="false">IF($B19="","",IFERROR(INDEX(Rubric!$C$15:$C$24,MATCH(LOWER($B19),Rubric!$A$15:$A$24,0)),INDEX(Rubric!$C$15:$C$24,MATCH("other",Rubric!$A$15:$A$24,0))))</f>
        <v>11</v>
      </c>
      <c r="N19" s="37" t="n">
        <f aca="false">IF(OR($A19="",$C19=""),"",$C19*Rubric!$B$5+$D19*Rubric!$B$6+$E19*Rubric!$B$7+$F19*Rubric!$B$8+$G19*Rubric!$B$9+$H19*Rubric!$B$10)</f>
        <v>4.45</v>
      </c>
      <c r="O19" s="38" t="str">
        <f aca="false">IF($A19="","",IF(OR(UPPER($I19)="Y",UPPER($J19)="Y"),"FAIL","PASS"))</f>
        <v>PASS</v>
      </c>
      <c r="P19" s="39" t="n">
        <f aca="false">IF(OR($A19="",$L19=""),"",MAX(0,$L19-MAX($L19*Assumptions!$B$4,Assumptions!$B$5)))</f>
        <v>4800</v>
      </c>
      <c r="Q19" s="40" t="n">
        <f aca="false">IF($A19="","",Assumptions!$B$13)</f>
        <v>0.0960792032000001</v>
      </c>
      <c r="R19" s="39" t="n">
        <f aca="false">IF(OR($A19="",$M19=""),"",$M19*Assumptions!$B$7)</f>
        <v>55</v>
      </c>
      <c r="S19" s="39" t="n">
        <f aca="false">IF(OR($A19="",$P19="",$R19=""),"",MAX(0,$P19*$Q19-$R19))</f>
        <v>406.18017536</v>
      </c>
      <c r="T19" s="38" t="str">
        <f aca="false">IF($A19="","",IF($O19="FAIL","REJECT",IF($N19&gt;=4,IF(AND($K19&lt;&gt;"",$K19&gt;$S19),"BUY IF CHEAPER","BUY"),IF($N19&gt;=3.2,"WATCH","PASS"))))</f>
        <v>BUY IF CHEAPER</v>
      </c>
      <c r="U19" s="26" t="s">
        <v>197</v>
      </c>
      <c r="V19" s="33" t="s">
        <v>200</v>
      </c>
    </row>
    <row r="20" customFormat="false" ht="15" hidden="false" customHeight="true" outlineLevel="0" collapsed="false">
      <c r="A20" s="23" t="s">
        <v>201</v>
      </c>
      <c r="B20" s="34" t="str">
        <f aca="false">IF($A20="","",IF(ISERROR(FIND(".",$A20)),"",LOWER(MID($A20,FIND(CHAR(1),SUBSTITUTE($A20,".",CHAR(1),LEN($A20)-LEN(SUBSTITUTE($A20,".",""))))+1,LEN($A20)))))</f>
        <v>com</v>
      </c>
      <c r="C20" s="35" t="n">
        <f aca="false">IF($B20="","",IFERROR(INDEX(Rubric!$B$15:$B$24,MATCH(LOWER($B20),Rubric!$A$15:$A$24,0)),INDEX(Rubric!$B$15:$B$24,MATCH("other",Rubric!$A$15:$A$24,0))))</f>
        <v>5</v>
      </c>
      <c r="D20" s="26" t="n">
        <v>4</v>
      </c>
      <c r="E20" s="26" t="n">
        <v>2</v>
      </c>
      <c r="F20" s="26" t="n">
        <v>3</v>
      </c>
      <c r="G20" s="26" t="n">
        <v>5</v>
      </c>
      <c r="H20" s="26" t="n">
        <v>5</v>
      </c>
      <c r="I20" s="26" t="s">
        <v>169</v>
      </c>
      <c r="J20" s="26" t="s">
        <v>169</v>
      </c>
      <c r="K20" s="41" t="n">
        <v>4888</v>
      </c>
      <c r="L20" s="27" t="n">
        <v>3000</v>
      </c>
      <c r="M20" s="36" t="n">
        <f aca="false">IF($B20="","",IFERROR(INDEX(Rubric!$C$15:$C$24,MATCH(LOWER($B20),Rubric!$A$15:$A$24,0)),INDEX(Rubric!$C$15:$C$24,MATCH("other",Rubric!$A$15:$A$24,0))))</f>
        <v>11</v>
      </c>
      <c r="N20" s="37" t="n">
        <f aca="false">IF(OR($A20="",$C20=""),"",$C20*Rubric!$B$5+$D20*Rubric!$B$6+$E20*Rubric!$B$7+$F20*Rubric!$B$8+$G20*Rubric!$B$9+$H20*Rubric!$B$10)</f>
        <v>3.85</v>
      </c>
      <c r="O20" s="38" t="str">
        <f aca="false">IF($A20="","",IF(OR(UPPER($I20)="Y",UPPER($J20)="Y"),"FAIL","PASS"))</f>
        <v>PASS</v>
      </c>
      <c r="P20" s="39" t="n">
        <f aca="false">IF(OR($A20="",$L20=""),"",MAX(0,$L20-MAX($L20*Assumptions!$B$4,Assumptions!$B$5)))</f>
        <v>2400</v>
      </c>
      <c r="Q20" s="40" t="n">
        <f aca="false">IF($A20="","",Assumptions!$B$13)</f>
        <v>0.0960792032000001</v>
      </c>
      <c r="R20" s="39" t="n">
        <f aca="false">IF(OR($A20="",$M20=""),"",$M20*Assumptions!$B$7)</f>
        <v>55</v>
      </c>
      <c r="S20" s="39" t="n">
        <f aca="false">IF(OR($A20="",$P20="",$R20=""),"",MAX(0,$P20*$Q20-$R20))</f>
        <v>175.59008768</v>
      </c>
      <c r="T20" s="38" t="str">
        <f aca="false">IF($A20="","",IF($O20="FAIL","REJECT",IF($N20&gt;=4,IF(AND($K20&lt;&gt;"",$K20&gt;$S20),"BUY IF CHEAPER","BUY"),IF($N20&gt;=3.2,"WATCH","PASS"))))</f>
        <v>WATCH</v>
      </c>
      <c r="U20" s="26" t="s">
        <v>197</v>
      </c>
      <c r="V20" s="33" t="s">
        <v>202</v>
      </c>
    </row>
    <row r="21" customFormat="false" ht="15" hidden="false" customHeight="true" outlineLevel="0" collapsed="false">
      <c r="A21" s="23" t="s">
        <v>203</v>
      </c>
      <c r="B21" s="34" t="str">
        <f aca="false">IF($A21="","",IF(ISERROR(FIND(".",$A21)),"",LOWER(MID($A21,FIND(CHAR(1),SUBSTITUTE($A21,".",CHAR(1),LEN($A21)-LEN(SUBSTITUTE($A21,".",""))))+1,LEN($A21)))))</f>
        <v>com</v>
      </c>
      <c r="C21" s="35" t="n">
        <f aca="false">IF($B21="","",IFERROR(INDEX(Rubric!$B$15:$B$24,MATCH(LOWER($B21),Rubric!$A$15:$A$24,0)),INDEX(Rubric!$B$15:$B$24,MATCH("other",Rubric!$A$15:$A$24,0))))</f>
        <v>5</v>
      </c>
      <c r="D21" s="26" t="n">
        <v>4</v>
      </c>
      <c r="E21" s="26" t="n">
        <v>3</v>
      </c>
      <c r="F21" s="26" t="n">
        <v>3</v>
      </c>
      <c r="G21" s="26" t="n">
        <v>5</v>
      </c>
      <c r="H21" s="26" t="n">
        <v>5</v>
      </c>
      <c r="I21" s="26" t="s">
        <v>169</v>
      </c>
      <c r="J21" s="26" t="s">
        <v>169</v>
      </c>
      <c r="K21" s="27"/>
      <c r="L21" s="27" t="n">
        <v>4000</v>
      </c>
      <c r="M21" s="36" t="n">
        <f aca="false">IF($B21="","",IFERROR(INDEX(Rubric!$C$15:$C$24,MATCH(LOWER($B21),Rubric!$A$15:$A$24,0)),INDEX(Rubric!$C$15:$C$24,MATCH("other",Rubric!$A$15:$A$24,0))))</f>
        <v>11</v>
      </c>
      <c r="N21" s="37" t="n">
        <f aca="false">IF(OR($A21="",$C21=""),"",$C21*Rubric!$B$5+$D21*Rubric!$B$6+$E21*Rubric!$B$7+$F21*Rubric!$B$8+$G21*Rubric!$B$9+$H21*Rubric!$B$10)</f>
        <v>4.05</v>
      </c>
      <c r="O21" s="38" t="str">
        <f aca="false">IF($A21="","",IF(OR(UPPER($I21)="Y",UPPER($J21)="Y"),"FAIL","PASS"))</f>
        <v>PASS</v>
      </c>
      <c r="P21" s="39" t="n">
        <f aca="false">IF(OR($A21="",$L21=""),"",MAX(0,$L21-MAX($L21*Assumptions!$B$4,Assumptions!$B$5)))</f>
        <v>3200</v>
      </c>
      <c r="Q21" s="40" t="n">
        <f aca="false">IF($A21="","",Assumptions!$B$13)</f>
        <v>0.0960792032000001</v>
      </c>
      <c r="R21" s="39" t="n">
        <f aca="false">IF(OR($A21="",$M21=""),"",$M21*Assumptions!$B$7)</f>
        <v>55</v>
      </c>
      <c r="S21" s="39" t="n">
        <f aca="false">IF(OR($A21="",$P21="",$R21=""),"",MAX(0,$P21*$Q21-$R21))</f>
        <v>252.45345024</v>
      </c>
      <c r="T21" s="38" t="str">
        <f aca="false">IF($A21="","",IF($O21="FAIL","REJECT",IF($N21&gt;=4,IF(AND($K21&lt;&gt;"",$K21&gt;$S21),"BUY IF CHEAPER","BUY"),IF($N21&gt;=3.2,"WATCH","PASS"))))</f>
        <v>BUY</v>
      </c>
      <c r="U21" s="26" t="s">
        <v>170</v>
      </c>
      <c r="V21" s="33" t="s">
        <v>204</v>
      </c>
    </row>
    <row r="22" customFormat="false" ht="15" hidden="false" customHeight="true" outlineLevel="0" collapsed="false">
      <c r="A22" s="23" t="s">
        <v>205</v>
      </c>
      <c r="B22" s="34" t="str">
        <f aca="false">IF($A22="","",IF(ISERROR(FIND(".",$A22)),"",LOWER(MID($A22,FIND(CHAR(1),SUBSTITUTE($A22,".",CHAR(1),LEN($A22)-LEN(SUBSTITUTE($A22,".",""))))+1,LEN($A22)))))</f>
        <v>com</v>
      </c>
      <c r="C22" s="35" t="n">
        <f aca="false">IF($B22="","",IFERROR(INDEX(Rubric!$B$15:$B$24,MATCH(LOWER($B22),Rubric!$A$15:$A$24,0)),INDEX(Rubric!$B$15:$B$24,MATCH("other",Rubric!$A$15:$A$24,0))))</f>
        <v>5</v>
      </c>
      <c r="D22" s="26" t="n">
        <v>4</v>
      </c>
      <c r="E22" s="26" t="n">
        <v>3</v>
      </c>
      <c r="F22" s="26" t="n">
        <v>4</v>
      </c>
      <c r="G22" s="26" t="n">
        <v>4</v>
      </c>
      <c r="H22" s="26" t="n">
        <v>5</v>
      </c>
      <c r="I22" s="26" t="s">
        <v>169</v>
      </c>
      <c r="J22" s="26" t="s">
        <v>169</v>
      </c>
      <c r="K22" s="27"/>
      <c r="L22" s="27" t="n">
        <v>4500</v>
      </c>
      <c r="M22" s="36" t="n">
        <f aca="false">IF($B22="","",IFERROR(INDEX(Rubric!$C$15:$C$24,MATCH(LOWER($B22),Rubric!$A$15:$A$24,0)),INDEX(Rubric!$C$15:$C$24,MATCH("other",Rubric!$A$15:$A$24,0))))</f>
        <v>11</v>
      </c>
      <c r="N22" s="37" t="n">
        <f aca="false">IF(OR($A22="",$C22=""),"",$C22*Rubric!$B$5+$D22*Rubric!$B$6+$E22*Rubric!$B$7+$F22*Rubric!$B$8+$G22*Rubric!$B$9+$H22*Rubric!$B$10)</f>
        <v>4.1</v>
      </c>
      <c r="O22" s="38" t="str">
        <f aca="false">IF($A22="","",IF(OR(UPPER($I22)="Y",UPPER($J22)="Y"),"FAIL","PASS"))</f>
        <v>PASS</v>
      </c>
      <c r="P22" s="39" t="n">
        <f aca="false">IF(OR($A22="",$L22=""),"",MAX(0,$L22-MAX($L22*Assumptions!$B$4,Assumptions!$B$5)))</f>
        <v>3600</v>
      </c>
      <c r="Q22" s="40" t="n">
        <f aca="false">IF($A22="","",Assumptions!$B$13)</f>
        <v>0.0960792032000001</v>
      </c>
      <c r="R22" s="39" t="n">
        <f aca="false">IF(OR($A22="",$M22=""),"",$M22*Assumptions!$B$7)</f>
        <v>55</v>
      </c>
      <c r="S22" s="39" t="n">
        <f aca="false">IF(OR($A22="",$P22="",$R22=""),"",MAX(0,$P22*$Q22-$R22))</f>
        <v>290.88513152</v>
      </c>
      <c r="T22" s="38" t="str">
        <f aca="false">IF($A22="","",IF($O22="FAIL","REJECT",IF($N22&gt;=4,IF(AND($K22&lt;&gt;"",$K22&gt;$S22),"BUY IF CHEAPER","BUY"),IF($N22&gt;=3.2,"WATCH","PASS"))))</f>
        <v>BUY</v>
      </c>
      <c r="U22" s="26" t="s">
        <v>170</v>
      </c>
      <c r="V22" s="33" t="s">
        <v>206</v>
      </c>
    </row>
    <row r="23" customFormat="false" ht="15" hidden="false" customHeight="true" outlineLevel="0" collapsed="false">
      <c r="A23" s="23" t="s">
        <v>207</v>
      </c>
      <c r="B23" s="34" t="str">
        <f aca="false">IF($A23="","",IF(ISERROR(FIND(".",$A23)),"",LOWER(MID($A23,FIND(CHAR(1),SUBSTITUTE($A23,".",CHAR(1),LEN($A23)-LEN(SUBSTITUTE($A23,".",""))))+1,LEN($A23)))))</f>
        <v>com</v>
      </c>
      <c r="C23" s="35" t="n">
        <f aca="false">IF($B23="","",IFERROR(INDEX(Rubric!$B$15:$B$24,MATCH(LOWER($B23),Rubric!$A$15:$A$24,0)),INDEX(Rubric!$B$15:$B$24,MATCH("other",Rubric!$A$15:$A$24,0))))</f>
        <v>5</v>
      </c>
      <c r="D23" s="26" t="n">
        <v>4</v>
      </c>
      <c r="E23" s="26" t="n">
        <v>3</v>
      </c>
      <c r="F23" s="26" t="n">
        <v>4</v>
      </c>
      <c r="G23" s="26" t="n">
        <v>5</v>
      </c>
      <c r="H23" s="26" t="n">
        <v>5</v>
      </c>
      <c r="I23" s="26" t="s">
        <v>169</v>
      </c>
      <c r="J23" s="26" t="s">
        <v>169</v>
      </c>
      <c r="K23" s="27"/>
      <c r="L23" s="27" t="n">
        <v>5000</v>
      </c>
      <c r="M23" s="36" t="n">
        <f aca="false">IF($B23="","",IFERROR(INDEX(Rubric!$C$15:$C$24,MATCH(LOWER($B23),Rubric!$A$15:$A$24,0)),INDEX(Rubric!$C$15:$C$24,MATCH("other",Rubric!$A$15:$A$24,0))))</f>
        <v>11</v>
      </c>
      <c r="N23" s="37" t="n">
        <f aca="false">IF(OR($A23="",$C23=""),"",$C23*Rubric!$B$5+$D23*Rubric!$B$6+$E23*Rubric!$B$7+$F23*Rubric!$B$8+$G23*Rubric!$B$9+$H23*Rubric!$B$10)</f>
        <v>4.2</v>
      </c>
      <c r="O23" s="38" t="str">
        <f aca="false">IF($A23="","",IF(OR(UPPER($I23)="Y",UPPER($J23)="Y"),"FAIL","PASS"))</f>
        <v>PASS</v>
      </c>
      <c r="P23" s="39" t="n">
        <f aca="false">IF(OR($A23="",$L23=""),"",MAX(0,$L23-MAX($L23*Assumptions!$B$4,Assumptions!$B$5)))</f>
        <v>4000</v>
      </c>
      <c r="Q23" s="40" t="n">
        <f aca="false">IF($A23="","",Assumptions!$B$13)</f>
        <v>0.0960792032000001</v>
      </c>
      <c r="R23" s="39" t="n">
        <f aca="false">IF(OR($A23="",$M23=""),"",$M23*Assumptions!$B$7)</f>
        <v>55</v>
      </c>
      <c r="S23" s="39" t="n">
        <f aca="false">IF(OR($A23="",$P23="",$R23=""),"",MAX(0,$P23*$Q23-$R23))</f>
        <v>329.3168128</v>
      </c>
      <c r="T23" s="38" t="str">
        <f aca="false">IF($A23="","",IF($O23="FAIL","REJECT",IF($N23&gt;=4,IF(AND($K23&lt;&gt;"",$K23&gt;$S23),"BUY IF CHEAPER","BUY"),IF($N23&gt;=3.2,"WATCH","PASS"))))</f>
        <v>BUY</v>
      </c>
      <c r="U23" s="26" t="s">
        <v>170</v>
      </c>
      <c r="V23" s="33" t="s">
        <v>208</v>
      </c>
    </row>
    <row r="24" customFormat="false" ht="15" hidden="false" customHeight="true" outlineLevel="0" collapsed="false">
      <c r="A24" s="23" t="s">
        <v>209</v>
      </c>
      <c r="B24" s="34" t="str">
        <f aca="false">IF($A24="","",IF(ISERROR(FIND(".",$A24)),"",LOWER(MID($A24,FIND(CHAR(1),SUBSTITUTE($A24,".",CHAR(1),LEN($A24)-LEN(SUBSTITUTE($A24,".",""))))+1,LEN($A24)))))</f>
        <v>com</v>
      </c>
      <c r="C24" s="35" t="n">
        <f aca="false">IF($B24="","",IFERROR(INDEX(Rubric!$B$15:$B$24,MATCH(LOWER($B24),Rubric!$A$15:$A$24,0)),INDEX(Rubric!$B$15:$B$24,MATCH("other",Rubric!$A$15:$A$24,0))))</f>
        <v>5</v>
      </c>
      <c r="D24" s="26" t="n">
        <v>3</v>
      </c>
      <c r="E24" s="26" t="n">
        <v>2</v>
      </c>
      <c r="F24" s="26" t="n">
        <v>3</v>
      </c>
      <c r="G24" s="26" t="n">
        <v>4</v>
      </c>
      <c r="H24" s="26" t="n">
        <v>5</v>
      </c>
      <c r="I24" s="26" t="s">
        <v>169</v>
      </c>
      <c r="J24" s="26" t="s">
        <v>169</v>
      </c>
      <c r="K24" s="41" t="n">
        <v>22.99</v>
      </c>
      <c r="L24" s="27" t="n">
        <v>1800</v>
      </c>
      <c r="M24" s="36" t="n">
        <f aca="false">IF($B24="","",IFERROR(INDEX(Rubric!$C$15:$C$24,MATCH(LOWER($B24),Rubric!$A$15:$A$24,0)),INDEX(Rubric!$C$15:$C$24,MATCH("other",Rubric!$A$15:$A$24,0))))</f>
        <v>11</v>
      </c>
      <c r="N24" s="37" t="n">
        <f aca="false">IF(OR($A24="",$C24=""),"",$C24*Rubric!$B$5+$D24*Rubric!$B$6+$E24*Rubric!$B$7+$F24*Rubric!$B$8+$G24*Rubric!$B$9+$H24*Rubric!$B$10)</f>
        <v>3.5</v>
      </c>
      <c r="O24" s="38" t="str">
        <f aca="false">IF($A24="","",IF(OR(UPPER($I24)="Y",UPPER($J24)="Y"),"FAIL","PASS"))</f>
        <v>PASS</v>
      </c>
      <c r="P24" s="39" t="n">
        <f aca="false">IF(OR($A24="",$L24=""),"",MAX(0,$L24-MAX($L24*Assumptions!$B$4,Assumptions!$B$5)))</f>
        <v>1440</v>
      </c>
      <c r="Q24" s="40" t="n">
        <f aca="false">IF($A24="","",Assumptions!$B$13)</f>
        <v>0.0960792032000001</v>
      </c>
      <c r="R24" s="39" t="n">
        <f aca="false">IF(OR($A24="",$M24=""),"",$M24*Assumptions!$B$7)</f>
        <v>55</v>
      </c>
      <c r="S24" s="39" t="n">
        <f aca="false">IF(OR($A24="",$P24="",$R24=""),"",MAX(0,$P24*$Q24-$R24))</f>
        <v>83.3540526080001</v>
      </c>
      <c r="T24" s="38" t="str">
        <f aca="false">IF($A24="","",IF($O24="FAIL","REJECT",IF($N24&gt;=4,IF(AND($K24&lt;&gt;"",$K24&gt;$S24),"BUY IF CHEAPER","BUY"),IF($N24&gt;=3.2,"WATCH","PASS"))))</f>
        <v>WATCH</v>
      </c>
      <c r="U24" s="26" t="s">
        <v>210</v>
      </c>
      <c r="V24" s="33" t="s">
        <v>211</v>
      </c>
    </row>
    <row r="25" customFormat="false" ht="15" hidden="false" customHeight="true" outlineLevel="0" collapsed="false">
      <c r="A25" s="23" t="s">
        <v>212</v>
      </c>
      <c r="B25" s="34" t="str">
        <f aca="false">IF($A25="","",IF(ISERROR(FIND(".",$A25)),"",LOWER(MID($A25,FIND(CHAR(1),SUBSTITUTE($A25,".",CHAR(1),LEN($A25)-LEN(SUBSTITUTE($A25,".",""))))+1,LEN($A25)))))</f>
        <v>com</v>
      </c>
      <c r="C25" s="35" t="n">
        <f aca="false">IF($B25="","",IFERROR(INDEX(Rubric!$B$15:$B$24,MATCH(LOWER($B25),Rubric!$A$15:$A$24,0)),INDEX(Rubric!$B$15:$B$24,MATCH("other",Rubric!$A$15:$A$24,0))))</f>
        <v>5</v>
      </c>
      <c r="D25" s="26" t="n">
        <v>3</v>
      </c>
      <c r="E25" s="26" t="n">
        <v>2</v>
      </c>
      <c r="F25" s="26" t="n">
        <v>3</v>
      </c>
      <c r="G25" s="26" t="n">
        <v>4</v>
      </c>
      <c r="H25" s="26" t="n">
        <v>5</v>
      </c>
      <c r="I25" s="26" t="s">
        <v>169</v>
      </c>
      <c r="J25" s="26" t="s">
        <v>169</v>
      </c>
      <c r="K25" s="41" t="n">
        <v>2788</v>
      </c>
      <c r="L25" s="27" t="n">
        <v>2000</v>
      </c>
      <c r="M25" s="36" t="n">
        <f aca="false">IF($B25="","",IFERROR(INDEX(Rubric!$C$15:$C$24,MATCH(LOWER($B25),Rubric!$A$15:$A$24,0)),INDEX(Rubric!$C$15:$C$24,MATCH("other",Rubric!$A$15:$A$24,0))))</f>
        <v>11</v>
      </c>
      <c r="N25" s="37" t="n">
        <f aca="false">IF(OR($A25="",$C25=""),"",$C25*Rubric!$B$5+$D25*Rubric!$B$6+$E25*Rubric!$B$7+$F25*Rubric!$B$8+$G25*Rubric!$B$9+$H25*Rubric!$B$10)</f>
        <v>3.5</v>
      </c>
      <c r="O25" s="38" t="str">
        <f aca="false">IF($A25="","",IF(OR(UPPER($I25)="Y",UPPER($J25)="Y"),"FAIL","PASS"))</f>
        <v>PASS</v>
      </c>
      <c r="P25" s="39" t="n">
        <f aca="false">IF(OR($A25="",$L25=""),"",MAX(0,$L25-MAX($L25*Assumptions!$B$4,Assumptions!$B$5)))</f>
        <v>1600</v>
      </c>
      <c r="Q25" s="40" t="n">
        <f aca="false">IF($A25="","",Assumptions!$B$13)</f>
        <v>0.0960792032000001</v>
      </c>
      <c r="R25" s="39" t="n">
        <f aca="false">IF(OR($A25="",$M25=""),"",$M25*Assumptions!$B$7)</f>
        <v>55</v>
      </c>
      <c r="S25" s="39" t="n">
        <f aca="false">IF(OR($A25="",$P25="",$R25=""),"",MAX(0,$P25*$Q25-$R25))</f>
        <v>98.7267251200001</v>
      </c>
      <c r="T25" s="38" t="str">
        <f aca="false">IF($A25="","",IF($O25="FAIL","REJECT",IF($N25&gt;=4,IF(AND($K25&lt;&gt;"",$K25&gt;$S25),"BUY IF CHEAPER","BUY"),IF($N25&gt;=3.2,"WATCH","PASS"))))</f>
        <v>WATCH</v>
      </c>
      <c r="U25" s="26" t="s">
        <v>197</v>
      </c>
      <c r="V25" s="33" t="s">
        <v>213</v>
      </c>
    </row>
    <row r="26" customFormat="false" ht="15" hidden="false" customHeight="true" outlineLevel="0" collapsed="false">
      <c r="A26" s="23" t="s">
        <v>214</v>
      </c>
      <c r="B26" s="34" t="str">
        <f aca="false">IF($A26="","",IF(ISERROR(FIND(".",$A26)),"",LOWER(MID($A26,FIND(CHAR(1),SUBSTITUTE($A26,".",CHAR(1),LEN($A26)-LEN(SUBSTITUTE($A26,".",""))))+1,LEN($A26)))))</f>
        <v>com</v>
      </c>
      <c r="C26" s="35" t="n">
        <f aca="false">IF($B26="","",IFERROR(INDEX(Rubric!$B$15:$B$24,MATCH(LOWER($B26),Rubric!$A$15:$A$24,0)),INDEX(Rubric!$B$15:$B$24,MATCH("other",Rubric!$A$15:$A$24,0))))</f>
        <v>5</v>
      </c>
      <c r="D26" s="26" t="n">
        <v>4</v>
      </c>
      <c r="E26" s="26" t="n">
        <v>3</v>
      </c>
      <c r="F26" s="26" t="n">
        <v>4</v>
      </c>
      <c r="G26" s="26" t="n">
        <v>4</v>
      </c>
      <c r="H26" s="26" t="n">
        <v>5</v>
      </c>
      <c r="I26" s="26" t="s">
        <v>169</v>
      </c>
      <c r="J26" s="26" t="s">
        <v>169</v>
      </c>
      <c r="K26" s="27"/>
      <c r="L26" s="27" t="n">
        <v>4000</v>
      </c>
      <c r="M26" s="36" t="n">
        <f aca="false">IF($B26="","",IFERROR(INDEX(Rubric!$C$15:$C$24,MATCH(LOWER($B26),Rubric!$A$15:$A$24,0)),INDEX(Rubric!$C$15:$C$24,MATCH("other",Rubric!$A$15:$A$24,0))))</f>
        <v>11</v>
      </c>
      <c r="N26" s="37" t="n">
        <f aca="false">IF(OR($A26="",$C26=""),"",$C26*Rubric!$B$5+$D26*Rubric!$B$6+$E26*Rubric!$B$7+$F26*Rubric!$B$8+$G26*Rubric!$B$9+$H26*Rubric!$B$10)</f>
        <v>4.1</v>
      </c>
      <c r="O26" s="38" t="str">
        <f aca="false">IF($A26="","",IF(OR(UPPER($I26)="Y",UPPER($J26)="Y"),"FAIL","PASS"))</f>
        <v>PASS</v>
      </c>
      <c r="P26" s="39" t="n">
        <f aca="false">IF(OR($A26="",$L26=""),"",MAX(0,$L26-MAX($L26*Assumptions!$B$4,Assumptions!$B$5)))</f>
        <v>3200</v>
      </c>
      <c r="Q26" s="40" t="n">
        <f aca="false">IF($A26="","",Assumptions!$B$13)</f>
        <v>0.0960792032000001</v>
      </c>
      <c r="R26" s="39" t="n">
        <f aca="false">IF(OR($A26="",$M26=""),"",$M26*Assumptions!$B$7)</f>
        <v>55</v>
      </c>
      <c r="S26" s="39" t="n">
        <f aca="false">IF(OR($A26="",$P26="",$R26=""),"",MAX(0,$P26*$Q26-$R26))</f>
        <v>252.45345024</v>
      </c>
      <c r="T26" s="38" t="str">
        <f aca="false">IF($A26="","",IF($O26="FAIL","REJECT",IF($N26&gt;=4,IF(AND($K26&lt;&gt;"",$K26&gt;$S26),"BUY IF CHEAPER","BUY"),IF($N26&gt;=3.2,"WATCH","PASS"))))</f>
        <v>BUY</v>
      </c>
      <c r="U26" s="26" t="s">
        <v>170</v>
      </c>
      <c r="V26" s="33" t="s">
        <v>215</v>
      </c>
    </row>
    <row r="27" customFormat="false" ht="15" hidden="false" customHeight="true" outlineLevel="0" collapsed="false">
      <c r="A27" s="23" t="s">
        <v>216</v>
      </c>
      <c r="B27" s="34" t="str">
        <f aca="false">IF($A27="","",IF(ISERROR(FIND(".",$A27)),"",LOWER(MID($A27,FIND(CHAR(1),SUBSTITUTE($A27,".",CHAR(1),LEN($A27)-LEN(SUBSTITUTE($A27,".",""))))+1,LEN($A27)))))</f>
        <v>com</v>
      </c>
      <c r="C27" s="35" t="n">
        <f aca="false">IF($B27="","",IFERROR(INDEX(Rubric!$B$15:$B$24,MATCH(LOWER($B27),Rubric!$A$15:$A$24,0)),INDEX(Rubric!$B$15:$B$24,MATCH("other",Rubric!$A$15:$A$24,0))))</f>
        <v>5</v>
      </c>
      <c r="D27" s="26" t="n">
        <v>3</v>
      </c>
      <c r="E27" s="26" t="n">
        <v>2</v>
      </c>
      <c r="F27" s="26" t="n">
        <v>4</v>
      </c>
      <c r="G27" s="26" t="n">
        <v>4</v>
      </c>
      <c r="H27" s="26" t="n">
        <v>5</v>
      </c>
      <c r="I27" s="26" t="s">
        <v>169</v>
      </c>
      <c r="J27" s="26" t="s">
        <v>169</v>
      </c>
      <c r="K27" s="41" t="n">
        <v>22.99</v>
      </c>
      <c r="L27" s="27" t="n">
        <v>1800</v>
      </c>
      <c r="M27" s="36" t="n">
        <f aca="false">IF($B27="","",IFERROR(INDEX(Rubric!$C$15:$C$24,MATCH(LOWER($B27),Rubric!$A$15:$A$24,0)),INDEX(Rubric!$C$15:$C$24,MATCH("other",Rubric!$A$15:$A$24,0))))</f>
        <v>11</v>
      </c>
      <c r="N27" s="37" t="n">
        <f aca="false">IF(OR($A27="",$C27=""),"",$C27*Rubric!$B$5+$D27*Rubric!$B$6+$E27*Rubric!$B$7+$F27*Rubric!$B$8+$G27*Rubric!$B$9+$H27*Rubric!$B$10)</f>
        <v>3.65</v>
      </c>
      <c r="O27" s="38" t="str">
        <f aca="false">IF($A27="","",IF(OR(UPPER($I27)="Y",UPPER($J27)="Y"),"FAIL","PASS"))</f>
        <v>PASS</v>
      </c>
      <c r="P27" s="39" t="n">
        <f aca="false">IF(OR($A27="",$L27=""),"",MAX(0,$L27-MAX($L27*Assumptions!$B$4,Assumptions!$B$5)))</f>
        <v>1440</v>
      </c>
      <c r="Q27" s="40" t="n">
        <f aca="false">IF($A27="","",Assumptions!$B$13)</f>
        <v>0.0960792032000001</v>
      </c>
      <c r="R27" s="39" t="n">
        <f aca="false">IF(OR($A27="",$M27=""),"",$M27*Assumptions!$B$7)</f>
        <v>55</v>
      </c>
      <c r="S27" s="39" t="n">
        <f aca="false">IF(OR($A27="",$P27="",$R27=""),"",MAX(0,$P27*$Q27-$R27))</f>
        <v>83.3540526080001</v>
      </c>
      <c r="T27" s="38" t="str">
        <f aca="false">IF($A27="","",IF($O27="FAIL","REJECT",IF($N27&gt;=4,IF(AND($K27&lt;&gt;"",$K27&gt;$S27),"BUY IF CHEAPER","BUY"),IF($N27&gt;=3.2,"WATCH","PASS"))))</f>
        <v>WATCH</v>
      </c>
      <c r="U27" s="26" t="s">
        <v>210</v>
      </c>
      <c r="V27" s="33" t="s">
        <v>217</v>
      </c>
    </row>
    <row r="28" customFormat="false" ht="15" hidden="false" customHeight="true" outlineLevel="0" collapsed="false">
      <c r="A28" s="23" t="s">
        <v>218</v>
      </c>
      <c r="B28" s="34" t="str">
        <f aca="false">IF($A28="","",IF(ISERROR(FIND(".",$A28)),"",LOWER(MID($A28,FIND(CHAR(1),SUBSTITUTE($A28,".",CHAR(1),LEN($A28)-LEN(SUBSTITUTE($A28,".",""))))+1,LEN($A28)))))</f>
        <v>com</v>
      </c>
      <c r="C28" s="35" t="n">
        <f aca="false">IF($B28="","",IFERROR(INDEX(Rubric!$B$15:$B$24,MATCH(LOWER($B28),Rubric!$A$15:$A$24,0)),INDEX(Rubric!$B$15:$B$24,MATCH("other",Rubric!$A$15:$A$24,0))))</f>
        <v>5</v>
      </c>
      <c r="D28" s="26" t="n">
        <v>3</v>
      </c>
      <c r="E28" s="26" t="n">
        <v>2</v>
      </c>
      <c r="F28" s="26" t="n">
        <v>3</v>
      </c>
      <c r="G28" s="26" t="n">
        <v>4</v>
      </c>
      <c r="H28" s="26" t="n">
        <v>5</v>
      </c>
      <c r="I28" s="26" t="s">
        <v>169</v>
      </c>
      <c r="J28" s="26" t="s">
        <v>169</v>
      </c>
      <c r="K28" s="27"/>
      <c r="L28" s="27" t="n">
        <v>2000</v>
      </c>
      <c r="M28" s="36" t="n">
        <f aca="false">IF($B28="","",IFERROR(INDEX(Rubric!$C$15:$C$24,MATCH(LOWER($B28),Rubric!$A$15:$A$24,0)),INDEX(Rubric!$C$15:$C$24,MATCH("other",Rubric!$A$15:$A$24,0))))</f>
        <v>11</v>
      </c>
      <c r="N28" s="37" t="n">
        <f aca="false">IF(OR($A28="",$C28=""),"",$C28*Rubric!$B$5+$D28*Rubric!$B$6+$E28*Rubric!$B$7+$F28*Rubric!$B$8+$G28*Rubric!$B$9+$H28*Rubric!$B$10)</f>
        <v>3.5</v>
      </c>
      <c r="O28" s="38" t="str">
        <f aca="false">IF($A28="","",IF(OR(UPPER($I28)="Y",UPPER($J28)="Y"),"FAIL","PASS"))</f>
        <v>PASS</v>
      </c>
      <c r="P28" s="39" t="n">
        <f aca="false">IF(OR($A28="",$L28=""),"",MAX(0,$L28-MAX($L28*Assumptions!$B$4,Assumptions!$B$5)))</f>
        <v>1600</v>
      </c>
      <c r="Q28" s="40" t="n">
        <f aca="false">IF($A28="","",Assumptions!$B$13)</f>
        <v>0.0960792032000001</v>
      </c>
      <c r="R28" s="39" t="n">
        <f aca="false">IF(OR($A28="",$M28=""),"",$M28*Assumptions!$B$7)</f>
        <v>55</v>
      </c>
      <c r="S28" s="39" t="n">
        <f aca="false">IF(OR($A28="",$P28="",$R28=""),"",MAX(0,$P28*$Q28-$R28))</f>
        <v>98.7267251200001</v>
      </c>
      <c r="T28" s="38" t="str">
        <f aca="false">IF($A28="","",IF($O28="FAIL","REJECT",IF($N28&gt;=4,IF(AND($K28&lt;&gt;"",$K28&gt;$S28),"BUY IF CHEAPER","BUY"),IF($N28&gt;=3.2,"WATCH","PASS"))))</f>
        <v>WATCH</v>
      </c>
      <c r="U28" s="26" t="s">
        <v>170</v>
      </c>
      <c r="V28" s="33" t="s">
        <v>219</v>
      </c>
    </row>
    <row r="29" customFormat="false" ht="15" hidden="false" customHeight="true" outlineLevel="0" collapsed="false">
      <c r="A29" s="23" t="s">
        <v>220</v>
      </c>
      <c r="B29" s="34" t="str">
        <f aca="false">IF($A29="","",IF(ISERROR(FIND(".",$A29)),"",LOWER(MID($A29,FIND(CHAR(1),SUBSTITUTE($A29,".",CHAR(1),LEN($A29)-LEN(SUBSTITUTE($A29,".",""))))+1,LEN($A29)))))</f>
        <v>com</v>
      </c>
      <c r="C29" s="35" t="n">
        <f aca="false">IF($B29="","",IFERROR(INDEX(Rubric!$B$15:$B$24,MATCH(LOWER($B29),Rubric!$A$15:$A$24,0)),INDEX(Rubric!$B$15:$B$24,MATCH("other",Rubric!$A$15:$A$24,0))))</f>
        <v>5</v>
      </c>
      <c r="D29" s="26" t="n">
        <v>3</v>
      </c>
      <c r="E29" s="26" t="n">
        <v>2</v>
      </c>
      <c r="F29" s="26" t="n">
        <v>4</v>
      </c>
      <c r="G29" s="26" t="n">
        <v>4</v>
      </c>
      <c r="H29" s="26" t="n">
        <v>5</v>
      </c>
      <c r="I29" s="26" t="s">
        <v>169</v>
      </c>
      <c r="J29" s="26" t="s">
        <v>169</v>
      </c>
      <c r="K29" s="41" t="n">
        <v>18800</v>
      </c>
      <c r="L29" s="27" t="n">
        <v>2200</v>
      </c>
      <c r="M29" s="36" t="n">
        <f aca="false">IF($B29="","",IFERROR(INDEX(Rubric!$C$15:$C$24,MATCH(LOWER($B29),Rubric!$A$15:$A$24,0)),INDEX(Rubric!$C$15:$C$24,MATCH("other",Rubric!$A$15:$A$24,0))))</f>
        <v>11</v>
      </c>
      <c r="N29" s="37" t="n">
        <f aca="false">IF(OR($A29="",$C29=""),"",$C29*Rubric!$B$5+$D29*Rubric!$B$6+$E29*Rubric!$B$7+$F29*Rubric!$B$8+$G29*Rubric!$B$9+$H29*Rubric!$B$10)</f>
        <v>3.65</v>
      </c>
      <c r="O29" s="38" t="str">
        <f aca="false">IF($A29="","",IF(OR(UPPER($I29)="Y",UPPER($J29)="Y"),"FAIL","PASS"))</f>
        <v>PASS</v>
      </c>
      <c r="P29" s="39" t="n">
        <f aca="false">IF(OR($A29="",$L29=""),"",MAX(0,$L29-MAX($L29*Assumptions!$B$4,Assumptions!$B$5)))</f>
        <v>1760</v>
      </c>
      <c r="Q29" s="40" t="n">
        <f aca="false">IF($A29="","",Assumptions!$B$13)</f>
        <v>0.0960792032000001</v>
      </c>
      <c r="R29" s="39" t="n">
        <f aca="false">IF(OR($A29="",$M29=""),"",$M29*Assumptions!$B$7)</f>
        <v>55</v>
      </c>
      <c r="S29" s="39" t="n">
        <f aca="false">IF(OR($A29="",$P29="",$R29=""),"",MAX(0,$P29*$Q29-$R29))</f>
        <v>114.099397632</v>
      </c>
      <c r="T29" s="38" t="str">
        <f aca="false">IF($A29="","",IF($O29="FAIL","REJECT",IF($N29&gt;=4,IF(AND($K29&lt;&gt;"",$K29&gt;$S29),"BUY IF CHEAPER","BUY"),IF($N29&gt;=3.2,"WATCH","PASS"))))</f>
        <v>WATCH</v>
      </c>
      <c r="U29" s="26" t="s">
        <v>197</v>
      </c>
      <c r="V29" s="33" t="s">
        <v>221</v>
      </c>
    </row>
    <row r="30" customFormat="false" ht="15" hidden="false" customHeight="true" outlineLevel="0" collapsed="false">
      <c r="A30" s="23" t="s">
        <v>222</v>
      </c>
      <c r="B30" s="34" t="str">
        <f aca="false">IF($A30="","",IF(ISERROR(FIND(".",$A30)),"",LOWER(MID($A30,FIND(CHAR(1),SUBSTITUTE($A30,".",CHAR(1),LEN($A30)-LEN(SUBSTITUTE($A30,".",""))))+1,LEN($A30)))))</f>
        <v>com</v>
      </c>
      <c r="C30" s="35" t="n">
        <f aca="false">IF($B30="","",IFERROR(INDEX(Rubric!$B$15:$B$24,MATCH(LOWER($B30),Rubric!$A$15:$A$24,0)),INDEX(Rubric!$B$15:$B$24,MATCH("other",Rubric!$A$15:$A$24,0))))</f>
        <v>5</v>
      </c>
      <c r="D30" s="26" t="n">
        <v>4</v>
      </c>
      <c r="E30" s="26" t="n">
        <v>3</v>
      </c>
      <c r="F30" s="26" t="n">
        <v>4</v>
      </c>
      <c r="G30" s="26" t="n">
        <v>5</v>
      </c>
      <c r="H30" s="26" t="n">
        <v>5</v>
      </c>
      <c r="I30" s="26" t="s">
        <v>169</v>
      </c>
      <c r="J30" s="26" t="s">
        <v>169</v>
      </c>
      <c r="K30" s="27"/>
      <c r="L30" s="27" t="n">
        <v>5000</v>
      </c>
      <c r="M30" s="36" t="n">
        <f aca="false">IF($B30="","",IFERROR(INDEX(Rubric!$C$15:$C$24,MATCH(LOWER($B30),Rubric!$A$15:$A$24,0)),INDEX(Rubric!$C$15:$C$24,MATCH("other",Rubric!$A$15:$A$24,0))))</f>
        <v>11</v>
      </c>
      <c r="N30" s="37" t="n">
        <f aca="false">IF(OR($A30="",$C30=""),"",$C30*Rubric!$B$5+$D30*Rubric!$B$6+$E30*Rubric!$B$7+$F30*Rubric!$B$8+$G30*Rubric!$B$9+$H30*Rubric!$B$10)</f>
        <v>4.2</v>
      </c>
      <c r="O30" s="38" t="str">
        <f aca="false">IF($A30="","",IF(OR(UPPER($I30)="Y",UPPER($J30)="Y"),"FAIL","PASS"))</f>
        <v>PASS</v>
      </c>
      <c r="P30" s="39" t="n">
        <f aca="false">IF(OR($A30="",$L30=""),"",MAX(0,$L30-MAX($L30*Assumptions!$B$4,Assumptions!$B$5)))</f>
        <v>4000</v>
      </c>
      <c r="Q30" s="40" t="n">
        <f aca="false">IF($A30="","",Assumptions!$B$13)</f>
        <v>0.0960792032000001</v>
      </c>
      <c r="R30" s="39" t="n">
        <f aca="false">IF(OR($A30="",$M30=""),"",$M30*Assumptions!$B$7)</f>
        <v>55</v>
      </c>
      <c r="S30" s="39" t="n">
        <f aca="false">IF(OR($A30="",$P30="",$R30=""),"",MAX(0,$P30*$Q30-$R30))</f>
        <v>329.3168128</v>
      </c>
      <c r="T30" s="38" t="str">
        <f aca="false">IF($A30="","",IF($O30="FAIL","REJECT",IF($N30&gt;=4,IF(AND($K30&lt;&gt;"",$K30&gt;$S30),"BUY IF CHEAPER","BUY"),IF($N30&gt;=3.2,"WATCH","PASS"))))</f>
        <v>BUY</v>
      </c>
      <c r="U30" s="26" t="s">
        <v>170</v>
      </c>
      <c r="V30" s="33" t="s">
        <v>223</v>
      </c>
    </row>
    <row r="31" customFormat="false" ht="15" hidden="false" customHeight="true" outlineLevel="0" collapsed="false">
      <c r="A31" s="23" t="s">
        <v>224</v>
      </c>
      <c r="B31" s="34" t="str">
        <f aca="false">IF($A31="","",IF(ISERROR(FIND(".",$A31)),"",LOWER(MID($A31,FIND(CHAR(1),SUBSTITUTE($A31,".",CHAR(1),LEN($A31)-LEN(SUBSTITUTE($A31,".",""))))+1,LEN($A31)))))</f>
        <v>com</v>
      </c>
      <c r="C31" s="35" t="n">
        <f aca="false">IF($B31="","",IFERROR(INDEX(Rubric!$B$15:$B$24,MATCH(LOWER($B31),Rubric!$A$15:$A$24,0)),INDEX(Rubric!$B$15:$B$24,MATCH("other",Rubric!$A$15:$A$24,0))))</f>
        <v>5</v>
      </c>
      <c r="D31" s="26" t="n">
        <v>3</v>
      </c>
      <c r="E31" s="26" t="n">
        <v>2</v>
      </c>
      <c r="F31" s="26" t="n">
        <v>3</v>
      </c>
      <c r="G31" s="26" t="n">
        <v>3</v>
      </c>
      <c r="H31" s="26" t="n">
        <v>5</v>
      </c>
      <c r="I31" s="26" t="s">
        <v>169</v>
      </c>
      <c r="J31" s="26" t="s">
        <v>169</v>
      </c>
      <c r="K31" s="41" t="n">
        <v>22.99</v>
      </c>
      <c r="L31" s="27" t="n">
        <v>1800</v>
      </c>
      <c r="M31" s="36" t="n">
        <f aca="false">IF($B31="","",IFERROR(INDEX(Rubric!$C$15:$C$24,MATCH(LOWER($B31),Rubric!$A$15:$A$24,0)),INDEX(Rubric!$C$15:$C$24,MATCH("other",Rubric!$A$15:$A$24,0))))</f>
        <v>11</v>
      </c>
      <c r="N31" s="37" t="n">
        <f aca="false">IF(OR($A31="",$C31=""),"",$C31*Rubric!$B$5+$D31*Rubric!$B$6+$E31*Rubric!$B$7+$F31*Rubric!$B$8+$G31*Rubric!$B$9+$H31*Rubric!$B$10)</f>
        <v>3.4</v>
      </c>
      <c r="O31" s="38" t="str">
        <f aca="false">IF($A31="","",IF(OR(UPPER($I31)="Y",UPPER($J31)="Y"),"FAIL","PASS"))</f>
        <v>PASS</v>
      </c>
      <c r="P31" s="39" t="n">
        <f aca="false">IF(OR($A31="",$L31=""),"",MAX(0,$L31-MAX($L31*Assumptions!$B$4,Assumptions!$B$5)))</f>
        <v>1440</v>
      </c>
      <c r="Q31" s="40" t="n">
        <f aca="false">IF($A31="","",Assumptions!$B$13)</f>
        <v>0.0960792032000001</v>
      </c>
      <c r="R31" s="39" t="n">
        <f aca="false">IF(OR($A31="",$M31=""),"",$M31*Assumptions!$B$7)</f>
        <v>55</v>
      </c>
      <c r="S31" s="39" t="n">
        <f aca="false">IF(OR($A31="",$P31="",$R31=""),"",MAX(0,$P31*$Q31-$R31))</f>
        <v>83.3540526080001</v>
      </c>
      <c r="T31" s="38" t="str">
        <f aca="false">IF($A31="","",IF($O31="FAIL","REJECT",IF($N31&gt;=4,IF(AND($K31&lt;&gt;"",$K31&gt;$S31),"BUY IF CHEAPER","BUY"),IF($N31&gt;=3.2,"WATCH","PASS"))))</f>
        <v>WATCH</v>
      </c>
      <c r="U31" s="26" t="s">
        <v>210</v>
      </c>
      <c r="V31" s="33" t="s">
        <v>225</v>
      </c>
    </row>
    <row r="32" customFormat="false" ht="15" hidden="false" customHeight="true" outlineLevel="0" collapsed="false">
      <c r="A32" s="23" t="s">
        <v>226</v>
      </c>
      <c r="B32" s="34" t="str">
        <f aca="false">IF($A32="","",IF(ISERROR(FIND(".",$A32)),"",LOWER(MID($A32,FIND(CHAR(1),SUBSTITUTE($A32,".",CHAR(1),LEN($A32)-LEN(SUBSTITUTE($A32,".",""))))+1,LEN($A32)))))</f>
        <v>com</v>
      </c>
      <c r="C32" s="35" t="n">
        <f aca="false">IF($B32="","",IFERROR(INDEX(Rubric!$B$15:$B$24,MATCH(LOWER($B32),Rubric!$A$15:$A$24,0)),INDEX(Rubric!$B$15:$B$24,MATCH("other",Rubric!$A$15:$A$24,0))))</f>
        <v>5</v>
      </c>
      <c r="D32" s="26" t="n">
        <v>3</v>
      </c>
      <c r="E32" s="26" t="n">
        <v>2</v>
      </c>
      <c r="F32" s="26" t="n">
        <v>4</v>
      </c>
      <c r="G32" s="26" t="n">
        <v>3</v>
      </c>
      <c r="H32" s="26" t="n">
        <v>5</v>
      </c>
      <c r="I32" s="26" t="s">
        <v>169</v>
      </c>
      <c r="J32" s="26" t="s">
        <v>169</v>
      </c>
      <c r="K32" s="41" t="n">
        <v>22.99</v>
      </c>
      <c r="L32" s="27" t="n">
        <v>1800</v>
      </c>
      <c r="M32" s="36" t="n">
        <f aca="false">IF($B32="","",IFERROR(INDEX(Rubric!$C$15:$C$24,MATCH(LOWER($B32),Rubric!$A$15:$A$24,0)),INDEX(Rubric!$C$15:$C$24,MATCH("other",Rubric!$A$15:$A$24,0))))</f>
        <v>11</v>
      </c>
      <c r="N32" s="37" t="n">
        <f aca="false">IF(OR($A32="",$C32=""),"",$C32*Rubric!$B$5+$D32*Rubric!$B$6+$E32*Rubric!$B$7+$F32*Rubric!$B$8+$G32*Rubric!$B$9+$H32*Rubric!$B$10)</f>
        <v>3.55</v>
      </c>
      <c r="O32" s="38" t="str">
        <f aca="false">IF($A32="","",IF(OR(UPPER($I32)="Y",UPPER($J32)="Y"),"FAIL","PASS"))</f>
        <v>PASS</v>
      </c>
      <c r="P32" s="39" t="n">
        <f aca="false">IF(OR($A32="",$L32=""),"",MAX(0,$L32-MAX($L32*Assumptions!$B$4,Assumptions!$B$5)))</f>
        <v>1440</v>
      </c>
      <c r="Q32" s="40" t="n">
        <f aca="false">IF($A32="","",Assumptions!$B$13)</f>
        <v>0.0960792032000001</v>
      </c>
      <c r="R32" s="39" t="n">
        <f aca="false">IF(OR($A32="",$M32=""),"",$M32*Assumptions!$B$7)</f>
        <v>55</v>
      </c>
      <c r="S32" s="39" t="n">
        <f aca="false">IF(OR($A32="",$P32="",$R32=""),"",MAX(0,$P32*$Q32-$R32))</f>
        <v>83.3540526080001</v>
      </c>
      <c r="T32" s="38" t="str">
        <f aca="false">IF($A32="","",IF($O32="FAIL","REJECT",IF($N32&gt;=4,IF(AND($K32&lt;&gt;"",$K32&gt;$S32),"BUY IF CHEAPER","BUY"),IF($N32&gt;=3.2,"WATCH","PASS"))))</f>
        <v>WATCH</v>
      </c>
      <c r="U32" s="26" t="s">
        <v>210</v>
      </c>
      <c r="V32" s="33" t="s">
        <v>227</v>
      </c>
    </row>
    <row r="33" customFormat="false" ht="23.25" hidden="false" customHeight="true" outlineLevel="0" collapsed="false">
      <c r="A33" s="23" t="s">
        <v>228</v>
      </c>
      <c r="B33" s="34" t="str">
        <f aca="false">IF($A33="","",IF(ISERROR(FIND(".",$A33)),"",LOWER(MID($A33,FIND(CHAR(1),SUBSTITUTE($A33,".",CHAR(1),LEN($A33)-LEN(SUBSTITUTE($A33,".",""))))+1,LEN($A33)))))</f>
        <v>com</v>
      </c>
      <c r="C33" s="35" t="n">
        <f aca="false">IF($B33="","",IFERROR(INDEX(Rubric!$B$15:$B$24,MATCH(LOWER($B33),Rubric!$A$15:$A$24,0)),INDEX(Rubric!$B$15:$B$24,MATCH("other",Rubric!$A$15:$A$24,0))))</f>
        <v>5</v>
      </c>
      <c r="D33" s="26" t="n">
        <v>5</v>
      </c>
      <c r="E33" s="26" t="n">
        <v>3</v>
      </c>
      <c r="F33" s="26" t="n">
        <v>4</v>
      </c>
      <c r="G33" s="26" t="n">
        <v>5</v>
      </c>
      <c r="H33" s="26" t="n">
        <v>4</v>
      </c>
      <c r="I33" s="26" t="s">
        <v>169</v>
      </c>
      <c r="J33" s="26" t="s">
        <v>169</v>
      </c>
      <c r="K33" s="27"/>
      <c r="L33" s="27" t="n">
        <v>9000</v>
      </c>
      <c r="M33" s="36" t="n">
        <f aca="false">IF($B33="","",IFERROR(INDEX(Rubric!$C$15:$C$24,MATCH(LOWER($B33),Rubric!$A$15:$A$24,0)),INDEX(Rubric!$C$15:$C$24,MATCH("other",Rubric!$A$15:$A$24,0))))</f>
        <v>11</v>
      </c>
      <c r="N33" s="37" t="n">
        <f aca="false">IF(OR($A33="",$C33=""),"",$C33*Rubric!$B$5+$D33*Rubric!$B$6+$E33*Rubric!$B$7+$F33*Rubric!$B$8+$G33*Rubric!$B$9+$H33*Rubric!$B$10)</f>
        <v>4.35</v>
      </c>
      <c r="O33" s="38" t="str">
        <f aca="false">IF($A33="","",IF(OR(UPPER($I33)="Y",UPPER($J33)="Y"),"FAIL","PASS"))</f>
        <v>PASS</v>
      </c>
      <c r="P33" s="39" t="n">
        <f aca="false">IF(OR($A33="",$L33=""),"",MAX(0,$L33-MAX($L33*Assumptions!$B$4,Assumptions!$B$5)))</f>
        <v>7200</v>
      </c>
      <c r="Q33" s="40" t="n">
        <f aca="false">IF($A33="","",Assumptions!$B$13)</f>
        <v>0.0960792032000001</v>
      </c>
      <c r="R33" s="39" t="n">
        <f aca="false">IF(OR($A33="",$M33=""),"",$M33*Assumptions!$B$7)</f>
        <v>55</v>
      </c>
      <c r="S33" s="39" t="n">
        <f aca="false">IF(OR($A33="",$P33="",$R33=""),"",MAX(0,$P33*$Q33-$R33))</f>
        <v>636.770263040001</v>
      </c>
      <c r="T33" s="38" t="str">
        <f aca="false">IF($A33="","",IF($O33="FAIL","REJECT",IF($N33&gt;=4,IF(AND($K33&lt;&gt;"",$K33&gt;$S33),"BUY IF CHEAPER","BUY"),IF($N33&gt;=3.2,"WATCH","PASS"))))</f>
        <v>BUY</v>
      </c>
      <c r="U33" s="26" t="s">
        <v>170</v>
      </c>
      <c r="V33" s="33" t="s">
        <v>229</v>
      </c>
    </row>
    <row r="34" customFormat="false" ht="15" hidden="false" customHeight="true" outlineLevel="0" collapsed="false">
      <c r="A34" s="23" t="s">
        <v>230</v>
      </c>
      <c r="B34" s="34" t="str">
        <f aca="false">IF($A34="","",IF(ISERROR(FIND(".",$A34)),"",LOWER(MID($A34,FIND(CHAR(1),SUBSTITUTE($A34,".",CHAR(1),LEN($A34)-LEN(SUBSTITUTE($A34,".",""))))+1,LEN($A34)))))</f>
        <v>com</v>
      </c>
      <c r="C34" s="35" t="n">
        <f aca="false">IF($B34="","",IFERROR(INDEX(Rubric!$B$15:$B$24,MATCH(LOWER($B34),Rubric!$A$15:$A$24,0)),INDEX(Rubric!$B$15:$B$24,MATCH("other",Rubric!$A$15:$A$24,0))))</f>
        <v>5</v>
      </c>
      <c r="D34" s="26" t="n">
        <v>5</v>
      </c>
      <c r="E34" s="26" t="n">
        <v>3</v>
      </c>
      <c r="F34" s="26" t="n">
        <v>4</v>
      </c>
      <c r="G34" s="26" t="n">
        <v>5</v>
      </c>
      <c r="H34" s="26" t="n">
        <v>4</v>
      </c>
      <c r="I34" s="26" t="s">
        <v>169</v>
      </c>
      <c r="J34" s="26" t="s">
        <v>169</v>
      </c>
      <c r="K34" s="27"/>
      <c r="L34" s="27" t="n">
        <v>8000</v>
      </c>
      <c r="M34" s="36" t="n">
        <f aca="false">IF($B34="","",IFERROR(INDEX(Rubric!$C$15:$C$24,MATCH(LOWER($B34),Rubric!$A$15:$A$24,0)),INDEX(Rubric!$C$15:$C$24,MATCH("other",Rubric!$A$15:$A$24,0))))</f>
        <v>11</v>
      </c>
      <c r="N34" s="37" t="n">
        <f aca="false">IF(OR($A34="",$C34=""),"",$C34*Rubric!$B$5+$D34*Rubric!$B$6+$E34*Rubric!$B$7+$F34*Rubric!$B$8+$G34*Rubric!$B$9+$H34*Rubric!$B$10)</f>
        <v>4.35</v>
      </c>
      <c r="O34" s="38" t="str">
        <f aca="false">IF($A34="","",IF(OR(UPPER($I34)="Y",UPPER($J34)="Y"),"FAIL","PASS"))</f>
        <v>PASS</v>
      </c>
      <c r="P34" s="39" t="n">
        <f aca="false">IF(OR($A34="",$L34=""),"",MAX(0,$L34-MAX($L34*Assumptions!$B$4,Assumptions!$B$5)))</f>
        <v>6400</v>
      </c>
      <c r="Q34" s="40" t="n">
        <f aca="false">IF($A34="","",Assumptions!$B$13)</f>
        <v>0.0960792032000001</v>
      </c>
      <c r="R34" s="39" t="n">
        <f aca="false">IF(OR($A34="",$M34=""),"",$M34*Assumptions!$B$7)</f>
        <v>55</v>
      </c>
      <c r="S34" s="39" t="n">
        <f aca="false">IF(OR($A34="",$P34="",$R34=""),"",MAX(0,$P34*$Q34-$R34))</f>
        <v>559.90690048</v>
      </c>
      <c r="T34" s="38" t="str">
        <f aca="false">IF($A34="","",IF($O34="FAIL","REJECT",IF($N34&gt;=4,IF(AND($K34&lt;&gt;"",$K34&gt;$S34),"BUY IF CHEAPER","BUY"),IF($N34&gt;=3.2,"WATCH","PASS"))))</f>
        <v>BUY</v>
      </c>
      <c r="U34" s="26" t="s">
        <v>170</v>
      </c>
      <c r="V34" s="33" t="s">
        <v>231</v>
      </c>
    </row>
    <row r="35" customFormat="false" ht="15" hidden="false" customHeight="true" outlineLevel="0" collapsed="false">
      <c r="A35" s="23" t="s">
        <v>232</v>
      </c>
      <c r="B35" s="34" t="str">
        <f aca="false">IF($A35="","",IF(ISERROR(FIND(".",$A35)),"",LOWER(MID($A35,FIND(CHAR(1),SUBSTITUTE($A35,".",CHAR(1),LEN($A35)-LEN(SUBSTITUTE($A35,".",""))))+1,LEN($A35)))))</f>
        <v>com</v>
      </c>
      <c r="C35" s="35" t="n">
        <f aca="false">IF($B35="","",IFERROR(INDEX(Rubric!$B$15:$B$24,MATCH(LOWER($B35),Rubric!$A$15:$A$24,0)),INDEX(Rubric!$B$15:$B$24,MATCH("other",Rubric!$A$15:$A$24,0))))</f>
        <v>5</v>
      </c>
      <c r="D35" s="26" t="n">
        <v>5</v>
      </c>
      <c r="E35" s="26" t="n">
        <v>3</v>
      </c>
      <c r="F35" s="26" t="n">
        <v>4</v>
      </c>
      <c r="G35" s="26" t="n">
        <v>5</v>
      </c>
      <c r="H35" s="26" t="n">
        <v>4</v>
      </c>
      <c r="I35" s="26" t="s">
        <v>169</v>
      </c>
      <c r="J35" s="26" t="s">
        <v>169</v>
      </c>
      <c r="K35" s="27"/>
      <c r="L35" s="27" t="n">
        <v>9000</v>
      </c>
      <c r="M35" s="36" t="n">
        <f aca="false">IF($B35="","",IFERROR(INDEX(Rubric!$C$15:$C$24,MATCH(LOWER($B35),Rubric!$A$15:$A$24,0)),INDEX(Rubric!$C$15:$C$24,MATCH("other",Rubric!$A$15:$A$24,0))))</f>
        <v>11</v>
      </c>
      <c r="N35" s="37" t="n">
        <f aca="false">IF(OR($A35="",$C35=""),"",$C35*Rubric!$B$5+$D35*Rubric!$B$6+$E35*Rubric!$B$7+$F35*Rubric!$B$8+$G35*Rubric!$B$9+$H35*Rubric!$B$10)</f>
        <v>4.35</v>
      </c>
      <c r="O35" s="38" t="str">
        <f aca="false">IF($A35="","",IF(OR(UPPER($I35)="Y",UPPER($J35)="Y"),"FAIL","PASS"))</f>
        <v>PASS</v>
      </c>
      <c r="P35" s="39" t="n">
        <f aca="false">IF(OR($A35="",$L35=""),"",MAX(0,$L35-MAX($L35*Assumptions!$B$4,Assumptions!$B$5)))</f>
        <v>7200</v>
      </c>
      <c r="Q35" s="40" t="n">
        <f aca="false">IF($A35="","",Assumptions!$B$13)</f>
        <v>0.0960792032000001</v>
      </c>
      <c r="R35" s="39" t="n">
        <f aca="false">IF(OR($A35="",$M35=""),"",$M35*Assumptions!$B$7)</f>
        <v>55</v>
      </c>
      <c r="S35" s="39" t="n">
        <f aca="false">IF(OR($A35="",$P35="",$R35=""),"",MAX(0,$P35*$Q35-$R35))</f>
        <v>636.770263040001</v>
      </c>
      <c r="T35" s="38" t="str">
        <f aca="false">IF($A35="","",IF($O35="FAIL","REJECT",IF($N35&gt;=4,IF(AND($K35&lt;&gt;"",$K35&gt;$S35),"BUY IF CHEAPER","BUY"),IF($N35&gt;=3.2,"WATCH","PASS"))))</f>
        <v>BUY</v>
      </c>
      <c r="U35" s="26" t="s">
        <v>170</v>
      </c>
      <c r="V35" s="33" t="s">
        <v>231</v>
      </c>
    </row>
    <row r="36" customFormat="false" ht="15" hidden="false" customHeight="true" outlineLevel="0" collapsed="false">
      <c r="A36" s="23" t="s">
        <v>233</v>
      </c>
      <c r="B36" s="34" t="str">
        <f aca="false">IF($A36="","",IF(ISERROR(FIND(".",$A36)),"",LOWER(MID($A36,FIND(CHAR(1),SUBSTITUTE($A36,".",CHAR(1),LEN($A36)-LEN(SUBSTITUTE($A36,".",""))))+1,LEN($A36)))))</f>
        <v>com</v>
      </c>
      <c r="C36" s="35" t="n">
        <f aca="false">IF($B36="","",IFERROR(INDEX(Rubric!$B$15:$B$24,MATCH(LOWER($B36),Rubric!$A$15:$A$24,0)),INDEX(Rubric!$B$15:$B$24,MATCH("other",Rubric!$A$15:$A$24,0))))</f>
        <v>5</v>
      </c>
      <c r="D36" s="26" t="n">
        <v>4</v>
      </c>
      <c r="E36" s="26" t="n">
        <v>3</v>
      </c>
      <c r="F36" s="26" t="n">
        <v>4</v>
      </c>
      <c r="G36" s="26" t="n">
        <v>5</v>
      </c>
      <c r="H36" s="26" t="n">
        <v>4</v>
      </c>
      <c r="I36" s="26" t="s">
        <v>169</v>
      </c>
      <c r="J36" s="26" t="s">
        <v>169</v>
      </c>
      <c r="K36" s="41" t="n">
        <v>6495</v>
      </c>
      <c r="L36" s="27" t="n">
        <v>5000</v>
      </c>
      <c r="M36" s="36" t="n">
        <f aca="false">IF($B36="","",IFERROR(INDEX(Rubric!$C$15:$C$24,MATCH(LOWER($B36),Rubric!$A$15:$A$24,0)),INDEX(Rubric!$C$15:$C$24,MATCH("other",Rubric!$A$15:$A$24,0))))</f>
        <v>11</v>
      </c>
      <c r="N36" s="37" t="n">
        <f aca="false">IF(OR($A36="",$C36=""),"",$C36*Rubric!$B$5+$D36*Rubric!$B$6+$E36*Rubric!$B$7+$F36*Rubric!$B$8+$G36*Rubric!$B$9+$H36*Rubric!$B$10)</f>
        <v>4.1</v>
      </c>
      <c r="O36" s="38" t="str">
        <f aca="false">IF($A36="","",IF(OR(UPPER($I36)="Y",UPPER($J36)="Y"),"FAIL","PASS"))</f>
        <v>PASS</v>
      </c>
      <c r="P36" s="39" t="n">
        <f aca="false">IF(OR($A36="",$L36=""),"",MAX(0,$L36-MAX($L36*Assumptions!$B$4,Assumptions!$B$5)))</f>
        <v>4000</v>
      </c>
      <c r="Q36" s="40" t="n">
        <f aca="false">IF($A36="","",Assumptions!$B$13)</f>
        <v>0.0960792032000001</v>
      </c>
      <c r="R36" s="39" t="n">
        <f aca="false">IF(OR($A36="",$M36=""),"",$M36*Assumptions!$B$7)</f>
        <v>55</v>
      </c>
      <c r="S36" s="39" t="n">
        <f aca="false">IF(OR($A36="",$P36="",$R36=""),"",MAX(0,$P36*$Q36-$R36))</f>
        <v>329.3168128</v>
      </c>
      <c r="T36" s="38" t="str">
        <f aca="false">IF($A36="","",IF($O36="FAIL","REJECT",IF($N36&gt;=4,IF(AND($K36&lt;&gt;"",$K36&gt;$S36),"BUY IF CHEAPER","BUY"),IF($N36&gt;=3.2,"WATCH","PASS"))))</f>
        <v>BUY IF CHEAPER</v>
      </c>
      <c r="U36" s="26" t="s">
        <v>197</v>
      </c>
      <c r="V36" s="33" t="s">
        <v>234</v>
      </c>
    </row>
    <row r="37" customFormat="false" ht="15" hidden="false" customHeight="true" outlineLevel="0" collapsed="false">
      <c r="A37" s="23" t="s">
        <v>235</v>
      </c>
      <c r="B37" s="34" t="str">
        <f aca="false">IF($A37="","",IF(ISERROR(FIND(".",$A37)),"",LOWER(MID($A37,FIND(CHAR(1),SUBSTITUTE($A37,".",CHAR(1),LEN($A37)-LEN(SUBSTITUTE($A37,".",""))))+1,LEN($A37)))))</f>
        <v>com</v>
      </c>
      <c r="C37" s="35" t="n">
        <f aca="false">IF($B37="","",IFERROR(INDEX(Rubric!$B$15:$B$24,MATCH(LOWER($B37),Rubric!$A$15:$A$24,0)),INDEX(Rubric!$B$15:$B$24,MATCH("other",Rubric!$A$15:$A$24,0))))</f>
        <v>5</v>
      </c>
      <c r="D37" s="26" t="n">
        <v>4</v>
      </c>
      <c r="E37" s="26" t="n">
        <v>3</v>
      </c>
      <c r="F37" s="26" t="n">
        <v>5</v>
      </c>
      <c r="G37" s="26" t="n">
        <v>5</v>
      </c>
      <c r="H37" s="26" t="n">
        <v>4</v>
      </c>
      <c r="I37" s="26" t="s">
        <v>169</v>
      </c>
      <c r="J37" s="26" t="s">
        <v>169</v>
      </c>
      <c r="K37" s="27"/>
      <c r="L37" s="27" t="n">
        <v>5500</v>
      </c>
      <c r="M37" s="36" t="n">
        <f aca="false">IF($B37="","",IFERROR(INDEX(Rubric!$C$15:$C$24,MATCH(LOWER($B37),Rubric!$A$15:$A$24,0)),INDEX(Rubric!$C$15:$C$24,MATCH("other",Rubric!$A$15:$A$24,0))))</f>
        <v>11</v>
      </c>
      <c r="N37" s="37" t="n">
        <f aca="false">IF(OR($A37="",$C37=""),"",$C37*Rubric!$B$5+$D37*Rubric!$B$6+$E37*Rubric!$B$7+$F37*Rubric!$B$8+$G37*Rubric!$B$9+$H37*Rubric!$B$10)</f>
        <v>4.25</v>
      </c>
      <c r="O37" s="38" t="str">
        <f aca="false">IF($A37="","",IF(OR(UPPER($I37)="Y",UPPER($J37)="Y"),"FAIL","PASS"))</f>
        <v>PASS</v>
      </c>
      <c r="P37" s="39" t="n">
        <f aca="false">IF(OR($A37="",$L37=""),"",MAX(0,$L37-MAX($L37*Assumptions!$B$4,Assumptions!$B$5)))</f>
        <v>4400</v>
      </c>
      <c r="Q37" s="40" t="n">
        <f aca="false">IF($A37="","",Assumptions!$B$13)</f>
        <v>0.0960792032000001</v>
      </c>
      <c r="R37" s="39" t="n">
        <f aca="false">IF(OR($A37="",$M37=""),"",$M37*Assumptions!$B$7)</f>
        <v>55</v>
      </c>
      <c r="S37" s="39" t="n">
        <f aca="false">IF(OR($A37="",$P37="",$R37=""),"",MAX(0,$P37*$Q37-$R37))</f>
        <v>367.74849408</v>
      </c>
      <c r="T37" s="38" t="str">
        <f aca="false">IF($A37="","",IF($O37="FAIL","REJECT",IF($N37&gt;=4,IF(AND($K37&lt;&gt;"",$K37&gt;$S37),"BUY IF CHEAPER","BUY"),IF($N37&gt;=3.2,"WATCH","PASS"))))</f>
        <v>BUY</v>
      </c>
      <c r="U37" s="26" t="s">
        <v>170</v>
      </c>
      <c r="V37" s="33" t="s">
        <v>236</v>
      </c>
    </row>
    <row r="38" customFormat="false" ht="15" hidden="false" customHeight="true" outlineLevel="0" collapsed="false">
      <c r="A38" s="23" t="s">
        <v>237</v>
      </c>
      <c r="B38" s="34" t="str">
        <f aca="false">IF($A38="","",IF(ISERROR(FIND(".",$A38)),"",LOWER(MID($A38,FIND(CHAR(1),SUBSTITUTE($A38,".",CHAR(1),LEN($A38)-LEN(SUBSTITUTE($A38,".",""))))+1,LEN($A38)))))</f>
        <v>com</v>
      </c>
      <c r="C38" s="35" t="n">
        <f aca="false">IF($B38="","",IFERROR(INDEX(Rubric!$B$15:$B$24,MATCH(LOWER($B38),Rubric!$A$15:$A$24,0)),INDEX(Rubric!$B$15:$B$24,MATCH("other",Rubric!$A$15:$A$24,0))))</f>
        <v>5</v>
      </c>
      <c r="D38" s="26" t="n">
        <v>4</v>
      </c>
      <c r="E38" s="26" t="n">
        <v>3</v>
      </c>
      <c r="F38" s="26" t="n">
        <v>5</v>
      </c>
      <c r="G38" s="26" t="n">
        <v>5</v>
      </c>
      <c r="H38" s="26" t="n">
        <v>4</v>
      </c>
      <c r="I38" s="26" t="s">
        <v>169</v>
      </c>
      <c r="J38" s="26" t="s">
        <v>169</v>
      </c>
      <c r="K38" s="41" t="n">
        <v>4900</v>
      </c>
      <c r="L38" s="27" t="n">
        <v>5500</v>
      </c>
      <c r="M38" s="36" t="n">
        <f aca="false">IF($B38="","",IFERROR(INDEX(Rubric!$C$15:$C$24,MATCH(LOWER($B38),Rubric!$A$15:$A$24,0)),INDEX(Rubric!$C$15:$C$24,MATCH("other",Rubric!$A$15:$A$24,0))))</f>
        <v>11</v>
      </c>
      <c r="N38" s="37" t="n">
        <f aca="false">IF(OR($A38="",$C38=""),"",$C38*Rubric!$B$5+$D38*Rubric!$B$6+$E38*Rubric!$B$7+$F38*Rubric!$B$8+$G38*Rubric!$B$9+$H38*Rubric!$B$10)</f>
        <v>4.25</v>
      </c>
      <c r="O38" s="38" t="str">
        <f aca="false">IF($A38="","",IF(OR(UPPER($I38)="Y",UPPER($J38)="Y"),"FAIL","PASS"))</f>
        <v>PASS</v>
      </c>
      <c r="P38" s="39" t="n">
        <f aca="false">IF(OR($A38="",$L38=""),"",MAX(0,$L38-MAX($L38*Assumptions!$B$4,Assumptions!$B$5)))</f>
        <v>4400</v>
      </c>
      <c r="Q38" s="40" t="n">
        <f aca="false">IF($A38="","",Assumptions!$B$13)</f>
        <v>0.0960792032000001</v>
      </c>
      <c r="R38" s="39" t="n">
        <f aca="false">IF(OR($A38="",$M38=""),"",$M38*Assumptions!$B$7)</f>
        <v>55</v>
      </c>
      <c r="S38" s="39" t="n">
        <f aca="false">IF(OR($A38="",$P38="",$R38=""),"",MAX(0,$P38*$Q38-$R38))</f>
        <v>367.74849408</v>
      </c>
      <c r="T38" s="38" t="str">
        <f aca="false">IF($A38="","",IF($O38="FAIL","REJECT",IF($N38&gt;=4,IF(AND($K38&lt;&gt;"",$K38&gt;$S38),"BUY IF CHEAPER","BUY"),IF($N38&gt;=3.2,"WATCH","PASS"))))</f>
        <v>BUY IF CHEAPER</v>
      </c>
      <c r="U38" s="26" t="s">
        <v>197</v>
      </c>
      <c r="V38" s="33" t="s">
        <v>238</v>
      </c>
    </row>
    <row r="39" customFormat="false" ht="15" hidden="false" customHeight="true" outlineLevel="0" collapsed="false">
      <c r="A39" s="23" t="s">
        <v>239</v>
      </c>
      <c r="B39" s="34" t="str">
        <f aca="false">IF($A39="","",IF(ISERROR(FIND(".",$A39)),"",LOWER(MID($A39,FIND(CHAR(1),SUBSTITUTE($A39,".",CHAR(1),LEN($A39)-LEN(SUBSTITUTE($A39,".",""))))+1,LEN($A39)))))</f>
        <v>com</v>
      </c>
      <c r="C39" s="35" t="n">
        <f aca="false">IF($B39="","",IFERROR(INDEX(Rubric!$B$15:$B$24,MATCH(LOWER($B39),Rubric!$A$15:$A$24,0)),INDEX(Rubric!$B$15:$B$24,MATCH("other",Rubric!$A$15:$A$24,0))))</f>
        <v>5</v>
      </c>
      <c r="D39" s="26" t="n">
        <v>4</v>
      </c>
      <c r="E39" s="26" t="n">
        <v>3</v>
      </c>
      <c r="F39" s="26" t="n">
        <v>5</v>
      </c>
      <c r="G39" s="26" t="n">
        <v>5</v>
      </c>
      <c r="H39" s="26" t="n">
        <v>4</v>
      </c>
      <c r="I39" s="26" t="s">
        <v>169</v>
      </c>
      <c r="J39" s="26" t="s">
        <v>169</v>
      </c>
      <c r="K39" s="27"/>
      <c r="L39" s="27" t="n">
        <v>5500</v>
      </c>
      <c r="M39" s="36" t="n">
        <f aca="false">IF($B39="","",IFERROR(INDEX(Rubric!$C$15:$C$24,MATCH(LOWER($B39),Rubric!$A$15:$A$24,0)),INDEX(Rubric!$C$15:$C$24,MATCH("other",Rubric!$A$15:$A$24,0))))</f>
        <v>11</v>
      </c>
      <c r="N39" s="37" t="n">
        <f aca="false">IF(OR($A39="",$C39=""),"",$C39*Rubric!$B$5+$D39*Rubric!$B$6+$E39*Rubric!$B$7+$F39*Rubric!$B$8+$G39*Rubric!$B$9+$H39*Rubric!$B$10)</f>
        <v>4.25</v>
      </c>
      <c r="O39" s="38" t="str">
        <f aca="false">IF($A39="","",IF(OR(UPPER($I39)="Y",UPPER($J39)="Y"),"FAIL","PASS"))</f>
        <v>PASS</v>
      </c>
      <c r="P39" s="39" t="n">
        <f aca="false">IF(OR($A39="",$L39=""),"",MAX(0,$L39-MAX($L39*Assumptions!$B$4,Assumptions!$B$5)))</f>
        <v>4400</v>
      </c>
      <c r="Q39" s="40" t="n">
        <f aca="false">IF($A39="","",Assumptions!$B$13)</f>
        <v>0.0960792032000001</v>
      </c>
      <c r="R39" s="39" t="n">
        <f aca="false">IF(OR($A39="",$M39=""),"",$M39*Assumptions!$B$7)</f>
        <v>55</v>
      </c>
      <c r="S39" s="39" t="n">
        <f aca="false">IF(OR($A39="",$P39="",$R39=""),"",MAX(0,$P39*$Q39-$R39))</f>
        <v>367.74849408</v>
      </c>
      <c r="T39" s="38" t="str">
        <f aca="false">IF($A39="","",IF($O39="FAIL","REJECT",IF($N39&gt;=4,IF(AND($K39&lt;&gt;"",$K39&gt;$S39),"BUY IF CHEAPER","BUY"),IF($N39&gt;=3.2,"WATCH","PASS"))))</f>
        <v>BUY</v>
      </c>
      <c r="U39" s="26" t="s">
        <v>170</v>
      </c>
      <c r="V39" s="33" t="s">
        <v>238</v>
      </c>
    </row>
    <row r="40" customFormat="false" ht="15" hidden="false" customHeight="true" outlineLevel="0" collapsed="false">
      <c r="A40" s="23" t="s">
        <v>240</v>
      </c>
      <c r="B40" s="34" t="str">
        <f aca="false">IF($A40="","",IF(ISERROR(FIND(".",$A40)),"",LOWER(MID($A40,FIND(CHAR(1),SUBSTITUTE($A40,".",CHAR(1),LEN($A40)-LEN(SUBSTITUTE($A40,".",""))))+1,LEN($A40)))))</f>
        <v>com</v>
      </c>
      <c r="C40" s="35" t="n">
        <f aca="false">IF($B40="","",IFERROR(INDEX(Rubric!$B$15:$B$24,MATCH(LOWER($B40),Rubric!$A$15:$A$24,0)),INDEX(Rubric!$B$15:$B$24,MATCH("other",Rubric!$A$15:$A$24,0))))</f>
        <v>5</v>
      </c>
      <c r="D40" s="26" t="n">
        <v>4</v>
      </c>
      <c r="E40" s="26" t="n">
        <v>3</v>
      </c>
      <c r="F40" s="26" t="n">
        <v>5</v>
      </c>
      <c r="G40" s="26" t="n">
        <v>5</v>
      </c>
      <c r="H40" s="26" t="n">
        <v>4</v>
      </c>
      <c r="I40" s="26" t="s">
        <v>169</v>
      </c>
      <c r="J40" s="26" t="s">
        <v>169</v>
      </c>
      <c r="K40" s="41" t="n">
        <v>500000</v>
      </c>
      <c r="L40" s="27" t="n">
        <v>5000</v>
      </c>
      <c r="M40" s="36" t="n">
        <f aca="false">IF($B40="","",IFERROR(INDEX(Rubric!$C$15:$C$24,MATCH(LOWER($B40),Rubric!$A$15:$A$24,0)),INDEX(Rubric!$C$15:$C$24,MATCH("other",Rubric!$A$15:$A$24,0))))</f>
        <v>11</v>
      </c>
      <c r="N40" s="37" t="n">
        <f aca="false">IF(OR($A40="",$C40=""),"",$C40*Rubric!$B$5+$D40*Rubric!$B$6+$E40*Rubric!$B$7+$F40*Rubric!$B$8+$G40*Rubric!$B$9+$H40*Rubric!$B$10)</f>
        <v>4.25</v>
      </c>
      <c r="O40" s="38" t="str">
        <f aca="false">IF($A40="","",IF(OR(UPPER($I40)="Y",UPPER($J40)="Y"),"FAIL","PASS"))</f>
        <v>PASS</v>
      </c>
      <c r="P40" s="39" t="n">
        <f aca="false">IF(OR($A40="",$L40=""),"",MAX(0,$L40-MAX($L40*Assumptions!$B$4,Assumptions!$B$5)))</f>
        <v>4000</v>
      </c>
      <c r="Q40" s="40" t="n">
        <f aca="false">IF($A40="","",Assumptions!$B$13)</f>
        <v>0.0960792032000001</v>
      </c>
      <c r="R40" s="39" t="n">
        <f aca="false">IF(OR($A40="",$M40=""),"",$M40*Assumptions!$B$7)</f>
        <v>55</v>
      </c>
      <c r="S40" s="39" t="n">
        <f aca="false">IF(OR($A40="",$P40="",$R40=""),"",MAX(0,$P40*$Q40-$R40))</f>
        <v>329.3168128</v>
      </c>
      <c r="T40" s="38" t="str">
        <f aca="false">IF($A40="","",IF($O40="FAIL","REJECT",IF($N40&gt;=4,IF(AND($K40&lt;&gt;"",$K40&gt;$S40),"BUY IF CHEAPER","BUY"),IF($N40&gt;=3.2,"WATCH","PASS"))))</f>
        <v>BUY IF CHEAPER</v>
      </c>
      <c r="U40" s="26" t="s">
        <v>197</v>
      </c>
      <c r="V40" s="33" t="s">
        <v>238</v>
      </c>
    </row>
    <row r="41" customFormat="false" ht="15" hidden="false" customHeight="true" outlineLevel="0" collapsed="false">
      <c r="A41" s="23" t="s">
        <v>241</v>
      </c>
      <c r="B41" s="34" t="str">
        <f aca="false">IF($A41="","",IF(ISERROR(FIND(".",$A41)),"",LOWER(MID($A41,FIND(CHAR(1),SUBSTITUTE($A41,".",CHAR(1),LEN($A41)-LEN(SUBSTITUTE($A41,".",""))))+1,LEN($A41)))))</f>
        <v>com</v>
      </c>
      <c r="C41" s="35" t="n">
        <f aca="false">IF($B41="","",IFERROR(INDEX(Rubric!$B$15:$B$24,MATCH(LOWER($B41),Rubric!$A$15:$A$24,0)),INDEX(Rubric!$B$15:$B$24,MATCH("other",Rubric!$A$15:$A$24,0))))</f>
        <v>5</v>
      </c>
      <c r="D41" s="26" t="n">
        <v>4</v>
      </c>
      <c r="E41" s="26" t="n">
        <v>3</v>
      </c>
      <c r="F41" s="26" t="n">
        <v>5</v>
      </c>
      <c r="G41" s="26" t="n">
        <v>5</v>
      </c>
      <c r="H41" s="26" t="n">
        <v>3</v>
      </c>
      <c r="I41" s="26" t="s">
        <v>169</v>
      </c>
      <c r="J41" s="26" t="s">
        <v>169</v>
      </c>
      <c r="K41" s="27"/>
      <c r="L41" s="27" t="n">
        <v>12000</v>
      </c>
      <c r="M41" s="36" t="n">
        <f aca="false">IF($B41="","",IFERROR(INDEX(Rubric!$C$15:$C$24,MATCH(LOWER($B41),Rubric!$A$15:$A$24,0)),INDEX(Rubric!$C$15:$C$24,MATCH("other",Rubric!$A$15:$A$24,0))))</f>
        <v>11</v>
      </c>
      <c r="N41" s="37" t="n">
        <f aca="false">IF(OR($A41="",$C41=""),"",$C41*Rubric!$B$5+$D41*Rubric!$B$6+$E41*Rubric!$B$7+$F41*Rubric!$B$8+$G41*Rubric!$B$9+$H41*Rubric!$B$10)</f>
        <v>4.15</v>
      </c>
      <c r="O41" s="38" t="str">
        <f aca="false">IF($A41="","",IF(OR(UPPER($I41)="Y",UPPER($J41)="Y"),"FAIL","PASS"))</f>
        <v>PASS</v>
      </c>
      <c r="P41" s="39" t="n">
        <f aca="false">IF(OR($A41="",$L41=""),"",MAX(0,$L41-MAX($L41*Assumptions!$B$4,Assumptions!$B$5)))</f>
        <v>9600</v>
      </c>
      <c r="Q41" s="40" t="n">
        <f aca="false">IF($A41="","",Assumptions!$B$13)</f>
        <v>0.0960792032000001</v>
      </c>
      <c r="R41" s="39" t="n">
        <f aca="false">IF(OR($A41="",$M41=""),"",$M41*Assumptions!$B$7)</f>
        <v>55</v>
      </c>
      <c r="S41" s="39" t="n">
        <f aca="false">IF(OR($A41="",$P41="",$R41=""),"",MAX(0,$P41*$Q41-$R41))</f>
        <v>867.360350720001</v>
      </c>
      <c r="T41" s="38" t="str">
        <f aca="false">IF($A41="","",IF($O41="FAIL","REJECT",IF($N41&gt;=4,IF(AND($K41&lt;&gt;"",$K41&gt;$S41),"BUY IF CHEAPER","BUY"),IF($N41&gt;=3.2,"WATCH","PASS"))))</f>
        <v>BUY</v>
      </c>
      <c r="U41" s="26" t="s">
        <v>170</v>
      </c>
      <c r="V41" s="33" t="s">
        <v>242</v>
      </c>
    </row>
    <row r="42" customFormat="false" ht="15" hidden="false" customHeight="true" outlineLevel="0" collapsed="false">
      <c r="A42" s="23" t="s">
        <v>243</v>
      </c>
      <c r="B42" s="34" t="str">
        <f aca="false">IF($A42="","",IF(ISERROR(FIND(".",$A42)),"",LOWER(MID($A42,FIND(CHAR(1),SUBSTITUTE($A42,".",CHAR(1),LEN($A42)-LEN(SUBSTITUTE($A42,".",""))))+1,LEN($A42)))))</f>
        <v>com</v>
      </c>
      <c r="C42" s="35" t="n">
        <f aca="false">IF($B42="","",IFERROR(INDEX(Rubric!$B$15:$B$24,MATCH(LOWER($B42),Rubric!$A$15:$A$24,0)),INDEX(Rubric!$B$15:$B$24,MATCH("other",Rubric!$A$15:$A$24,0))))</f>
        <v>5</v>
      </c>
      <c r="D42" s="26" t="n">
        <v>4</v>
      </c>
      <c r="E42" s="26" t="n">
        <v>3</v>
      </c>
      <c r="F42" s="26" t="n">
        <v>5</v>
      </c>
      <c r="G42" s="26" t="n">
        <v>5</v>
      </c>
      <c r="H42" s="26" t="n">
        <v>3</v>
      </c>
      <c r="I42" s="26" t="s">
        <v>169</v>
      </c>
      <c r="J42" s="26" t="s">
        <v>169</v>
      </c>
      <c r="K42" s="27"/>
      <c r="L42" s="27" t="n">
        <v>12000</v>
      </c>
      <c r="M42" s="36" t="n">
        <f aca="false">IF($B42="","",IFERROR(INDEX(Rubric!$C$15:$C$24,MATCH(LOWER($B42),Rubric!$A$15:$A$24,0)),INDEX(Rubric!$C$15:$C$24,MATCH("other",Rubric!$A$15:$A$24,0))))</f>
        <v>11</v>
      </c>
      <c r="N42" s="37" t="n">
        <f aca="false">IF(OR($A42="",$C42=""),"",$C42*Rubric!$B$5+$D42*Rubric!$B$6+$E42*Rubric!$B$7+$F42*Rubric!$B$8+$G42*Rubric!$B$9+$H42*Rubric!$B$10)</f>
        <v>4.15</v>
      </c>
      <c r="O42" s="38" t="str">
        <f aca="false">IF($A42="","",IF(OR(UPPER($I42)="Y",UPPER($J42)="Y"),"FAIL","PASS"))</f>
        <v>PASS</v>
      </c>
      <c r="P42" s="39" t="n">
        <f aca="false">IF(OR($A42="",$L42=""),"",MAX(0,$L42-MAX($L42*Assumptions!$B$4,Assumptions!$B$5)))</f>
        <v>9600</v>
      </c>
      <c r="Q42" s="40" t="n">
        <f aca="false">IF($A42="","",Assumptions!$B$13)</f>
        <v>0.0960792032000001</v>
      </c>
      <c r="R42" s="39" t="n">
        <f aca="false">IF(OR($A42="",$M42=""),"",$M42*Assumptions!$B$7)</f>
        <v>55</v>
      </c>
      <c r="S42" s="39" t="n">
        <f aca="false">IF(OR($A42="",$P42="",$R42=""),"",MAX(0,$P42*$Q42-$R42))</f>
        <v>867.360350720001</v>
      </c>
      <c r="T42" s="38" t="str">
        <f aca="false">IF($A42="","",IF($O42="FAIL","REJECT",IF($N42&gt;=4,IF(AND($K42&lt;&gt;"",$K42&gt;$S42),"BUY IF CHEAPER","BUY"),IF($N42&gt;=3.2,"WATCH","PASS"))))</f>
        <v>BUY</v>
      </c>
      <c r="U42" s="26" t="s">
        <v>170</v>
      </c>
      <c r="V42" s="33" t="s">
        <v>244</v>
      </c>
    </row>
    <row r="43" customFormat="false" ht="15" hidden="false" customHeight="true" outlineLevel="0" collapsed="false">
      <c r="A43" s="23" t="s">
        <v>245</v>
      </c>
      <c r="B43" s="34" t="str">
        <f aca="false">IF($A43="","",IF(ISERROR(FIND(".",$A43)),"",LOWER(MID($A43,FIND(CHAR(1),SUBSTITUTE($A43,".",CHAR(1),LEN($A43)-LEN(SUBSTITUTE($A43,".",""))))+1,LEN($A43)))))</f>
        <v>com</v>
      </c>
      <c r="C43" s="35" t="n">
        <f aca="false">IF($B43="","",IFERROR(INDEX(Rubric!$B$15:$B$24,MATCH(LOWER($B43),Rubric!$A$15:$A$24,0)),INDEX(Rubric!$B$15:$B$24,MATCH("other",Rubric!$A$15:$A$24,0))))</f>
        <v>5</v>
      </c>
      <c r="D43" s="26" t="n">
        <v>4</v>
      </c>
      <c r="E43" s="26" t="n">
        <v>2</v>
      </c>
      <c r="F43" s="26" t="n">
        <v>5</v>
      </c>
      <c r="G43" s="26" t="n">
        <v>3</v>
      </c>
      <c r="H43" s="26" t="n">
        <v>5</v>
      </c>
      <c r="I43" s="26" t="s">
        <v>169</v>
      </c>
      <c r="J43" s="26" t="s">
        <v>246</v>
      </c>
      <c r="K43" s="41" t="n">
        <v>2795</v>
      </c>
      <c r="L43" s="27" t="n">
        <v>3000</v>
      </c>
      <c r="M43" s="36" t="n">
        <f aca="false">IF($B43="","",IFERROR(INDEX(Rubric!$C$15:$C$24,MATCH(LOWER($B43),Rubric!$A$15:$A$24,0)),INDEX(Rubric!$C$15:$C$24,MATCH("other",Rubric!$A$15:$A$24,0))))</f>
        <v>11</v>
      </c>
      <c r="N43" s="37" t="n">
        <f aca="false">IF(OR($A43="",$C43=""),"",$C43*Rubric!$B$5+$D43*Rubric!$B$6+$E43*Rubric!$B$7+$F43*Rubric!$B$8+$G43*Rubric!$B$9+$H43*Rubric!$B$10)</f>
        <v>3.95</v>
      </c>
      <c r="O43" s="38" t="str">
        <f aca="false">IF($A43="","",IF(OR(UPPER($I43)="Y",UPPER($J43)="Y"),"FAIL","PASS"))</f>
        <v>FAIL</v>
      </c>
      <c r="P43" s="39" t="n">
        <f aca="false">IF(OR($A43="",$L43=""),"",MAX(0,$L43-MAX($L43*Assumptions!$B$4,Assumptions!$B$5)))</f>
        <v>2400</v>
      </c>
      <c r="Q43" s="40" t="n">
        <f aca="false">IF($A43="","",Assumptions!$B$13)</f>
        <v>0.0960792032000001</v>
      </c>
      <c r="R43" s="39" t="n">
        <f aca="false">IF(OR($A43="",$M43=""),"",$M43*Assumptions!$B$7)</f>
        <v>55</v>
      </c>
      <c r="S43" s="39" t="n">
        <f aca="false">IF(OR($A43="",$P43="",$R43=""),"",MAX(0,$P43*$Q43-$R43))</f>
        <v>175.59008768</v>
      </c>
      <c r="T43" s="38" t="str">
        <f aca="false">IF($A43="","",IF($O43="FAIL","REJECT",IF($N43&gt;=4,IF(AND($K43&lt;&gt;"",$K43&gt;$S43),"BUY IF CHEAPER","BUY"),IF($N43&gt;=3.2,"WATCH","PASS"))))</f>
        <v>REJECT</v>
      </c>
      <c r="U43" s="26" t="s">
        <v>197</v>
      </c>
      <c r="V43" s="33" t="s">
        <v>247</v>
      </c>
    </row>
    <row r="44" customFormat="false" ht="23.25" hidden="false" customHeight="true" outlineLevel="0" collapsed="false">
      <c r="A44" s="23" t="s">
        <v>248</v>
      </c>
      <c r="B44" s="34" t="str">
        <f aca="false">IF($A44="","",IF(ISERROR(FIND(".",$A44)),"",LOWER(MID($A44,FIND(CHAR(1),SUBSTITUTE($A44,".",CHAR(1),LEN($A44)-LEN(SUBSTITUTE($A44,".",""))))+1,LEN($A44)))))</f>
        <v>com</v>
      </c>
      <c r="C44" s="35" t="n">
        <f aca="false">IF($B44="","",IFERROR(INDEX(Rubric!$B$15:$B$24,MATCH(LOWER($B44),Rubric!$A$15:$A$24,0)),INDEX(Rubric!$B$15:$B$24,MATCH("other",Rubric!$A$15:$A$24,0))))</f>
        <v>5</v>
      </c>
      <c r="D44" s="26" t="n">
        <v>4</v>
      </c>
      <c r="E44" s="26" t="n">
        <v>2</v>
      </c>
      <c r="F44" s="26" t="n">
        <v>2</v>
      </c>
      <c r="G44" s="26" t="n">
        <v>4</v>
      </c>
      <c r="H44" s="26" t="n">
        <v>5</v>
      </c>
      <c r="I44" s="26" t="s">
        <v>169</v>
      </c>
      <c r="J44" s="26" t="s">
        <v>246</v>
      </c>
      <c r="K44" s="41" t="n">
        <v>22.99</v>
      </c>
      <c r="L44" s="27" t="n">
        <v>2500</v>
      </c>
      <c r="M44" s="36" t="n">
        <f aca="false">IF($B44="","",IFERROR(INDEX(Rubric!$C$15:$C$24,MATCH(LOWER($B44),Rubric!$A$15:$A$24,0)),INDEX(Rubric!$C$15:$C$24,MATCH("other",Rubric!$A$15:$A$24,0))))</f>
        <v>11</v>
      </c>
      <c r="N44" s="37" t="n">
        <f aca="false">IF(OR($A44="",$C44=""),"",$C44*Rubric!$B$5+$D44*Rubric!$B$6+$E44*Rubric!$B$7+$F44*Rubric!$B$8+$G44*Rubric!$B$9+$H44*Rubric!$B$10)</f>
        <v>3.6</v>
      </c>
      <c r="O44" s="38" t="str">
        <f aca="false">IF($A44="","",IF(OR(UPPER($I44)="Y",UPPER($J44)="Y"),"FAIL","PASS"))</f>
        <v>FAIL</v>
      </c>
      <c r="P44" s="39" t="n">
        <f aca="false">IF(OR($A44="",$L44=""),"",MAX(0,$L44-MAX($L44*Assumptions!$B$4,Assumptions!$B$5)))</f>
        <v>2000</v>
      </c>
      <c r="Q44" s="40" t="n">
        <f aca="false">IF($A44="","",Assumptions!$B$13)</f>
        <v>0.0960792032000001</v>
      </c>
      <c r="R44" s="39" t="n">
        <f aca="false">IF(OR($A44="",$M44=""),"",$M44*Assumptions!$B$7)</f>
        <v>55</v>
      </c>
      <c r="S44" s="39" t="n">
        <f aca="false">IF(OR($A44="",$P44="",$R44=""),"",MAX(0,$P44*$Q44-$R44))</f>
        <v>137.1584064</v>
      </c>
      <c r="T44" s="38" t="str">
        <f aca="false">IF($A44="","",IF($O44="FAIL","REJECT",IF($N44&gt;=4,IF(AND($K44&lt;&gt;"",$K44&gt;$S44),"BUY IF CHEAPER","BUY"),IF($N44&gt;=3.2,"WATCH","PASS"))))</f>
        <v>REJECT</v>
      </c>
      <c r="U44" s="26" t="s">
        <v>210</v>
      </c>
      <c r="V44" s="33" t="s">
        <v>249</v>
      </c>
    </row>
    <row r="45" customFormat="false" ht="15" hidden="false" customHeight="true" outlineLevel="0" collapsed="false">
      <c r="A45" s="23" t="s">
        <v>250</v>
      </c>
      <c r="B45" s="34" t="str">
        <f aca="false">IF($A45="","",IF(ISERROR(FIND(".",$A45)),"",LOWER(MID($A45,FIND(CHAR(1),SUBSTITUTE($A45,".",CHAR(1),LEN($A45)-LEN(SUBSTITUTE($A45,".",""))))+1,LEN($A45)))))</f>
        <v>com</v>
      </c>
      <c r="C45" s="35" t="n">
        <f aca="false">IF($B45="","",IFERROR(INDEX(Rubric!$B$15:$B$24,MATCH(LOWER($B45),Rubric!$A$15:$A$24,0)),INDEX(Rubric!$B$15:$B$24,MATCH("other",Rubric!$A$15:$A$24,0))))</f>
        <v>5</v>
      </c>
      <c r="D45" s="26" t="n">
        <v>4</v>
      </c>
      <c r="E45" s="26" t="n">
        <v>2</v>
      </c>
      <c r="F45" s="26" t="n">
        <v>3</v>
      </c>
      <c r="G45" s="26" t="n">
        <v>4</v>
      </c>
      <c r="H45" s="26" t="n">
        <v>5</v>
      </c>
      <c r="I45" s="26" t="s">
        <v>169</v>
      </c>
      <c r="J45" s="26" t="s">
        <v>246</v>
      </c>
      <c r="K45" s="41" t="n">
        <v>3595</v>
      </c>
      <c r="L45" s="27" t="n">
        <v>500</v>
      </c>
      <c r="M45" s="36" t="n">
        <f aca="false">IF($B45="","",IFERROR(INDEX(Rubric!$C$15:$C$24,MATCH(LOWER($B45),Rubric!$A$15:$A$24,0)),INDEX(Rubric!$C$15:$C$24,MATCH("other",Rubric!$A$15:$A$24,0))))</f>
        <v>11</v>
      </c>
      <c r="N45" s="37" t="n">
        <f aca="false">IF(OR($A45="",$C45=""),"",$C45*Rubric!$B$5+$D45*Rubric!$B$6+$E45*Rubric!$B$7+$F45*Rubric!$B$8+$G45*Rubric!$B$9+$H45*Rubric!$B$10)</f>
        <v>3.75</v>
      </c>
      <c r="O45" s="38" t="str">
        <f aca="false">IF($A45="","",IF(OR(UPPER($I45)="Y",UPPER($J45)="Y"),"FAIL","PASS"))</f>
        <v>FAIL</v>
      </c>
      <c r="P45" s="39" t="n">
        <f aca="false">IF(OR($A45="",$L45=""),"",MAX(0,$L45-MAX($L45*Assumptions!$B$4,Assumptions!$B$5)))</f>
        <v>400</v>
      </c>
      <c r="Q45" s="40" t="n">
        <f aca="false">IF($A45="","",Assumptions!$B$13)</f>
        <v>0.0960792032000001</v>
      </c>
      <c r="R45" s="39" t="n">
        <f aca="false">IF(OR($A45="",$M45=""),"",$M45*Assumptions!$B$7)</f>
        <v>55</v>
      </c>
      <c r="S45" s="39" t="n">
        <f aca="false">IF(OR($A45="",$P45="",$R45=""),"",MAX(0,$P45*$Q45-$R45))</f>
        <v>0</v>
      </c>
      <c r="T45" s="38" t="str">
        <f aca="false">IF($A45="","",IF($O45="FAIL","REJECT",IF($N45&gt;=4,IF(AND($K45&lt;&gt;"",$K45&gt;$S45),"BUY IF CHEAPER","BUY"),IF($N45&gt;=3.2,"WATCH","PASS"))))</f>
        <v>REJECT</v>
      </c>
      <c r="U45" s="26" t="s">
        <v>197</v>
      </c>
      <c r="V45" s="33" t="s">
        <v>251</v>
      </c>
    </row>
    <row r="46" customFormat="false" ht="15" hidden="false" customHeight="true" outlineLevel="0" collapsed="false">
      <c r="A46" s="23" t="s">
        <v>252</v>
      </c>
      <c r="B46" s="34" t="str">
        <f aca="false">IF($A46="","",IF(ISERROR(FIND(".",$A46)),"",LOWER(MID($A46,FIND(CHAR(1),SUBSTITUTE($A46,".",CHAR(1),LEN($A46)-LEN(SUBSTITUTE($A46,".",""))))+1,LEN($A46)))))</f>
        <v>com</v>
      </c>
      <c r="C46" s="35" t="n">
        <f aca="false">IF($B46="","",IFERROR(INDEX(Rubric!$B$15:$B$24,MATCH(LOWER($B46),Rubric!$A$15:$A$24,0)),INDEX(Rubric!$B$15:$B$24,MATCH("other",Rubric!$A$15:$A$24,0))))</f>
        <v>5</v>
      </c>
      <c r="D46" s="26" t="n">
        <v>4</v>
      </c>
      <c r="E46" s="26" t="n">
        <v>3</v>
      </c>
      <c r="F46" s="26" t="n">
        <v>4</v>
      </c>
      <c r="G46" s="26" t="n">
        <v>5</v>
      </c>
      <c r="H46" s="26" t="n">
        <v>5</v>
      </c>
      <c r="I46" s="26" t="s">
        <v>169</v>
      </c>
      <c r="J46" s="26" t="s">
        <v>169</v>
      </c>
      <c r="K46" s="41" t="n">
        <v>19000</v>
      </c>
      <c r="L46" s="27" t="n">
        <v>4000</v>
      </c>
      <c r="M46" s="36" t="n">
        <f aca="false">IF($B46="","",IFERROR(INDEX(Rubric!$C$15:$C$24,MATCH(LOWER($B46),Rubric!$A$15:$A$24,0)),INDEX(Rubric!$C$15:$C$24,MATCH("other",Rubric!$A$15:$A$24,0))))</f>
        <v>11</v>
      </c>
      <c r="N46" s="37" t="n">
        <f aca="false">IF(OR($A46="",$C46=""),"",$C46*Rubric!$B$5+$D46*Rubric!$B$6+$E46*Rubric!$B$7+$F46*Rubric!$B$8+$G46*Rubric!$B$9+$H46*Rubric!$B$10)</f>
        <v>4.2</v>
      </c>
      <c r="O46" s="38" t="str">
        <f aca="false">IF($A46="","",IF(OR(UPPER($I46)="Y",UPPER($J46)="Y"),"FAIL","PASS"))</f>
        <v>PASS</v>
      </c>
      <c r="P46" s="39" t="n">
        <f aca="false">IF(OR($A46="",$L46=""),"",MAX(0,$L46-MAX($L46*Assumptions!$B$4,Assumptions!$B$5)))</f>
        <v>3200</v>
      </c>
      <c r="Q46" s="40" t="n">
        <f aca="false">IF($A46="","",Assumptions!$B$13)</f>
        <v>0.0960792032000001</v>
      </c>
      <c r="R46" s="39" t="n">
        <f aca="false">IF(OR($A46="",$M46=""),"",$M46*Assumptions!$B$7)</f>
        <v>55</v>
      </c>
      <c r="S46" s="39" t="n">
        <f aca="false">IF(OR($A46="",$P46="",$R46=""),"",MAX(0,$P46*$Q46-$R46))</f>
        <v>252.45345024</v>
      </c>
      <c r="T46" s="38" t="str">
        <f aca="false">IF($A46="","",IF($O46="FAIL","REJECT",IF($N46&gt;=4,IF(AND($K46&lt;&gt;"",$K46&gt;$S46),"BUY IF CHEAPER","BUY"),IF($N46&gt;=3.2,"WATCH","PASS"))))</f>
        <v>BUY IF CHEAPER</v>
      </c>
      <c r="U46" s="26" t="s">
        <v>197</v>
      </c>
      <c r="V46" s="33" t="s">
        <v>253</v>
      </c>
    </row>
    <row r="47" customFormat="false" ht="15" hidden="false" customHeight="true" outlineLevel="0" collapsed="false">
      <c r="A47" s="23" t="s">
        <v>254</v>
      </c>
      <c r="B47" s="34" t="str">
        <f aca="false">IF($A47="","",IF(ISERROR(FIND(".",$A47)),"",LOWER(MID($A47,FIND(CHAR(1),SUBSTITUTE($A47,".",CHAR(1),LEN($A47)-LEN(SUBSTITUTE($A47,".",""))))+1,LEN($A47)))))</f>
        <v>com</v>
      </c>
      <c r="C47" s="35" t="n">
        <f aca="false">IF($B47="","",IFERROR(INDEX(Rubric!$B$15:$B$24,MATCH(LOWER($B47),Rubric!$A$15:$A$24,0)),INDEX(Rubric!$B$15:$B$24,MATCH("other",Rubric!$A$15:$A$24,0))))</f>
        <v>5</v>
      </c>
      <c r="D47" s="26" t="n">
        <v>4</v>
      </c>
      <c r="E47" s="26" t="n">
        <v>3</v>
      </c>
      <c r="F47" s="26" t="n">
        <v>4</v>
      </c>
      <c r="G47" s="26" t="n">
        <v>4</v>
      </c>
      <c r="H47" s="26" t="n">
        <v>5</v>
      </c>
      <c r="I47" s="26" t="s">
        <v>169</v>
      </c>
      <c r="J47" s="26" t="s">
        <v>169</v>
      </c>
      <c r="K47" s="27"/>
      <c r="L47" s="27" t="n">
        <v>3500</v>
      </c>
      <c r="M47" s="36" t="n">
        <f aca="false">IF($B47="","",IFERROR(INDEX(Rubric!$C$15:$C$24,MATCH(LOWER($B47),Rubric!$A$15:$A$24,0)),INDEX(Rubric!$C$15:$C$24,MATCH("other",Rubric!$A$15:$A$24,0))))</f>
        <v>11</v>
      </c>
      <c r="N47" s="37" t="n">
        <f aca="false">IF(OR($A47="",$C47=""),"",$C47*Rubric!$B$5+$D47*Rubric!$B$6+$E47*Rubric!$B$7+$F47*Rubric!$B$8+$G47*Rubric!$B$9+$H47*Rubric!$B$10)</f>
        <v>4.1</v>
      </c>
      <c r="O47" s="38" t="str">
        <f aca="false">IF($A47="","",IF(OR(UPPER($I47)="Y",UPPER($J47)="Y"),"FAIL","PASS"))</f>
        <v>PASS</v>
      </c>
      <c r="P47" s="39" t="n">
        <f aca="false">IF(OR($A47="",$L47=""),"",MAX(0,$L47-MAX($L47*Assumptions!$B$4,Assumptions!$B$5)))</f>
        <v>2800</v>
      </c>
      <c r="Q47" s="40" t="n">
        <f aca="false">IF($A47="","",Assumptions!$B$13)</f>
        <v>0.0960792032000001</v>
      </c>
      <c r="R47" s="39" t="n">
        <f aca="false">IF(OR($A47="",$M47=""),"",$M47*Assumptions!$B$7)</f>
        <v>55</v>
      </c>
      <c r="S47" s="39" t="n">
        <f aca="false">IF(OR($A47="",$P47="",$R47=""),"",MAX(0,$P47*$Q47-$R47))</f>
        <v>214.02176896</v>
      </c>
      <c r="T47" s="38" t="str">
        <f aca="false">IF($A47="","",IF($O47="FAIL","REJECT",IF($N47&gt;=4,IF(AND($K47&lt;&gt;"",$K47&gt;$S47),"BUY IF CHEAPER","BUY"),IF($N47&gt;=3.2,"WATCH","PASS"))))</f>
        <v>BUY</v>
      </c>
      <c r="U47" s="26" t="s">
        <v>170</v>
      </c>
      <c r="V47" s="33" t="s">
        <v>255</v>
      </c>
    </row>
    <row r="48" customFormat="false" ht="15" hidden="false" customHeight="true" outlineLevel="0" collapsed="false">
      <c r="A48" s="23" t="s">
        <v>256</v>
      </c>
      <c r="B48" s="34" t="str">
        <f aca="false">IF($A48="","",IF(ISERROR(FIND(".",$A48)),"",LOWER(MID($A48,FIND(CHAR(1),SUBSTITUTE($A48,".",CHAR(1),LEN($A48)-LEN(SUBSTITUTE($A48,".",""))))+1,LEN($A48)))))</f>
        <v>com</v>
      </c>
      <c r="C48" s="35" t="n">
        <f aca="false">IF($B48="","",IFERROR(INDEX(Rubric!$B$15:$B$24,MATCH(LOWER($B48),Rubric!$A$15:$A$24,0)),INDEX(Rubric!$B$15:$B$24,MATCH("other",Rubric!$A$15:$A$24,0))))</f>
        <v>5</v>
      </c>
      <c r="D48" s="26" t="n">
        <v>4</v>
      </c>
      <c r="E48" s="26" t="n">
        <v>3</v>
      </c>
      <c r="F48" s="26" t="n">
        <v>4</v>
      </c>
      <c r="G48" s="26" t="n">
        <v>5</v>
      </c>
      <c r="H48" s="26" t="n">
        <v>5</v>
      </c>
      <c r="I48" s="26" t="s">
        <v>169</v>
      </c>
      <c r="J48" s="26" t="s">
        <v>169</v>
      </c>
      <c r="K48" s="41" t="n">
        <v>8995</v>
      </c>
      <c r="L48" s="27" t="n">
        <v>3500</v>
      </c>
      <c r="M48" s="36" t="n">
        <f aca="false">IF($B48="","",IFERROR(INDEX(Rubric!$C$15:$C$24,MATCH(LOWER($B48),Rubric!$A$15:$A$24,0)),INDEX(Rubric!$C$15:$C$24,MATCH("other",Rubric!$A$15:$A$24,0))))</f>
        <v>11</v>
      </c>
      <c r="N48" s="37" t="n">
        <f aca="false">IF(OR($A48="",$C48=""),"",$C48*Rubric!$B$5+$D48*Rubric!$B$6+$E48*Rubric!$B$7+$F48*Rubric!$B$8+$G48*Rubric!$B$9+$H48*Rubric!$B$10)</f>
        <v>4.2</v>
      </c>
      <c r="O48" s="38" t="str">
        <f aca="false">IF($A48="","",IF(OR(UPPER($I48)="Y",UPPER($J48)="Y"),"FAIL","PASS"))</f>
        <v>PASS</v>
      </c>
      <c r="P48" s="39" t="n">
        <f aca="false">IF(OR($A48="",$L48=""),"",MAX(0,$L48-MAX($L48*Assumptions!$B$4,Assumptions!$B$5)))</f>
        <v>2800</v>
      </c>
      <c r="Q48" s="40" t="n">
        <f aca="false">IF($A48="","",Assumptions!$B$13)</f>
        <v>0.0960792032000001</v>
      </c>
      <c r="R48" s="39" t="n">
        <f aca="false">IF(OR($A48="",$M48=""),"",$M48*Assumptions!$B$7)</f>
        <v>55</v>
      </c>
      <c r="S48" s="39" t="n">
        <f aca="false">IF(OR($A48="",$P48="",$R48=""),"",MAX(0,$P48*$Q48-$R48))</f>
        <v>214.02176896</v>
      </c>
      <c r="T48" s="38" t="str">
        <f aca="false">IF($A48="","",IF($O48="FAIL","REJECT",IF($N48&gt;=4,IF(AND($K48&lt;&gt;"",$K48&gt;$S48),"BUY IF CHEAPER","BUY"),IF($N48&gt;=3.2,"WATCH","PASS"))))</f>
        <v>BUY IF CHEAPER</v>
      </c>
      <c r="U48" s="26" t="s">
        <v>197</v>
      </c>
      <c r="V48" s="33" t="s">
        <v>257</v>
      </c>
    </row>
    <row r="49" customFormat="false" ht="15" hidden="false" customHeight="true" outlineLevel="0" collapsed="false">
      <c r="A49" s="23" t="s">
        <v>258</v>
      </c>
      <c r="B49" s="34" t="str">
        <f aca="false">IF($A49="","",IF(ISERROR(FIND(".",$A49)),"",LOWER(MID($A49,FIND(CHAR(1),SUBSTITUTE($A49,".",CHAR(1),LEN($A49)-LEN(SUBSTITUTE($A49,".",""))))+1,LEN($A49)))))</f>
        <v>com</v>
      </c>
      <c r="C49" s="35" t="n">
        <f aca="false">IF($B49="","",IFERROR(INDEX(Rubric!$B$15:$B$24,MATCH(LOWER($B49),Rubric!$A$15:$A$24,0)),INDEX(Rubric!$B$15:$B$24,MATCH("other",Rubric!$A$15:$A$24,0))))</f>
        <v>5</v>
      </c>
      <c r="D49" s="26" t="n">
        <v>3</v>
      </c>
      <c r="E49" s="26" t="n">
        <v>2</v>
      </c>
      <c r="F49" s="26" t="n">
        <v>4</v>
      </c>
      <c r="G49" s="26" t="n">
        <v>4</v>
      </c>
      <c r="H49" s="26" t="n">
        <v>5</v>
      </c>
      <c r="I49" s="26" t="s">
        <v>169</v>
      </c>
      <c r="J49" s="26" t="s">
        <v>169</v>
      </c>
      <c r="K49" s="27"/>
      <c r="L49" s="27" t="n">
        <v>3000</v>
      </c>
      <c r="M49" s="36" t="n">
        <f aca="false">IF($B49="","",IFERROR(INDEX(Rubric!$C$15:$C$24,MATCH(LOWER($B49),Rubric!$A$15:$A$24,0)),INDEX(Rubric!$C$15:$C$24,MATCH("other",Rubric!$A$15:$A$24,0))))</f>
        <v>11</v>
      </c>
      <c r="N49" s="37" t="n">
        <f aca="false">IF(OR($A49="",$C49=""),"",$C49*Rubric!$B$5+$D49*Rubric!$B$6+$E49*Rubric!$B$7+$F49*Rubric!$B$8+$G49*Rubric!$B$9+$H49*Rubric!$B$10)</f>
        <v>3.65</v>
      </c>
      <c r="O49" s="38" t="str">
        <f aca="false">IF($A49="","",IF(OR(UPPER($I49)="Y",UPPER($J49)="Y"),"FAIL","PASS"))</f>
        <v>PASS</v>
      </c>
      <c r="P49" s="39" t="n">
        <f aca="false">IF(OR($A49="",$L49=""),"",MAX(0,$L49-MAX($L49*Assumptions!$B$4,Assumptions!$B$5)))</f>
        <v>2400</v>
      </c>
      <c r="Q49" s="40" t="n">
        <f aca="false">IF($A49="","",Assumptions!$B$13)</f>
        <v>0.0960792032000001</v>
      </c>
      <c r="R49" s="39" t="n">
        <f aca="false">IF(OR($A49="",$M49=""),"",$M49*Assumptions!$B$7)</f>
        <v>55</v>
      </c>
      <c r="S49" s="39" t="n">
        <f aca="false">IF(OR($A49="",$P49="",$R49=""),"",MAX(0,$P49*$Q49-$R49))</f>
        <v>175.59008768</v>
      </c>
      <c r="T49" s="38" t="str">
        <f aca="false">IF($A49="","",IF($O49="FAIL","REJECT",IF($N49&gt;=4,IF(AND($K49&lt;&gt;"",$K49&gt;$S49),"BUY IF CHEAPER","BUY"),IF($N49&gt;=3.2,"WATCH","PASS"))))</f>
        <v>WATCH</v>
      </c>
      <c r="U49" s="26" t="s">
        <v>170</v>
      </c>
      <c r="V49" s="33" t="s">
        <v>259</v>
      </c>
    </row>
    <row r="50" customFormat="false" ht="15" hidden="false" customHeight="true" outlineLevel="0" collapsed="false">
      <c r="A50" s="23" t="s">
        <v>260</v>
      </c>
      <c r="B50" s="34" t="str">
        <f aca="false">IF($A50="","",IF(ISERROR(FIND(".",$A50)),"",LOWER(MID($A50,FIND(CHAR(1),SUBSTITUTE($A50,".",CHAR(1),LEN($A50)-LEN(SUBSTITUTE($A50,".",""))))+1,LEN($A50)))))</f>
        <v>com</v>
      </c>
      <c r="C50" s="35" t="n">
        <f aca="false">IF($B50="","",IFERROR(INDEX(Rubric!$B$15:$B$24,MATCH(LOWER($B50),Rubric!$A$15:$A$24,0)),INDEX(Rubric!$B$15:$B$24,MATCH("other",Rubric!$A$15:$A$24,0))))</f>
        <v>5</v>
      </c>
      <c r="D50" s="26" t="n">
        <v>3</v>
      </c>
      <c r="E50" s="26" t="n">
        <v>2</v>
      </c>
      <c r="F50" s="26" t="n">
        <v>5</v>
      </c>
      <c r="G50" s="26" t="n">
        <v>4</v>
      </c>
      <c r="H50" s="26" t="n">
        <v>5</v>
      </c>
      <c r="I50" s="26" t="s">
        <v>169</v>
      </c>
      <c r="J50" s="26" t="s">
        <v>169</v>
      </c>
      <c r="K50" s="27"/>
      <c r="L50" s="27" t="n">
        <v>3000</v>
      </c>
      <c r="M50" s="36" t="n">
        <f aca="false">IF($B50="","",IFERROR(INDEX(Rubric!$C$15:$C$24,MATCH(LOWER($B50),Rubric!$A$15:$A$24,0)),INDEX(Rubric!$C$15:$C$24,MATCH("other",Rubric!$A$15:$A$24,0))))</f>
        <v>11</v>
      </c>
      <c r="N50" s="37" t="n">
        <f aca="false">IF(OR($A50="",$C50=""),"",$C50*Rubric!$B$5+$D50*Rubric!$B$6+$E50*Rubric!$B$7+$F50*Rubric!$B$8+$G50*Rubric!$B$9+$H50*Rubric!$B$10)</f>
        <v>3.8</v>
      </c>
      <c r="O50" s="38" t="str">
        <f aca="false">IF($A50="","",IF(OR(UPPER($I50)="Y",UPPER($J50)="Y"),"FAIL","PASS"))</f>
        <v>PASS</v>
      </c>
      <c r="P50" s="39" t="n">
        <f aca="false">IF(OR($A50="",$L50=""),"",MAX(0,$L50-MAX($L50*Assumptions!$B$4,Assumptions!$B$5)))</f>
        <v>2400</v>
      </c>
      <c r="Q50" s="40" t="n">
        <f aca="false">IF($A50="","",Assumptions!$B$13)</f>
        <v>0.0960792032000001</v>
      </c>
      <c r="R50" s="39" t="n">
        <f aca="false">IF(OR($A50="",$M50=""),"",$M50*Assumptions!$B$7)</f>
        <v>55</v>
      </c>
      <c r="S50" s="39" t="n">
        <f aca="false">IF(OR($A50="",$P50="",$R50=""),"",MAX(0,$P50*$Q50-$R50))</f>
        <v>175.59008768</v>
      </c>
      <c r="T50" s="38" t="str">
        <f aca="false">IF($A50="","",IF($O50="FAIL","REJECT",IF($N50&gt;=4,IF(AND($K50&lt;&gt;"",$K50&gt;$S50),"BUY IF CHEAPER","BUY"),IF($N50&gt;=3.2,"WATCH","PASS"))))</f>
        <v>WATCH</v>
      </c>
      <c r="U50" s="26" t="s">
        <v>170</v>
      </c>
      <c r="V50" s="33" t="s">
        <v>261</v>
      </c>
    </row>
    <row r="51" customFormat="false" ht="15" hidden="false" customHeight="true" outlineLevel="0" collapsed="false">
      <c r="A51" s="23" t="s">
        <v>262</v>
      </c>
      <c r="B51" s="34" t="str">
        <f aca="false">IF($A51="","",IF(ISERROR(FIND(".",$A51)),"",LOWER(MID($A51,FIND(CHAR(1),SUBSTITUTE($A51,".",CHAR(1),LEN($A51)-LEN(SUBSTITUTE($A51,".",""))))+1,LEN($A51)))))</f>
        <v>com</v>
      </c>
      <c r="C51" s="35" t="n">
        <f aca="false">IF($B51="","",IFERROR(INDEX(Rubric!$B$15:$B$24,MATCH(LOWER($B51),Rubric!$A$15:$A$24,0)),INDEX(Rubric!$B$15:$B$24,MATCH("other",Rubric!$A$15:$A$24,0))))</f>
        <v>5</v>
      </c>
      <c r="D51" s="26" t="n">
        <v>3</v>
      </c>
      <c r="E51" s="26" t="n">
        <v>2</v>
      </c>
      <c r="F51" s="26" t="n">
        <v>4</v>
      </c>
      <c r="G51" s="26" t="n">
        <v>4</v>
      </c>
      <c r="H51" s="26" t="n">
        <v>5</v>
      </c>
      <c r="I51" s="26" t="s">
        <v>169</v>
      </c>
      <c r="J51" s="26" t="s">
        <v>169</v>
      </c>
      <c r="K51" s="27"/>
      <c r="L51" s="27" t="n">
        <v>2500</v>
      </c>
      <c r="M51" s="36" t="n">
        <f aca="false">IF($B51="","",IFERROR(INDEX(Rubric!$C$15:$C$24,MATCH(LOWER($B51),Rubric!$A$15:$A$24,0)),INDEX(Rubric!$C$15:$C$24,MATCH("other",Rubric!$A$15:$A$24,0))))</f>
        <v>11</v>
      </c>
      <c r="N51" s="37" t="n">
        <f aca="false">IF(OR($A51="",$C51=""),"",$C51*Rubric!$B$5+$D51*Rubric!$B$6+$E51*Rubric!$B$7+$F51*Rubric!$B$8+$G51*Rubric!$B$9+$H51*Rubric!$B$10)</f>
        <v>3.65</v>
      </c>
      <c r="O51" s="38" t="str">
        <f aca="false">IF($A51="","",IF(OR(UPPER($I51)="Y",UPPER($J51)="Y"),"FAIL","PASS"))</f>
        <v>PASS</v>
      </c>
      <c r="P51" s="39" t="n">
        <f aca="false">IF(OR($A51="",$L51=""),"",MAX(0,$L51-MAX($L51*Assumptions!$B$4,Assumptions!$B$5)))</f>
        <v>2000</v>
      </c>
      <c r="Q51" s="40" t="n">
        <f aca="false">IF($A51="","",Assumptions!$B$13)</f>
        <v>0.0960792032000001</v>
      </c>
      <c r="R51" s="39" t="n">
        <f aca="false">IF(OR($A51="",$M51=""),"",$M51*Assumptions!$B$7)</f>
        <v>55</v>
      </c>
      <c r="S51" s="39" t="n">
        <f aca="false">IF(OR($A51="",$P51="",$R51=""),"",MAX(0,$P51*$Q51-$R51))</f>
        <v>137.1584064</v>
      </c>
      <c r="T51" s="38" t="str">
        <f aca="false">IF($A51="","",IF($O51="FAIL","REJECT",IF($N51&gt;=4,IF(AND($K51&lt;&gt;"",$K51&gt;$S51),"BUY IF CHEAPER","BUY"),IF($N51&gt;=3.2,"WATCH","PASS"))))</f>
        <v>WATCH</v>
      </c>
      <c r="U51" s="26" t="s">
        <v>170</v>
      </c>
      <c r="V51" s="33" t="s">
        <v>263</v>
      </c>
    </row>
    <row r="52" customFormat="false" ht="15" hidden="false" customHeight="true" outlineLevel="0" collapsed="false">
      <c r="A52" s="23" t="s">
        <v>264</v>
      </c>
      <c r="B52" s="34" t="str">
        <f aca="false">IF($A52="","",IF(ISERROR(FIND(".",$A52)),"",LOWER(MID($A52,FIND(CHAR(1),SUBSTITUTE($A52,".",CHAR(1),LEN($A52)-LEN(SUBSTITUTE($A52,".",""))))+1,LEN($A52)))))</f>
        <v>com</v>
      </c>
      <c r="C52" s="35" t="n">
        <f aca="false">IF($B52="","",IFERROR(INDEX(Rubric!$B$15:$B$24,MATCH(LOWER($B52),Rubric!$A$15:$A$24,0)),INDEX(Rubric!$B$15:$B$24,MATCH("other",Rubric!$A$15:$A$24,0))))</f>
        <v>5</v>
      </c>
      <c r="D52" s="26" t="n">
        <v>3</v>
      </c>
      <c r="E52" s="26" t="n">
        <v>2</v>
      </c>
      <c r="F52" s="26" t="n">
        <v>4</v>
      </c>
      <c r="G52" s="26" t="n">
        <v>4</v>
      </c>
      <c r="H52" s="26" t="n">
        <v>5</v>
      </c>
      <c r="I52" s="26" t="s">
        <v>169</v>
      </c>
      <c r="J52" s="26" t="s">
        <v>169</v>
      </c>
      <c r="K52" s="27"/>
      <c r="L52" s="27" t="n">
        <v>2800</v>
      </c>
      <c r="M52" s="36" t="n">
        <f aca="false">IF($B52="","",IFERROR(INDEX(Rubric!$C$15:$C$24,MATCH(LOWER($B52),Rubric!$A$15:$A$24,0)),INDEX(Rubric!$C$15:$C$24,MATCH("other",Rubric!$A$15:$A$24,0))))</f>
        <v>11</v>
      </c>
      <c r="N52" s="37" t="n">
        <f aca="false">IF(OR($A52="",$C52=""),"",$C52*Rubric!$B$5+$D52*Rubric!$B$6+$E52*Rubric!$B$7+$F52*Rubric!$B$8+$G52*Rubric!$B$9+$H52*Rubric!$B$10)</f>
        <v>3.65</v>
      </c>
      <c r="O52" s="38" t="str">
        <f aca="false">IF($A52="","",IF(OR(UPPER($I52)="Y",UPPER($J52)="Y"),"FAIL","PASS"))</f>
        <v>PASS</v>
      </c>
      <c r="P52" s="39" t="n">
        <f aca="false">IF(OR($A52="",$L52=""),"",MAX(0,$L52-MAX($L52*Assumptions!$B$4,Assumptions!$B$5)))</f>
        <v>2240</v>
      </c>
      <c r="Q52" s="40" t="n">
        <f aca="false">IF($A52="","",Assumptions!$B$13)</f>
        <v>0.0960792032000001</v>
      </c>
      <c r="R52" s="39" t="n">
        <f aca="false">IF(OR($A52="",$M52=""),"",$M52*Assumptions!$B$7)</f>
        <v>55</v>
      </c>
      <c r="S52" s="39" t="n">
        <f aca="false">IF(OR($A52="",$P52="",$R52=""),"",MAX(0,$P52*$Q52-$R52))</f>
        <v>160.217415168</v>
      </c>
      <c r="T52" s="38" t="str">
        <f aca="false">IF($A52="","",IF($O52="FAIL","REJECT",IF($N52&gt;=4,IF(AND($K52&lt;&gt;"",$K52&gt;$S52),"BUY IF CHEAPER","BUY"),IF($N52&gt;=3.2,"WATCH","PASS"))))</f>
        <v>WATCH</v>
      </c>
      <c r="U52" s="26" t="s">
        <v>170</v>
      </c>
      <c r="V52" s="33" t="s">
        <v>265</v>
      </c>
    </row>
    <row r="53" customFormat="false" ht="23.25" hidden="false" customHeight="true" outlineLevel="0" collapsed="false">
      <c r="A53" s="23" t="s">
        <v>266</v>
      </c>
      <c r="B53" s="34" t="str">
        <f aca="false">IF($A53="","",IF(ISERROR(FIND(".",$A53)),"",LOWER(MID($A53,FIND(CHAR(1),SUBSTITUTE($A53,".",CHAR(1),LEN($A53)-LEN(SUBSTITUTE($A53,".",""))))+1,LEN($A53)))))</f>
        <v>com</v>
      </c>
      <c r="C53" s="35" t="n">
        <f aca="false">IF($B53="","",IFERROR(INDEX(Rubric!$B$15:$B$24,MATCH(LOWER($B53),Rubric!$A$15:$A$24,0)),INDEX(Rubric!$B$15:$B$24,MATCH("other",Rubric!$A$15:$A$24,0))))</f>
        <v>5</v>
      </c>
      <c r="D53" s="26" t="n">
        <v>3</v>
      </c>
      <c r="E53" s="26" t="n">
        <v>2</v>
      </c>
      <c r="F53" s="26" t="n">
        <v>4</v>
      </c>
      <c r="G53" s="26" t="n">
        <v>4</v>
      </c>
      <c r="H53" s="26" t="n">
        <v>5</v>
      </c>
      <c r="I53" s="26" t="s">
        <v>169</v>
      </c>
      <c r="J53" s="26" t="s">
        <v>169</v>
      </c>
      <c r="K53" s="41" t="n">
        <v>22.99</v>
      </c>
      <c r="L53" s="27" t="n">
        <v>2500</v>
      </c>
      <c r="M53" s="36" t="n">
        <f aca="false">IF($B53="","",IFERROR(INDEX(Rubric!$C$15:$C$24,MATCH(LOWER($B53),Rubric!$A$15:$A$24,0)),INDEX(Rubric!$C$15:$C$24,MATCH("other",Rubric!$A$15:$A$24,0))))</f>
        <v>11</v>
      </c>
      <c r="N53" s="37" t="n">
        <f aca="false">IF(OR($A53="",$C53=""),"",$C53*Rubric!$B$5+$D53*Rubric!$B$6+$E53*Rubric!$B$7+$F53*Rubric!$B$8+$G53*Rubric!$B$9+$H53*Rubric!$B$10)</f>
        <v>3.65</v>
      </c>
      <c r="O53" s="38" t="str">
        <f aca="false">IF($A53="","",IF(OR(UPPER($I53)="Y",UPPER($J53)="Y"),"FAIL","PASS"))</f>
        <v>PASS</v>
      </c>
      <c r="P53" s="39" t="n">
        <f aca="false">IF(OR($A53="",$L53=""),"",MAX(0,$L53-MAX($L53*Assumptions!$B$4,Assumptions!$B$5)))</f>
        <v>2000</v>
      </c>
      <c r="Q53" s="40" t="n">
        <f aca="false">IF($A53="","",Assumptions!$B$13)</f>
        <v>0.0960792032000001</v>
      </c>
      <c r="R53" s="39" t="n">
        <f aca="false">IF(OR($A53="",$M53=""),"",$M53*Assumptions!$B$7)</f>
        <v>55</v>
      </c>
      <c r="S53" s="39" t="n">
        <f aca="false">IF(OR($A53="",$P53="",$R53=""),"",MAX(0,$P53*$Q53-$R53))</f>
        <v>137.1584064</v>
      </c>
      <c r="T53" s="38" t="str">
        <f aca="false">IF($A53="","",IF($O53="FAIL","REJECT",IF($N53&gt;=4,IF(AND($K53&lt;&gt;"",$K53&gt;$S53),"BUY IF CHEAPER","BUY"),IF($N53&gt;=3.2,"WATCH","PASS"))))</f>
        <v>WATCH</v>
      </c>
      <c r="U53" s="26" t="s">
        <v>210</v>
      </c>
      <c r="V53" s="33" t="s">
        <v>267</v>
      </c>
    </row>
    <row r="54" customFormat="false" ht="23.25" hidden="false" customHeight="true" outlineLevel="0" collapsed="false">
      <c r="A54" s="23" t="s">
        <v>268</v>
      </c>
      <c r="B54" s="34" t="str">
        <f aca="false">IF($A54="","",IF(ISERROR(FIND(".",$A54)),"",LOWER(MID($A54,FIND(CHAR(1),SUBSTITUTE($A54,".",CHAR(1),LEN($A54)-LEN(SUBSTITUTE($A54,".",""))))+1,LEN($A54)))))</f>
        <v>com</v>
      </c>
      <c r="C54" s="35" t="n">
        <f aca="false">IF($B54="","",IFERROR(INDEX(Rubric!$B$15:$B$24,MATCH(LOWER($B54),Rubric!$A$15:$A$24,0)),INDEX(Rubric!$B$15:$B$24,MATCH("other",Rubric!$A$15:$A$24,0))))</f>
        <v>5</v>
      </c>
      <c r="D54" s="26" t="n">
        <v>3</v>
      </c>
      <c r="E54" s="26" t="n">
        <v>2</v>
      </c>
      <c r="F54" s="26" t="n">
        <v>4</v>
      </c>
      <c r="G54" s="26" t="n">
        <v>5</v>
      </c>
      <c r="H54" s="26" t="n">
        <v>5</v>
      </c>
      <c r="I54" s="26" t="s">
        <v>246</v>
      </c>
      <c r="J54" s="26" t="s">
        <v>169</v>
      </c>
      <c r="K54" s="27"/>
      <c r="L54" s="27" t="n">
        <v>2500</v>
      </c>
      <c r="M54" s="36" t="n">
        <f aca="false">IF($B54="","",IFERROR(INDEX(Rubric!$C$15:$C$24,MATCH(LOWER($B54),Rubric!$A$15:$A$24,0)),INDEX(Rubric!$C$15:$C$24,MATCH("other",Rubric!$A$15:$A$24,0))))</f>
        <v>11</v>
      </c>
      <c r="N54" s="37" t="n">
        <f aca="false">IF(OR($A54="",$C54=""),"",$C54*Rubric!$B$5+$D54*Rubric!$B$6+$E54*Rubric!$B$7+$F54*Rubric!$B$8+$G54*Rubric!$B$9+$H54*Rubric!$B$10)</f>
        <v>3.75</v>
      </c>
      <c r="O54" s="38" t="str">
        <f aca="false">IF($A54="","",IF(OR(UPPER($I54)="Y",UPPER($J54)="Y"),"FAIL","PASS"))</f>
        <v>FAIL</v>
      </c>
      <c r="P54" s="39" t="n">
        <f aca="false">IF(OR($A54="",$L54=""),"",MAX(0,$L54-MAX($L54*Assumptions!$B$4,Assumptions!$B$5)))</f>
        <v>2000</v>
      </c>
      <c r="Q54" s="40" t="n">
        <f aca="false">IF($A54="","",Assumptions!$B$13)</f>
        <v>0.0960792032000001</v>
      </c>
      <c r="R54" s="39" t="n">
        <f aca="false">IF(OR($A54="",$M54=""),"",$M54*Assumptions!$B$7)</f>
        <v>55</v>
      </c>
      <c r="S54" s="39" t="n">
        <f aca="false">IF(OR($A54="",$P54="",$R54=""),"",MAX(0,$P54*$Q54-$R54))</f>
        <v>137.1584064</v>
      </c>
      <c r="T54" s="38" t="str">
        <f aca="false">IF($A54="","",IF($O54="FAIL","REJECT",IF($N54&gt;=4,IF(AND($K54&lt;&gt;"",$K54&gt;$S54),"BUY IF CHEAPER","BUY"),IF($N54&gt;=3.2,"WATCH","PASS"))))</f>
        <v>REJECT</v>
      </c>
      <c r="U54" s="26" t="s">
        <v>170</v>
      </c>
      <c r="V54" s="33" t="s">
        <v>269</v>
      </c>
    </row>
    <row r="55" customFormat="false" ht="15" hidden="false" customHeight="true" outlineLevel="0" collapsed="false">
      <c r="A55" s="23" t="s">
        <v>270</v>
      </c>
      <c r="B55" s="34" t="str">
        <f aca="false">IF($A55="","",IF(ISERROR(FIND(".",$A55)),"",LOWER(MID($A55,FIND(CHAR(1),SUBSTITUTE($A55,".",CHAR(1),LEN($A55)-LEN(SUBSTITUTE($A55,".",""))))+1,LEN($A55)))))</f>
        <v>com</v>
      </c>
      <c r="C55" s="35" t="n">
        <f aca="false">IF($B55="","",IFERROR(INDEX(Rubric!$B$15:$B$24,MATCH(LOWER($B55),Rubric!$A$15:$A$24,0)),INDEX(Rubric!$B$15:$B$24,MATCH("other",Rubric!$A$15:$A$24,0))))</f>
        <v>5</v>
      </c>
      <c r="D55" s="26" t="n">
        <v>4</v>
      </c>
      <c r="E55" s="26" t="n">
        <v>3</v>
      </c>
      <c r="F55" s="26" t="n">
        <v>5</v>
      </c>
      <c r="G55" s="26" t="n">
        <v>5</v>
      </c>
      <c r="H55" s="26" t="n">
        <v>5</v>
      </c>
      <c r="I55" s="26" t="s">
        <v>169</v>
      </c>
      <c r="J55" s="26" t="s">
        <v>169</v>
      </c>
      <c r="K55" s="27"/>
      <c r="L55" s="27" t="n">
        <v>3500</v>
      </c>
      <c r="M55" s="36" t="n">
        <f aca="false">IF($B55="","",IFERROR(INDEX(Rubric!$C$15:$C$24,MATCH(LOWER($B55),Rubric!$A$15:$A$24,0)),INDEX(Rubric!$C$15:$C$24,MATCH("other",Rubric!$A$15:$A$24,0))))</f>
        <v>11</v>
      </c>
      <c r="N55" s="37" t="n">
        <f aca="false">IF(OR($A55="",$C55=""),"",$C55*Rubric!$B$5+$D55*Rubric!$B$6+$E55*Rubric!$B$7+$F55*Rubric!$B$8+$G55*Rubric!$B$9+$H55*Rubric!$B$10)</f>
        <v>4.35</v>
      </c>
      <c r="O55" s="38" t="str">
        <f aca="false">IF($A55="","",IF(OR(UPPER($I55)="Y",UPPER($J55)="Y"),"FAIL","PASS"))</f>
        <v>PASS</v>
      </c>
      <c r="P55" s="39" t="n">
        <f aca="false">IF(OR($A55="",$L55=""),"",MAX(0,$L55-MAX($L55*Assumptions!$B$4,Assumptions!$B$5)))</f>
        <v>2800</v>
      </c>
      <c r="Q55" s="40" t="n">
        <f aca="false">IF($A55="","",Assumptions!$B$13)</f>
        <v>0.0960792032000001</v>
      </c>
      <c r="R55" s="39" t="n">
        <f aca="false">IF(OR($A55="",$M55=""),"",$M55*Assumptions!$B$7)</f>
        <v>55</v>
      </c>
      <c r="S55" s="39" t="n">
        <f aca="false">IF(OR($A55="",$P55="",$R55=""),"",MAX(0,$P55*$Q55-$R55))</f>
        <v>214.02176896</v>
      </c>
      <c r="T55" s="38" t="str">
        <f aca="false">IF($A55="","",IF($O55="FAIL","REJECT",IF($N55&gt;=4,IF(AND($K55&lt;&gt;"",$K55&gt;$S55),"BUY IF CHEAPER","BUY"),IF($N55&gt;=3.2,"WATCH","PASS"))))</f>
        <v>BUY</v>
      </c>
      <c r="U55" s="26" t="s">
        <v>170</v>
      </c>
      <c r="V55" s="33" t="s">
        <v>271</v>
      </c>
    </row>
    <row r="56" customFormat="false" ht="23.25" hidden="false" customHeight="true" outlineLevel="0" collapsed="false">
      <c r="A56" s="23" t="s">
        <v>272</v>
      </c>
      <c r="B56" s="34" t="str">
        <f aca="false">IF($A56="","",IF(ISERROR(FIND(".",$A56)),"",LOWER(MID($A56,FIND(CHAR(1),SUBSTITUTE($A56,".",CHAR(1),LEN($A56)-LEN(SUBSTITUTE($A56,".",""))))+1,LEN($A56)))))</f>
        <v>com</v>
      </c>
      <c r="C56" s="35" t="n">
        <f aca="false">IF($B56="","",IFERROR(INDEX(Rubric!$B$15:$B$24,MATCH(LOWER($B56),Rubric!$A$15:$A$24,0)),INDEX(Rubric!$B$15:$B$24,MATCH("other",Rubric!$A$15:$A$24,0))))</f>
        <v>5</v>
      </c>
      <c r="D56" s="26" t="n">
        <v>4</v>
      </c>
      <c r="E56" s="26" t="n">
        <v>3</v>
      </c>
      <c r="F56" s="26" t="n">
        <v>5</v>
      </c>
      <c r="G56" s="26" t="n">
        <v>5</v>
      </c>
      <c r="H56" s="26" t="n">
        <v>5</v>
      </c>
      <c r="I56" s="26" t="s">
        <v>169</v>
      </c>
      <c r="J56" s="26" t="s">
        <v>169</v>
      </c>
      <c r="K56" s="27"/>
      <c r="L56" s="27" t="n">
        <v>5000</v>
      </c>
      <c r="M56" s="36" t="n">
        <f aca="false">IF($B56="","",IFERROR(INDEX(Rubric!$C$15:$C$24,MATCH(LOWER($B56),Rubric!$A$15:$A$24,0)),INDEX(Rubric!$C$15:$C$24,MATCH("other",Rubric!$A$15:$A$24,0))))</f>
        <v>11</v>
      </c>
      <c r="N56" s="37" t="n">
        <f aca="false">IF(OR($A56="",$C56=""),"",$C56*Rubric!$B$5+$D56*Rubric!$B$6+$E56*Rubric!$B$7+$F56*Rubric!$B$8+$G56*Rubric!$B$9+$H56*Rubric!$B$10)</f>
        <v>4.35</v>
      </c>
      <c r="O56" s="38" t="str">
        <f aca="false">IF($A56="","",IF(OR(UPPER($I56)="Y",UPPER($J56)="Y"),"FAIL","PASS"))</f>
        <v>PASS</v>
      </c>
      <c r="P56" s="39" t="n">
        <f aca="false">IF(OR($A56="",$L56=""),"",MAX(0,$L56-MAX($L56*Assumptions!$B$4,Assumptions!$B$5)))</f>
        <v>4000</v>
      </c>
      <c r="Q56" s="40" t="n">
        <f aca="false">IF($A56="","",Assumptions!$B$13)</f>
        <v>0.0960792032000001</v>
      </c>
      <c r="R56" s="39" t="n">
        <f aca="false">IF(OR($A56="",$M56=""),"",$M56*Assumptions!$B$7)</f>
        <v>55</v>
      </c>
      <c r="S56" s="39" t="n">
        <f aca="false">IF(OR($A56="",$P56="",$R56=""),"",MAX(0,$P56*$Q56-$R56))</f>
        <v>329.3168128</v>
      </c>
      <c r="T56" s="38" t="str">
        <f aca="false">IF($A56="","",IF($O56="FAIL","REJECT",IF($N56&gt;=4,IF(AND($K56&lt;&gt;"",$K56&gt;$S56),"BUY IF CHEAPER","BUY"),IF($N56&gt;=3.2,"WATCH","PASS"))))</f>
        <v>BUY</v>
      </c>
      <c r="U56" s="26" t="s">
        <v>170</v>
      </c>
      <c r="V56" s="33" t="s">
        <v>273</v>
      </c>
    </row>
    <row r="57" customFormat="false" ht="15" hidden="false" customHeight="true" outlineLevel="0" collapsed="false">
      <c r="A57" s="23" t="s">
        <v>274</v>
      </c>
      <c r="B57" s="34" t="str">
        <f aca="false">IF($A57="","",IF(ISERROR(FIND(".",$A57)),"",LOWER(MID($A57,FIND(CHAR(1),SUBSTITUTE($A57,".",CHAR(1),LEN($A57)-LEN(SUBSTITUTE($A57,".",""))))+1,LEN($A57)))))</f>
        <v>com</v>
      </c>
      <c r="C57" s="35" t="n">
        <f aca="false">IF($B57="","",IFERROR(INDEX(Rubric!$B$15:$B$24,MATCH(LOWER($B57),Rubric!$A$15:$A$24,0)),INDEX(Rubric!$B$15:$B$24,MATCH("other",Rubric!$A$15:$A$24,0))))</f>
        <v>5</v>
      </c>
      <c r="D57" s="26" t="n">
        <v>4</v>
      </c>
      <c r="E57" s="26" t="n">
        <v>3</v>
      </c>
      <c r="F57" s="26" t="n">
        <v>5</v>
      </c>
      <c r="G57" s="26" t="n">
        <v>5</v>
      </c>
      <c r="H57" s="26" t="n">
        <v>5</v>
      </c>
      <c r="I57" s="26" t="s">
        <v>169</v>
      </c>
      <c r="J57" s="26" t="s">
        <v>169</v>
      </c>
      <c r="K57" s="41" t="n">
        <v>70000</v>
      </c>
      <c r="L57" s="27" t="n">
        <v>3500</v>
      </c>
      <c r="M57" s="36" t="n">
        <f aca="false">IF($B57="","",IFERROR(INDEX(Rubric!$C$15:$C$24,MATCH(LOWER($B57),Rubric!$A$15:$A$24,0)),INDEX(Rubric!$C$15:$C$24,MATCH("other",Rubric!$A$15:$A$24,0))))</f>
        <v>11</v>
      </c>
      <c r="N57" s="37" t="n">
        <f aca="false">IF(OR($A57="",$C57=""),"",$C57*Rubric!$B$5+$D57*Rubric!$B$6+$E57*Rubric!$B$7+$F57*Rubric!$B$8+$G57*Rubric!$B$9+$H57*Rubric!$B$10)</f>
        <v>4.35</v>
      </c>
      <c r="O57" s="38" t="str">
        <f aca="false">IF($A57="","",IF(OR(UPPER($I57)="Y",UPPER($J57)="Y"),"FAIL","PASS"))</f>
        <v>PASS</v>
      </c>
      <c r="P57" s="39" t="n">
        <f aca="false">IF(OR($A57="",$L57=""),"",MAX(0,$L57-MAX($L57*Assumptions!$B$4,Assumptions!$B$5)))</f>
        <v>2800</v>
      </c>
      <c r="Q57" s="40" t="n">
        <f aca="false">IF($A57="","",Assumptions!$B$13)</f>
        <v>0.0960792032000001</v>
      </c>
      <c r="R57" s="39" t="n">
        <f aca="false">IF(OR($A57="",$M57=""),"",$M57*Assumptions!$B$7)</f>
        <v>55</v>
      </c>
      <c r="S57" s="39" t="n">
        <f aca="false">IF(OR($A57="",$P57="",$R57=""),"",MAX(0,$P57*$Q57-$R57))</f>
        <v>214.02176896</v>
      </c>
      <c r="T57" s="38" t="str">
        <f aca="false">IF($A57="","",IF($O57="FAIL","REJECT",IF($N57&gt;=4,IF(AND($K57&lt;&gt;"",$K57&gt;$S57),"BUY IF CHEAPER","BUY"),IF($N57&gt;=3.2,"WATCH","PASS"))))</f>
        <v>BUY IF CHEAPER</v>
      </c>
      <c r="U57" s="26" t="s">
        <v>197</v>
      </c>
      <c r="V57" s="33" t="s">
        <v>275</v>
      </c>
    </row>
    <row r="58" customFormat="false" ht="15" hidden="false" customHeight="true" outlineLevel="0" collapsed="false">
      <c r="A58" s="23" t="s">
        <v>276</v>
      </c>
      <c r="B58" s="34" t="str">
        <f aca="false">IF($A58="","",IF(ISERROR(FIND(".",$A58)),"",LOWER(MID($A58,FIND(CHAR(1),SUBSTITUTE($A58,".",CHAR(1),LEN($A58)-LEN(SUBSTITUTE($A58,".",""))))+1,LEN($A58)))))</f>
        <v>com</v>
      </c>
      <c r="C58" s="35" t="n">
        <f aca="false">IF($B58="","",IFERROR(INDEX(Rubric!$B$15:$B$24,MATCH(LOWER($B58),Rubric!$A$15:$A$24,0)),INDEX(Rubric!$B$15:$B$24,MATCH("other",Rubric!$A$15:$A$24,0))))</f>
        <v>5</v>
      </c>
      <c r="D58" s="26" t="n">
        <v>3</v>
      </c>
      <c r="E58" s="26" t="n">
        <v>2</v>
      </c>
      <c r="F58" s="26" t="n">
        <v>5</v>
      </c>
      <c r="G58" s="26" t="n">
        <v>4</v>
      </c>
      <c r="H58" s="26" t="n">
        <v>5</v>
      </c>
      <c r="I58" s="26" t="s">
        <v>169</v>
      </c>
      <c r="J58" s="26" t="s">
        <v>169</v>
      </c>
      <c r="K58" s="41" t="n">
        <v>2995</v>
      </c>
      <c r="L58" s="27" t="n">
        <v>2000</v>
      </c>
      <c r="M58" s="36" t="n">
        <f aca="false">IF($B58="","",IFERROR(INDEX(Rubric!$C$15:$C$24,MATCH(LOWER($B58),Rubric!$A$15:$A$24,0)),INDEX(Rubric!$C$15:$C$24,MATCH("other",Rubric!$A$15:$A$24,0))))</f>
        <v>11</v>
      </c>
      <c r="N58" s="37" t="n">
        <f aca="false">IF(OR($A58="",$C58=""),"",$C58*Rubric!$B$5+$D58*Rubric!$B$6+$E58*Rubric!$B$7+$F58*Rubric!$B$8+$G58*Rubric!$B$9+$H58*Rubric!$B$10)</f>
        <v>3.8</v>
      </c>
      <c r="O58" s="38" t="str">
        <f aca="false">IF($A58="","",IF(OR(UPPER($I58)="Y",UPPER($J58)="Y"),"FAIL","PASS"))</f>
        <v>PASS</v>
      </c>
      <c r="P58" s="39" t="n">
        <f aca="false">IF(OR($A58="",$L58=""),"",MAX(0,$L58-MAX($L58*Assumptions!$B$4,Assumptions!$B$5)))</f>
        <v>1600</v>
      </c>
      <c r="Q58" s="40" t="n">
        <f aca="false">IF($A58="","",Assumptions!$B$13)</f>
        <v>0.0960792032000001</v>
      </c>
      <c r="R58" s="39" t="n">
        <f aca="false">IF(OR($A58="",$M58=""),"",$M58*Assumptions!$B$7)</f>
        <v>55</v>
      </c>
      <c r="S58" s="39" t="n">
        <f aca="false">IF(OR($A58="",$P58="",$R58=""),"",MAX(0,$P58*$Q58-$R58))</f>
        <v>98.7267251200001</v>
      </c>
      <c r="T58" s="38" t="str">
        <f aca="false">IF($A58="","",IF($O58="FAIL","REJECT",IF($N58&gt;=4,IF(AND($K58&lt;&gt;"",$K58&gt;$S58),"BUY IF CHEAPER","BUY"),IF($N58&gt;=3.2,"WATCH","PASS"))))</f>
        <v>WATCH</v>
      </c>
      <c r="U58" s="26" t="s">
        <v>197</v>
      </c>
      <c r="V58" s="33" t="s">
        <v>277</v>
      </c>
    </row>
    <row r="59" customFormat="false" ht="15" hidden="false" customHeight="true" outlineLevel="0" collapsed="false">
      <c r="A59" s="23" t="s">
        <v>278</v>
      </c>
      <c r="B59" s="34" t="str">
        <f aca="false">IF($A59="","",IF(ISERROR(FIND(".",$A59)),"",LOWER(MID($A59,FIND(CHAR(1),SUBSTITUTE($A59,".",CHAR(1),LEN($A59)-LEN(SUBSTITUTE($A59,".",""))))+1,LEN($A59)))))</f>
        <v>com</v>
      </c>
      <c r="C59" s="35" t="n">
        <f aca="false">IF($B59="","",IFERROR(INDEX(Rubric!$B$15:$B$24,MATCH(LOWER($B59),Rubric!$A$15:$A$24,0)),INDEX(Rubric!$B$15:$B$24,MATCH("other",Rubric!$A$15:$A$24,0))))</f>
        <v>5</v>
      </c>
      <c r="D59" s="26" t="n">
        <v>3</v>
      </c>
      <c r="E59" s="26" t="n">
        <v>2</v>
      </c>
      <c r="F59" s="26" t="n">
        <v>5</v>
      </c>
      <c r="G59" s="26" t="n">
        <v>4</v>
      </c>
      <c r="H59" s="26" t="n">
        <v>5</v>
      </c>
      <c r="I59" s="26" t="s">
        <v>169</v>
      </c>
      <c r="J59" s="26" t="s">
        <v>169</v>
      </c>
      <c r="K59" s="27"/>
      <c r="L59" s="27" t="n">
        <v>2500</v>
      </c>
      <c r="M59" s="36" t="n">
        <f aca="false">IF($B59="","",IFERROR(INDEX(Rubric!$C$15:$C$24,MATCH(LOWER($B59),Rubric!$A$15:$A$24,0)),INDEX(Rubric!$C$15:$C$24,MATCH("other",Rubric!$A$15:$A$24,0))))</f>
        <v>11</v>
      </c>
      <c r="N59" s="37" t="n">
        <f aca="false">IF(OR($A59="",$C59=""),"",$C59*Rubric!$B$5+$D59*Rubric!$B$6+$E59*Rubric!$B$7+$F59*Rubric!$B$8+$G59*Rubric!$B$9+$H59*Rubric!$B$10)</f>
        <v>3.8</v>
      </c>
      <c r="O59" s="38" t="str">
        <f aca="false">IF($A59="","",IF(OR(UPPER($I59)="Y",UPPER($J59)="Y"),"FAIL","PASS"))</f>
        <v>PASS</v>
      </c>
      <c r="P59" s="39" t="n">
        <f aca="false">IF(OR($A59="",$L59=""),"",MAX(0,$L59-MAX($L59*Assumptions!$B$4,Assumptions!$B$5)))</f>
        <v>2000</v>
      </c>
      <c r="Q59" s="40" t="n">
        <f aca="false">IF($A59="","",Assumptions!$B$13)</f>
        <v>0.0960792032000001</v>
      </c>
      <c r="R59" s="39" t="n">
        <f aca="false">IF(OR($A59="",$M59=""),"",$M59*Assumptions!$B$7)</f>
        <v>55</v>
      </c>
      <c r="S59" s="39" t="n">
        <f aca="false">IF(OR($A59="",$P59="",$R59=""),"",MAX(0,$P59*$Q59-$R59))</f>
        <v>137.1584064</v>
      </c>
      <c r="T59" s="38" t="str">
        <f aca="false">IF($A59="","",IF($O59="FAIL","REJECT",IF($N59&gt;=4,IF(AND($K59&lt;&gt;"",$K59&gt;$S59),"BUY IF CHEAPER","BUY"),IF($N59&gt;=3.2,"WATCH","PASS"))))</f>
        <v>WATCH</v>
      </c>
      <c r="U59" s="26" t="s">
        <v>170</v>
      </c>
      <c r="V59" s="33" t="s">
        <v>279</v>
      </c>
    </row>
    <row r="60" customFormat="false" ht="15" hidden="false" customHeight="true" outlineLevel="0" collapsed="false">
      <c r="A60" s="23" t="s">
        <v>280</v>
      </c>
      <c r="B60" s="34" t="str">
        <f aca="false">IF($A60="","",IF(ISERROR(FIND(".",$A60)),"",LOWER(MID($A60,FIND(CHAR(1),SUBSTITUTE($A60,".",CHAR(1),LEN($A60)-LEN(SUBSTITUTE($A60,".",""))))+1,LEN($A60)))))</f>
        <v>com</v>
      </c>
      <c r="C60" s="35" t="n">
        <f aca="false">IF($B60="","",IFERROR(INDEX(Rubric!$B$15:$B$24,MATCH(LOWER($B60),Rubric!$A$15:$A$24,0)),INDEX(Rubric!$B$15:$B$24,MATCH("other",Rubric!$A$15:$A$24,0))))</f>
        <v>5</v>
      </c>
      <c r="D60" s="26" t="n">
        <v>3</v>
      </c>
      <c r="E60" s="26" t="n">
        <v>2</v>
      </c>
      <c r="F60" s="26" t="n">
        <v>4</v>
      </c>
      <c r="G60" s="26" t="n">
        <v>4</v>
      </c>
      <c r="H60" s="26" t="n">
        <v>5</v>
      </c>
      <c r="I60" s="26" t="s">
        <v>169</v>
      </c>
      <c r="J60" s="26" t="s">
        <v>169</v>
      </c>
      <c r="K60" s="27"/>
      <c r="L60" s="27" t="n">
        <v>2200</v>
      </c>
      <c r="M60" s="36" t="n">
        <f aca="false">IF($B60="","",IFERROR(INDEX(Rubric!$C$15:$C$24,MATCH(LOWER($B60),Rubric!$A$15:$A$24,0)),INDEX(Rubric!$C$15:$C$24,MATCH("other",Rubric!$A$15:$A$24,0))))</f>
        <v>11</v>
      </c>
      <c r="N60" s="37" t="n">
        <f aca="false">IF(OR($A60="",$C60=""),"",$C60*Rubric!$B$5+$D60*Rubric!$B$6+$E60*Rubric!$B$7+$F60*Rubric!$B$8+$G60*Rubric!$B$9+$H60*Rubric!$B$10)</f>
        <v>3.65</v>
      </c>
      <c r="O60" s="38" t="str">
        <f aca="false">IF($A60="","",IF(OR(UPPER($I60)="Y",UPPER($J60)="Y"),"FAIL","PASS"))</f>
        <v>PASS</v>
      </c>
      <c r="P60" s="39" t="n">
        <f aca="false">IF(OR($A60="",$L60=""),"",MAX(0,$L60-MAX($L60*Assumptions!$B$4,Assumptions!$B$5)))</f>
        <v>1760</v>
      </c>
      <c r="Q60" s="40" t="n">
        <f aca="false">IF($A60="","",Assumptions!$B$13)</f>
        <v>0.0960792032000001</v>
      </c>
      <c r="R60" s="39" t="n">
        <f aca="false">IF(OR($A60="",$M60=""),"",$M60*Assumptions!$B$7)</f>
        <v>55</v>
      </c>
      <c r="S60" s="39" t="n">
        <f aca="false">IF(OR($A60="",$P60="",$R60=""),"",MAX(0,$P60*$Q60-$R60))</f>
        <v>114.099397632</v>
      </c>
      <c r="T60" s="38" t="str">
        <f aca="false">IF($A60="","",IF($O60="FAIL","REJECT",IF($N60&gt;=4,IF(AND($K60&lt;&gt;"",$K60&gt;$S60),"BUY IF CHEAPER","BUY"),IF($N60&gt;=3.2,"WATCH","PASS"))))</f>
        <v>WATCH</v>
      </c>
      <c r="U60" s="26" t="s">
        <v>170</v>
      </c>
      <c r="V60" s="33" t="s">
        <v>281</v>
      </c>
    </row>
    <row r="61" customFormat="false" ht="23.25" hidden="false" customHeight="true" outlineLevel="0" collapsed="false">
      <c r="A61" s="23" t="s">
        <v>282</v>
      </c>
      <c r="B61" s="34" t="str">
        <f aca="false">IF($A61="","",IF(ISERROR(FIND(".",$A61)),"",LOWER(MID($A61,FIND(CHAR(1),SUBSTITUTE($A61,".",CHAR(1),LEN($A61)-LEN(SUBSTITUTE($A61,".",""))))+1,LEN($A61)))))</f>
        <v>com</v>
      </c>
      <c r="C61" s="35" t="n">
        <f aca="false">IF($B61="","",IFERROR(INDEX(Rubric!$B$15:$B$24,MATCH(LOWER($B61),Rubric!$A$15:$A$24,0)),INDEX(Rubric!$B$15:$B$24,MATCH("other",Rubric!$A$15:$A$24,0))))</f>
        <v>5</v>
      </c>
      <c r="D61" s="26" t="n">
        <v>4</v>
      </c>
      <c r="E61" s="26" t="n">
        <v>2</v>
      </c>
      <c r="F61" s="26" t="n">
        <v>5</v>
      </c>
      <c r="G61" s="26" t="n">
        <v>5</v>
      </c>
      <c r="H61" s="26" t="n">
        <v>5</v>
      </c>
      <c r="I61" s="26" t="s">
        <v>169</v>
      </c>
      <c r="J61" s="26" t="s">
        <v>169</v>
      </c>
      <c r="K61" s="41"/>
      <c r="L61" s="27" t="n">
        <v>4000</v>
      </c>
      <c r="M61" s="36" t="n">
        <f aca="false">IF($B61="","",IFERROR(INDEX(Rubric!$C$15:$C$24,MATCH(LOWER($B61),Rubric!$A$15:$A$24,0)),INDEX(Rubric!$C$15:$C$24,MATCH("other",Rubric!$A$15:$A$24,0))))</f>
        <v>11</v>
      </c>
      <c r="N61" s="37" t="n">
        <f aca="false">IF(OR($A61="",$C61=""),"",$C61*Rubric!$B$5+$D61*Rubric!$B$6+$E61*Rubric!$B$7+$F61*Rubric!$B$8+$G61*Rubric!$B$9+$H61*Rubric!$B$10)</f>
        <v>4.15</v>
      </c>
      <c r="O61" s="38" t="str">
        <f aca="false">IF($A61="","",IF(OR(UPPER($I61)="Y",UPPER($J61)="Y"),"FAIL","PASS"))</f>
        <v>PASS</v>
      </c>
      <c r="P61" s="39" t="n">
        <f aca="false">IF(OR($A61="",$L61=""),"",MAX(0,$L61-MAX($L61*Assumptions!$B$4,Assumptions!$B$5)))</f>
        <v>3200</v>
      </c>
      <c r="Q61" s="40" t="n">
        <f aca="false">IF($A61="","",Assumptions!$B$13)</f>
        <v>0.0960792032000001</v>
      </c>
      <c r="R61" s="39" t="n">
        <f aca="false">IF(OR($A61="",$M61=""),"",$M61*Assumptions!$B$7)</f>
        <v>55</v>
      </c>
      <c r="S61" s="39" t="n">
        <f aca="false">IF(OR($A61="",$P61="",$R61=""),"",MAX(0,$P61*$Q61-$R61))</f>
        <v>252.45345024</v>
      </c>
      <c r="T61" s="38" t="str">
        <f aca="false">IF($A61="","",IF($O61="FAIL","REJECT",IF($N61&gt;=4,IF(AND($K61&lt;&gt;"",$K61&gt;$S61),"BUY IF CHEAPER","BUY"),IF($N61&gt;=3.2,"WATCH","PASS"))))</f>
        <v>BUY</v>
      </c>
      <c r="U61" s="26" t="s">
        <v>170</v>
      </c>
      <c r="V61" s="33" t="s">
        <v>283</v>
      </c>
    </row>
    <row r="62" customFormat="false" ht="23.25" hidden="false" customHeight="true" outlineLevel="0" collapsed="false">
      <c r="A62" s="23" t="s">
        <v>284</v>
      </c>
      <c r="B62" s="34" t="str">
        <f aca="false">IF($A62="","",IF(ISERROR(FIND(".",$A62)),"",LOWER(MID($A62,FIND(CHAR(1),SUBSTITUTE($A62,".",CHAR(1),LEN($A62)-LEN(SUBSTITUTE($A62,".",""))))+1,LEN($A62)))))</f>
        <v>com</v>
      </c>
      <c r="C62" s="35" t="n">
        <f aca="false">IF($B62="","",IFERROR(INDEX(Rubric!$B$15:$B$24,MATCH(LOWER($B62),Rubric!$A$15:$A$24,0)),INDEX(Rubric!$B$15:$B$24,MATCH("other",Rubric!$A$15:$A$24,0))))</f>
        <v>5</v>
      </c>
      <c r="D62" s="26" t="n">
        <v>4</v>
      </c>
      <c r="E62" s="26" t="n">
        <v>2</v>
      </c>
      <c r="F62" s="26" t="n">
        <v>3</v>
      </c>
      <c r="G62" s="26" t="n">
        <v>5</v>
      </c>
      <c r="H62" s="26" t="n">
        <v>5</v>
      </c>
      <c r="I62" s="26" t="s">
        <v>169</v>
      </c>
      <c r="J62" s="26" t="s">
        <v>169</v>
      </c>
      <c r="K62" s="42" t="n">
        <v>14499</v>
      </c>
      <c r="L62" s="27" t="n">
        <v>3500</v>
      </c>
      <c r="M62" s="36" t="n">
        <f aca="false">IF($B62="","",IFERROR(INDEX(Rubric!$C$15:$C$24,MATCH(LOWER($B62),Rubric!$A$15:$A$24,0)),INDEX(Rubric!$C$15:$C$24,MATCH("other",Rubric!$A$15:$A$24,0))))</f>
        <v>11</v>
      </c>
      <c r="N62" s="37" t="n">
        <f aca="false">IF(OR($A62="",$C62=""),"",$C62*Rubric!$B$5+$D62*Rubric!$B$6+$E62*Rubric!$B$7+$F62*Rubric!$B$8+$G62*Rubric!$B$9+$H62*Rubric!$B$10)</f>
        <v>3.85</v>
      </c>
      <c r="O62" s="38" t="str">
        <f aca="false">IF($A62="","",IF(OR(UPPER($I62)="Y",UPPER($J62)="Y"),"FAIL","PASS"))</f>
        <v>PASS</v>
      </c>
      <c r="P62" s="39" t="n">
        <f aca="false">IF(OR($A62="",$L62=""),"",MAX(0,$L62-MAX($L62*Assumptions!$B$4,Assumptions!$B$5)))</f>
        <v>2800</v>
      </c>
      <c r="Q62" s="40" t="n">
        <f aca="false">IF($A62="","",Assumptions!$B$13)</f>
        <v>0.0960792032000001</v>
      </c>
      <c r="R62" s="39" t="n">
        <f aca="false">IF(OR($A62="",$M62=""),"",$M62*Assumptions!$B$7)</f>
        <v>55</v>
      </c>
      <c r="S62" s="39" t="n">
        <f aca="false">IF(OR($A62="",$P62="",$R62=""),"",MAX(0,$P62*$Q62-$R62))</f>
        <v>214.02176896</v>
      </c>
      <c r="T62" s="38" t="str">
        <f aca="false">IF($A62="","",IF($O62="FAIL","REJECT",IF($N62&gt;=4,IF(AND($K62&lt;&gt;"",$K62&gt;$S62),"BUY IF CHEAPER","BUY"),IF($N62&gt;=3.2,"WATCH","PASS"))))</f>
        <v>WATCH</v>
      </c>
      <c r="U62" s="26" t="s">
        <v>197</v>
      </c>
      <c r="V62" s="33" t="s">
        <v>285</v>
      </c>
    </row>
    <row r="63" customFormat="false" ht="23.25" hidden="false" customHeight="true" outlineLevel="0" collapsed="false">
      <c r="A63" s="23" t="s">
        <v>286</v>
      </c>
      <c r="B63" s="34" t="str">
        <f aca="false">IF($A63="","",IF(ISERROR(FIND(".",$A63)),"",LOWER(MID($A63,FIND(CHAR(1),SUBSTITUTE($A63,".",CHAR(1),LEN($A63)-LEN(SUBSTITUTE($A63,".",""))))+1,LEN($A63)))))</f>
        <v>com</v>
      </c>
      <c r="C63" s="35" t="n">
        <f aca="false">IF($B63="","",IFERROR(INDEX(Rubric!$B$15:$B$24,MATCH(LOWER($B63),Rubric!$A$15:$A$24,0)),INDEX(Rubric!$B$15:$B$24,MATCH("other",Rubric!$A$15:$A$24,0))))</f>
        <v>5</v>
      </c>
      <c r="D63" s="26" t="n">
        <v>4</v>
      </c>
      <c r="E63" s="26" t="n">
        <v>2</v>
      </c>
      <c r="F63" s="26" t="n">
        <v>5</v>
      </c>
      <c r="G63" s="26" t="n">
        <v>5</v>
      </c>
      <c r="H63" s="26" t="n">
        <v>5</v>
      </c>
      <c r="I63" s="26" t="s">
        <v>169</v>
      </c>
      <c r="J63" s="26" t="s">
        <v>169</v>
      </c>
      <c r="K63" s="41"/>
      <c r="L63" s="27" t="n">
        <v>3500</v>
      </c>
      <c r="M63" s="36" t="n">
        <f aca="false">IF($B63="","",IFERROR(INDEX(Rubric!$C$15:$C$24,MATCH(LOWER($B63),Rubric!$A$15:$A$24,0)),INDEX(Rubric!$C$15:$C$24,MATCH("other",Rubric!$A$15:$A$24,0))))</f>
        <v>11</v>
      </c>
      <c r="N63" s="37" t="n">
        <f aca="false">IF(OR($A63="",$C63=""),"",$C63*Rubric!$B$5+$D63*Rubric!$B$6+$E63*Rubric!$B$7+$F63*Rubric!$B$8+$G63*Rubric!$B$9+$H63*Rubric!$B$10)</f>
        <v>4.15</v>
      </c>
      <c r="O63" s="38" t="str">
        <f aca="false">IF($A63="","",IF(OR(UPPER($I63)="Y",UPPER($J63)="Y"),"FAIL","PASS"))</f>
        <v>PASS</v>
      </c>
      <c r="P63" s="39" t="n">
        <f aca="false">IF(OR($A63="",$L63=""),"",MAX(0,$L63-MAX($L63*Assumptions!$B$4,Assumptions!$B$5)))</f>
        <v>2800</v>
      </c>
      <c r="Q63" s="40" t="n">
        <f aca="false">IF($A63="","",Assumptions!$B$13)</f>
        <v>0.0960792032000001</v>
      </c>
      <c r="R63" s="39" t="n">
        <f aca="false">IF(OR($A63="",$M63=""),"",$M63*Assumptions!$B$7)</f>
        <v>55</v>
      </c>
      <c r="S63" s="39" t="n">
        <f aca="false">IF(OR($A63="",$P63="",$R63=""),"",MAX(0,$P63*$Q63-$R63))</f>
        <v>214.02176896</v>
      </c>
      <c r="T63" s="38" t="str">
        <f aca="false">IF($A63="","",IF($O63="FAIL","REJECT",IF($N63&gt;=4,IF(AND($K63&lt;&gt;"",$K63&gt;$S63),"BUY IF CHEAPER","BUY"),IF($N63&gt;=3.2,"WATCH","PASS"))))</f>
        <v>BUY</v>
      </c>
      <c r="U63" s="26" t="s">
        <v>170</v>
      </c>
      <c r="V63" s="33" t="s">
        <v>287</v>
      </c>
    </row>
    <row r="64" customFormat="false" ht="23.25" hidden="false" customHeight="true" outlineLevel="0" collapsed="false">
      <c r="A64" s="23" t="s">
        <v>288</v>
      </c>
      <c r="B64" s="34" t="str">
        <f aca="false">IF($A64="","",IF(ISERROR(FIND(".",$A64)),"",LOWER(MID($A64,FIND(CHAR(1),SUBSTITUTE($A64,".",CHAR(1),LEN($A64)-LEN(SUBSTITUTE($A64,".",""))))+1,LEN($A64)))))</f>
        <v>com</v>
      </c>
      <c r="C64" s="35" t="n">
        <f aca="false">IF($B64="","",IFERROR(INDEX(Rubric!$B$15:$B$24,MATCH(LOWER($B64),Rubric!$A$15:$A$24,0)),INDEX(Rubric!$B$15:$B$24,MATCH("other",Rubric!$A$15:$A$24,0))))</f>
        <v>5</v>
      </c>
      <c r="D64" s="26" t="n">
        <v>3</v>
      </c>
      <c r="E64" s="26" t="n">
        <v>2</v>
      </c>
      <c r="F64" s="26" t="n">
        <v>4</v>
      </c>
      <c r="G64" s="26" t="n">
        <v>5</v>
      </c>
      <c r="H64" s="26" t="n">
        <v>5</v>
      </c>
      <c r="I64" s="26" t="s">
        <v>169</v>
      </c>
      <c r="J64" s="26" t="s">
        <v>169</v>
      </c>
      <c r="K64" s="42" t="n">
        <v>2395</v>
      </c>
      <c r="L64" s="27" t="n">
        <v>2500</v>
      </c>
      <c r="M64" s="36" t="n">
        <f aca="false">IF($B64="","",IFERROR(INDEX(Rubric!$C$15:$C$24,MATCH(LOWER($B64),Rubric!$A$15:$A$24,0)),INDEX(Rubric!$C$15:$C$24,MATCH("other",Rubric!$A$15:$A$24,0))))</f>
        <v>11</v>
      </c>
      <c r="N64" s="37" t="n">
        <f aca="false">IF(OR($A64="",$C64=""),"",$C64*Rubric!$B$5+$D64*Rubric!$B$6+$E64*Rubric!$B$7+$F64*Rubric!$B$8+$G64*Rubric!$B$9+$H64*Rubric!$B$10)</f>
        <v>3.75</v>
      </c>
      <c r="O64" s="38" t="str">
        <f aca="false">IF($A64="","",IF(OR(UPPER($I64)="Y",UPPER($J64)="Y"),"FAIL","PASS"))</f>
        <v>PASS</v>
      </c>
      <c r="P64" s="39" t="n">
        <f aca="false">IF(OR($A64="",$L64=""),"",MAX(0,$L64-MAX($L64*Assumptions!$B$4,Assumptions!$B$5)))</f>
        <v>2000</v>
      </c>
      <c r="Q64" s="40" t="n">
        <f aca="false">IF($A64="","",Assumptions!$B$13)</f>
        <v>0.0960792032000001</v>
      </c>
      <c r="R64" s="39" t="n">
        <f aca="false">IF(OR($A64="",$M64=""),"",$M64*Assumptions!$B$7)</f>
        <v>55</v>
      </c>
      <c r="S64" s="39" t="n">
        <f aca="false">IF(OR($A64="",$P64="",$R64=""),"",MAX(0,$P64*$Q64-$R64))</f>
        <v>137.1584064</v>
      </c>
      <c r="T64" s="38" t="str">
        <f aca="false">IF($A64="","",IF($O64="FAIL","REJECT",IF($N64&gt;=4,IF(AND($K64&lt;&gt;"",$K64&gt;$S64),"BUY IF CHEAPER","BUY"),IF($N64&gt;=3.2,"WATCH","PASS"))))</f>
        <v>WATCH</v>
      </c>
      <c r="U64" s="26" t="s">
        <v>197</v>
      </c>
      <c r="V64" s="33" t="s">
        <v>289</v>
      </c>
    </row>
    <row r="65" customFormat="false" ht="23.25" hidden="false" customHeight="true" outlineLevel="0" collapsed="false">
      <c r="A65" s="23" t="s">
        <v>290</v>
      </c>
      <c r="B65" s="34" t="str">
        <f aca="false">IF($A65="","",IF(ISERROR(FIND(".",$A65)),"",LOWER(MID($A65,FIND(CHAR(1),SUBSTITUTE($A65,".",CHAR(1),LEN($A65)-LEN(SUBSTITUTE($A65,".",""))))+1,LEN($A65)))))</f>
        <v>com</v>
      </c>
      <c r="C65" s="35" t="n">
        <f aca="false">IF($B65="","",IFERROR(INDEX(Rubric!$B$15:$B$24,MATCH(LOWER($B65),Rubric!$A$15:$A$24,0)),INDEX(Rubric!$B$15:$B$24,MATCH("other",Rubric!$A$15:$A$24,0))))</f>
        <v>5</v>
      </c>
      <c r="D65" s="26" t="n">
        <v>4</v>
      </c>
      <c r="E65" s="26" t="n">
        <v>3</v>
      </c>
      <c r="F65" s="26" t="n">
        <v>4</v>
      </c>
      <c r="G65" s="26" t="n">
        <v>5</v>
      </c>
      <c r="H65" s="26" t="n">
        <v>4</v>
      </c>
      <c r="I65" s="26" t="s">
        <v>169</v>
      </c>
      <c r="J65" s="26" t="s">
        <v>169</v>
      </c>
      <c r="K65" s="41"/>
      <c r="L65" s="27" t="n">
        <v>6000</v>
      </c>
      <c r="M65" s="36" t="n">
        <f aca="false">IF($B65="","",IFERROR(INDEX(Rubric!$C$15:$C$24,MATCH(LOWER($B65),Rubric!$A$15:$A$24,0)),INDEX(Rubric!$C$15:$C$24,MATCH("other",Rubric!$A$15:$A$24,0))))</f>
        <v>11</v>
      </c>
      <c r="N65" s="37" t="n">
        <f aca="false">IF(OR($A65="",$C65=""),"",$C65*Rubric!$B$5+$D65*Rubric!$B$6+$E65*Rubric!$B$7+$F65*Rubric!$B$8+$G65*Rubric!$B$9+$H65*Rubric!$B$10)</f>
        <v>4.1</v>
      </c>
      <c r="O65" s="38" t="str">
        <f aca="false">IF($A65="","",IF(OR(UPPER($I65)="Y",UPPER($J65)="Y"),"FAIL","PASS"))</f>
        <v>PASS</v>
      </c>
      <c r="P65" s="39" t="n">
        <f aca="false">IF(OR($A65="",$L65=""),"",MAX(0,$L65-MAX($L65*Assumptions!$B$4,Assumptions!$B$5)))</f>
        <v>4800</v>
      </c>
      <c r="Q65" s="40" t="n">
        <f aca="false">IF($A65="","",Assumptions!$B$13)</f>
        <v>0.0960792032000001</v>
      </c>
      <c r="R65" s="39" t="n">
        <f aca="false">IF(OR($A65="",$M65=""),"",$M65*Assumptions!$B$7)</f>
        <v>55</v>
      </c>
      <c r="S65" s="39" t="n">
        <f aca="false">IF(OR($A65="",$P65="",$R65=""),"",MAX(0,$P65*$Q65-$R65))</f>
        <v>406.18017536</v>
      </c>
      <c r="T65" s="38" t="str">
        <f aca="false">IF($A65="","",IF($O65="FAIL","REJECT",IF($N65&gt;=4,IF(AND($K65&lt;&gt;"",$K65&gt;$S65),"BUY IF CHEAPER","BUY"),IF($N65&gt;=3.2,"WATCH","PASS"))))</f>
        <v>BUY</v>
      </c>
      <c r="U65" s="26" t="s">
        <v>170</v>
      </c>
      <c r="V65" s="33" t="s">
        <v>291</v>
      </c>
    </row>
    <row r="66" customFormat="false" ht="15" hidden="false" customHeight="true" outlineLevel="0" collapsed="false">
      <c r="A66" s="23" t="s">
        <v>292</v>
      </c>
      <c r="B66" s="34" t="str">
        <f aca="false">IF($A66="","",IF(ISERROR(FIND(".",$A66)),"",LOWER(MID($A66,FIND(CHAR(1),SUBSTITUTE($A66,".",CHAR(1),LEN($A66)-LEN(SUBSTITUTE($A66,".",""))))+1,LEN($A66)))))</f>
        <v>com</v>
      </c>
      <c r="C66" s="35" t="n">
        <f aca="false">IF($B66="","",IFERROR(INDEX(Rubric!$B$15:$B$24,MATCH(LOWER($B66),Rubric!$A$15:$A$24,0)),INDEX(Rubric!$B$15:$B$24,MATCH("other",Rubric!$A$15:$A$24,0))))</f>
        <v>5</v>
      </c>
      <c r="D66" s="26" t="n">
        <v>4</v>
      </c>
      <c r="E66" s="26" t="n">
        <v>2</v>
      </c>
      <c r="F66" s="26" t="n">
        <v>4</v>
      </c>
      <c r="G66" s="26" t="n">
        <v>4</v>
      </c>
      <c r="H66" s="26" t="n">
        <v>4</v>
      </c>
      <c r="I66" s="26" t="s">
        <v>169</v>
      </c>
      <c r="J66" s="26" t="s">
        <v>169</v>
      </c>
      <c r="K66" s="41"/>
      <c r="L66" s="27" t="n">
        <v>4000</v>
      </c>
      <c r="M66" s="36" t="n">
        <f aca="false">IF($B66="","",IFERROR(INDEX(Rubric!$C$15:$C$24,MATCH(LOWER($B66),Rubric!$A$15:$A$24,0)),INDEX(Rubric!$C$15:$C$24,MATCH("other",Rubric!$A$15:$A$24,0))))</f>
        <v>11</v>
      </c>
      <c r="N66" s="37" t="n">
        <f aca="false">IF(OR($A66="",$C66=""),"",$C66*Rubric!$B$5+$D66*Rubric!$B$6+$E66*Rubric!$B$7+$F66*Rubric!$B$8+$G66*Rubric!$B$9+$H66*Rubric!$B$10)</f>
        <v>3.8</v>
      </c>
      <c r="O66" s="38" t="str">
        <f aca="false">IF($A66="","",IF(OR(UPPER($I66)="Y",UPPER($J66)="Y"),"FAIL","PASS"))</f>
        <v>PASS</v>
      </c>
      <c r="P66" s="39" t="n">
        <f aca="false">IF(OR($A66="",$L66=""),"",MAX(0,$L66-MAX($L66*Assumptions!$B$4,Assumptions!$B$5)))</f>
        <v>3200</v>
      </c>
      <c r="Q66" s="40" t="n">
        <f aca="false">IF($A66="","",Assumptions!$B$13)</f>
        <v>0.0960792032000001</v>
      </c>
      <c r="R66" s="39" t="n">
        <f aca="false">IF(OR($A66="",$M66=""),"",$M66*Assumptions!$B$7)</f>
        <v>55</v>
      </c>
      <c r="S66" s="39" t="n">
        <f aca="false">IF(OR($A66="",$P66="",$R66=""),"",MAX(0,$P66*$Q66-$R66))</f>
        <v>252.45345024</v>
      </c>
      <c r="T66" s="38" t="str">
        <f aca="false">IF($A66="","",IF($O66="FAIL","REJECT",IF($N66&gt;=4,IF(AND($K66&lt;&gt;"",$K66&gt;$S66),"BUY IF CHEAPER","BUY"),IF($N66&gt;=3.2,"WATCH","PASS"))))</f>
        <v>WATCH</v>
      </c>
      <c r="U66" s="26" t="s">
        <v>170</v>
      </c>
      <c r="V66" s="33" t="s">
        <v>293</v>
      </c>
    </row>
    <row r="67" customFormat="false" ht="15" hidden="false" customHeight="true" outlineLevel="0" collapsed="false">
      <c r="A67" s="23" t="s">
        <v>294</v>
      </c>
      <c r="B67" s="34" t="str">
        <f aca="false">IF($A67="","",IF(ISERROR(FIND(".",$A67)),"",LOWER(MID($A67,FIND(CHAR(1),SUBSTITUTE($A67,".",CHAR(1),LEN($A67)-LEN(SUBSTITUTE($A67,".",""))))+1,LEN($A67)))))</f>
        <v>com</v>
      </c>
      <c r="C67" s="35" t="n">
        <f aca="false">IF($B67="","",IFERROR(INDEX(Rubric!$B$15:$B$24,MATCH(LOWER($B67),Rubric!$A$15:$A$24,0)),INDEX(Rubric!$B$15:$B$24,MATCH("other",Rubric!$A$15:$A$24,0))))</f>
        <v>5</v>
      </c>
      <c r="D67" s="26" t="n">
        <v>4</v>
      </c>
      <c r="E67" s="26" t="n">
        <v>3</v>
      </c>
      <c r="F67" s="26" t="n">
        <v>5</v>
      </c>
      <c r="G67" s="26" t="n">
        <v>5</v>
      </c>
      <c r="H67" s="26" t="n">
        <v>3</v>
      </c>
      <c r="I67" s="26" t="s">
        <v>169</v>
      </c>
      <c r="J67" s="26" t="s">
        <v>169</v>
      </c>
      <c r="K67" s="41"/>
      <c r="L67" s="27" t="n">
        <v>6000</v>
      </c>
      <c r="M67" s="36" t="n">
        <f aca="false">IF($B67="","",IFERROR(INDEX(Rubric!$C$15:$C$24,MATCH(LOWER($B67),Rubric!$A$15:$A$24,0)),INDEX(Rubric!$C$15:$C$24,MATCH("other",Rubric!$A$15:$A$24,0))))</f>
        <v>11</v>
      </c>
      <c r="N67" s="37" t="n">
        <f aca="false">IF(OR($A67="",$C67=""),"",$C67*Rubric!$B$5+$D67*Rubric!$B$6+$E67*Rubric!$B$7+$F67*Rubric!$B$8+$G67*Rubric!$B$9+$H67*Rubric!$B$10)</f>
        <v>4.15</v>
      </c>
      <c r="O67" s="38" t="str">
        <f aca="false">IF($A67="","",IF(OR(UPPER($I67)="Y",UPPER($J67)="Y"),"FAIL","PASS"))</f>
        <v>PASS</v>
      </c>
      <c r="P67" s="39" t="n">
        <f aca="false">IF(OR($A67="",$L67=""),"",MAX(0,$L67-MAX($L67*Assumptions!$B$4,Assumptions!$B$5)))</f>
        <v>4800</v>
      </c>
      <c r="Q67" s="40" t="n">
        <f aca="false">IF($A67="","",Assumptions!$B$13)</f>
        <v>0.0960792032000001</v>
      </c>
      <c r="R67" s="39" t="n">
        <f aca="false">IF(OR($A67="",$M67=""),"",$M67*Assumptions!$B$7)</f>
        <v>55</v>
      </c>
      <c r="S67" s="39" t="n">
        <f aca="false">IF(OR($A67="",$P67="",$R67=""),"",MAX(0,$P67*$Q67-$R67))</f>
        <v>406.18017536</v>
      </c>
      <c r="T67" s="38" t="str">
        <f aca="false">IF($A67="","",IF($O67="FAIL","REJECT",IF($N67&gt;=4,IF(AND($K67&lt;&gt;"",$K67&gt;$S67),"BUY IF CHEAPER","BUY"),IF($N67&gt;=3.2,"WATCH","PASS"))))</f>
        <v>BUY</v>
      </c>
      <c r="U67" s="26" t="s">
        <v>170</v>
      </c>
      <c r="V67" s="33" t="s">
        <v>295</v>
      </c>
    </row>
    <row r="68" customFormat="false" ht="15" hidden="false" customHeight="true" outlineLevel="0" collapsed="false">
      <c r="A68" s="23" t="s">
        <v>296</v>
      </c>
      <c r="B68" s="34" t="str">
        <f aca="false">IF($A68="","",IF(ISERROR(FIND(".",$A68)),"",LOWER(MID($A68,FIND(CHAR(1),SUBSTITUTE($A68,".",CHAR(1),LEN($A68)-LEN(SUBSTITUTE($A68,".",""))))+1,LEN($A68)))))</f>
        <v>com</v>
      </c>
      <c r="C68" s="35" t="n">
        <f aca="false">IF($B68="","",IFERROR(INDEX(Rubric!$B$15:$B$24,MATCH(LOWER($B68),Rubric!$A$15:$A$24,0)),INDEX(Rubric!$B$15:$B$24,MATCH("other",Rubric!$A$15:$A$24,0))))</f>
        <v>5</v>
      </c>
      <c r="D68" s="26" t="n">
        <v>5</v>
      </c>
      <c r="E68" s="26" t="n">
        <v>3</v>
      </c>
      <c r="F68" s="26" t="n">
        <v>5</v>
      </c>
      <c r="G68" s="26" t="n">
        <v>5</v>
      </c>
      <c r="H68" s="26" t="n">
        <v>3</v>
      </c>
      <c r="I68" s="26" t="s">
        <v>169</v>
      </c>
      <c r="J68" s="26" t="s">
        <v>169</v>
      </c>
      <c r="K68" s="41"/>
      <c r="L68" s="27" t="n">
        <v>12000</v>
      </c>
      <c r="M68" s="36" t="n">
        <f aca="false">IF($B68="","",IFERROR(INDEX(Rubric!$C$15:$C$24,MATCH(LOWER($B68),Rubric!$A$15:$A$24,0)),INDEX(Rubric!$C$15:$C$24,MATCH("other",Rubric!$A$15:$A$24,0))))</f>
        <v>11</v>
      </c>
      <c r="N68" s="37" t="n">
        <f aca="false">IF(OR($A68="",$C68=""),"",$C68*Rubric!$B$5+$D68*Rubric!$B$6+$E68*Rubric!$B$7+$F68*Rubric!$B$8+$G68*Rubric!$B$9+$H68*Rubric!$B$10)</f>
        <v>4.4</v>
      </c>
      <c r="O68" s="38" t="str">
        <f aca="false">IF($A68="","",IF(OR(UPPER($I68)="Y",UPPER($J68)="Y"),"FAIL","PASS"))</f>
        <v>PASS</v>
      </c>
      <c r="P68" s="39" t="n">
        <f aca="false">IF(OR($A68="",$L68=""),"",MAX(0,$L68-MAX($L68*Assumptions!$B$4,Assumptions!$B$5)))</f>
        <v>9600</v>
      </c>
      <c r="Q68" s="40" t="n">
        <f aca="false">IF($A68="","",Assumptions!$B$13)</f>
        <v>0.0960792032000001</v>
      </c>
      <c r="R68" s="39" t="n">
        <f aca="false">IF(OR($A68="",$M68=""),"",$M68*Assumptions!$B$7)</f>
        <v>55</v>
      </c>
      <c r="S68" s="39" t="n">
        <f aca="false">IF(OR($A68="",$P68="",$R68=""),"",MAX(0,$P68*$Q68-$R68))</f>
        <v>867.360350720001</v>
      </c>
      <c r="T68" s="38" t="str">
        <f aca="false">IF($A68="","",IF($O68="FAIL","REJECT",IF($N68&gt;=4,IF(AND($K68&lt;&gt;"",$K68&gt;$S68),"BUY IF CHEAPER","BUY"),IF($N68&gt;=3.2,"WATCH","PASS"))))</f>
        <v>BUY</v>
      </c>
      <c r="U68" s="26" t="s">
        <v>170</v>
      </c>
      <c r="V68" s="33" t="s">
        <v>297</v>
      </c>
    </row>
    <row r="69" customFormat="false" ht="15" hidden="false" customHeight="true" outlineLevel="0" collapsed="false">
      <c r="A69" s="23" t="s">
        <v>298</v>
      </c>
      <c r="B69" s="34" t="str">
        <f aca="false">IF($A69="","",IF(ISERROR(FIND(".",$A69)),"",LOWER(MID($A69,FIND(CHAR(1),SUBSTITUTE($A69,".",CHAR(1),LEN($A69)-LEN(SUBSTITUTE($A69,".",""))))+1,LEN($A69)))))</f>
        <v>com</v>
      </c>
      <c r="C69" s="35" t="n">
        <f aca="false">IF($B69="","",IFERROR(INDEX(Rubric!$B$15:$B$24,MATCH(LOWER($B69),Rubric!$A$15:$A$24,0)),INDEX(Rubric!$B$15:$B$24,MATCH("other",Rubric!$A$15:$A$24,0))))</f>
        <v>5</v>
      </c>
      <c r="D69" s="26" t="n">
        <v>4</v>
      </c>
      <c r="E69" s="26" t="n">
        <v>3</v>
      </c>
      <c r="F69" s="26" t="n">
        <v>4</v>
      </c>
      <c r="G69" s="26" t="n">
        <v>4</v>
      </c>
      <c r="H69" s="26" t="n">
        <v>4</v>
      </c>
      <c r="I69" s="26" t="s">
        <v>169</v>
      </c>
      <c r="J69" s="26" t="s">
        <v>169</v>
      </c>
      <c r="K69" s="42" t="n">
        <v>55000</v>
      </c>
      <c r="L69" s="27" t="n">
        <v>5000</v>
      </c>
      <c r="M69" s="36" t="n">
        <f aca="false">IF($B69="","",IFERROR(INDEX(Rubric!$C$15:$C$24,MATCH(LOWER($B69),Rubric!$A$15:$A$24,0)),INDEX(Rubric!$C$15:$C$24,MATCH("other",Rubric!$A$15:$A$24,0))))</f>
        <v>11</v>
      </c>
      <c r="N69" s="37" t="n">
        <f aca="false">IF(OR($A69="",$C69=""),"",$C69*Rubric!$B$5+$D69*Rubric!$B$6+$E69*Rubric!$B$7+$F69*Rubric!$B$8+$G69*Rubric!$B$9+$H69*Rubric!$B$10)</f>
        <v>4</v>
      </c>
      <c r="O69" s="38" t="str">
        <f aca="false">IF($A69="","",IF(OR(UPPER($I69)="Y",UPPER($J69)="Y"),"FAIL","PASS"))</f>
        <v>PASS</v>
      </c>
      <c r="P69" s="39" t="n">
        <f aca="false">IF(OR($A69="",$L69=""),"",MAX(0,$L69-MAX($L69*Assumptions!$B$4,Assumptions!$B$5)))</f>
        <v>4000</v>
      </c>
      <c r="Q69" s="40" t="n">
        <f aca="false">IF($A69="","",Assumptions!$B$13)</f>
        <v>0.0960792032000001</v>
      </c>
      <c r="R69" s="39" t="n">
        <f aca="false">IF(OR($A69="",$M69=""),"",$M69*Assumptions!$B$7)</f>
        <v>55</v>
      </c>
      <c r="S69" s="39" t="n">
        <f aca="false">IF(OR($A69="",$P69="",$R69=""),"",MAX(0,$P69*$Q69-$R69))</f>
        <v>329.3168128</v>
      </c>
      <c r="T69" s="38" t="str">
        <f aca="false">IF($A69="","",IF($O69="FAIL","REJECT",IF($N69&gt;=4,IF(AND($K69&lt;&gt;"",$K69&gt;$S69),"BUY IF CHEAPER","BUY"),IF($N69&gt;=3.2,"WATCH","PASS"))))</f>
        <v>BUY IF CHEAPER</v>
      </c>
      <c r="U69" s="26" t="s">
        <v>197</v>
      </c>
      <c r="V69" s="33" t="s">
        <v>299</v>
      </c>
    </row>
    <row r="70" customFormat="false" ht="23.25" hidden="false" customHeight="true" outlineLevel="0" collapsed="false">
      <c r="A70" s="23" t="s">
        <v>300</v>
      </c>
      <c r="B70" s="34" t="str">
        <f aca="false">IF($A70="","",IF(ISERROR(FIND(".",$A70)),"",LOWER(MID($A70,FIND(CHAR(1),SUBSTITUTE($A70,".",CHAR(1),LEN($A70)-LEN(SUBSTITUTE($A70,".",""))))+1,LEN($A70)))))</f>
        <v>com</v>
      </c>
      <c r="C70" s="35" t="n">
        <f aca="false">IF($B70="","",IFERROR(INDEX(Rubric!$B$15:$B$24,MATCH(LOWER($B70),Rubric!$A$15:$A$24,0)),INDEX(Rubric!$B$15:$B$24,MATCH("other",Rubric!$A$15:$A$24,0))))</f>
        <v>5</v>
      </c>
      <c r="D70" s="26" t="n">
        <v>3</v>
      </c>
      <c r="E70" s="26" t="n">
        <v>2</v>
      </c>
      <c r="F70" s="26" t="n">
        <v>3</v>
      </c>
      <c r="G70" s="26" t="n">
        <v>4</v>
      </c>
      <c r="H70" s="26" t="n">
        <v>4</v>
      </c>
      <c r="I70" s="26" t="s">
        <v>169</v>
      </c>
      <c r="J70" s="26" t="s">
        <v>169</v>
      </c>
      <c r="K70" s="41"/>
      <c r="L70" s="27" t="n">
        <v>3000</v>
      </c>
      <c r="M70" s="36" t="n">
        <f aca="false">IF($B70="","",IFERROR(INDEX(Rubric!$C$15:$C$24,MATCH(LOWER($B70),Rubric!$A$15:$A$24,0)),INDEX(Rubric!$C$15:$C$24,MATCH("other",Rubric!$A$15:$A$24,0))))</f>
        <v>11</v>
      </c>
      <c r="N70" s="37" t="n">
        <f aca="false">IF(OR($A70="",$C70=""),"",$C70*Rubric!$B$5+$D70*Rubric!$B$6+$E70*Rubric!$B$7+$F70*Rubric!$B$8+$G70*Rubric!$B$9+$H70*Rubric!$B$10)</f>
        <v>3.4</v>
      </c>
      <c r="O70" s="38" t="str">
        <f aca="false">IF($A70="","",IF(OR(UPPER($I70)="Y",UPPER($J70)="Y"),"FAIL","PASS"))</f>
        <v>PASS</v>
      </c>
      <c r="P70" s="39" t="n">
        <f aca="false">IF(OR($A70="",$L70=""),"",MAX(0,$L70-MAX($L70*Assumptions!$B$4,Assumptions!$B$5)))</f>
        <v>2400</v>
      </c>
      <c r="Q70" s="40" t="n">
        <f aca="false">IF($A70="","",Assumptions!$B$13)</f>
        <v>0.0960792032000001</v>
      </c>
      <c r="R70" s="39" t="n">
        <f aca="false">IF(OR($A70="",$M70=""),"",$M70*Assumptions!$B$7)</f>
        <v>55</v>
      </c>
      <c r="S70" s="39" t="n">
        <f aca="false">IF(OR($A70="",$P70="",$R70=""),"",MAX(0,$P70*$Q70-$R70))</f>
        <v>175.59008768</v>
      </c>
      <c r="T70" s="38" t="str">
        <f aca="false">IF($A70="","",IF($O70="FAIL","REJECT",IF($N70&gt;=4,IF(AND($K70&lt;&gt;"",$K70&gt;$S70),"BUY IF CHEAPER","BUY"),IF($N70&gt;=3.2,"WATCH","PASS"))))</f>
        <v>WATCH</v>
      </c>
      <c r="U70" s="26" t="s">
        <v>170</v>
      </c>
      <c r="V70" s="33" t="s">
        <v>301</v>
      </c>
    </row>
    <row r="71" customFormat="false" ht="23.25" hidden="false" customHeight="true" outlineLevel="0" collapsed="false">
      <c r="A71" s="23" t="s">
        <v>302</v>
      </c>
      <c r="B71" s="34" t="str">
        <f aca="false">IF($A71="","",IF(ISERROR(FIND(".",$A71)),"",LOWER(MID($A71,FIND(CHAR(1),SUBSTITUTE($A71,".",CHAR(1),LEN($A71)-LEN(SUBSTITUTE($A71,".",""))))+1,LEN($A71)))))</f>
        <v>com</v>
      </c>
      <c r="C71" s="35" t="n">
        <f aca="false">IF($B71="","",IFERROR(INDEX(Rubric!$B$15:$B$24,MATCH(LOWER($B71),Rubric!$A$15:$A$24,0)),INDEX(Rubric!$B$15:$B$24,MATCH("other",Rubric!$A$15:$A$24,0))))</f>
        <v>5</v>
      </c>
      <c r="D71" s="26" t="n">
        <v>3</v>
      </c>
      <c r="E71" s="26" t="n">
        <v>2</v>
      </c>
      <c r="F71" s="26" t="n">
        <v>4</v>
      </c>
      <c r="G71" s="26" t="n">
        <v>4</v>
      </c>
      <c r="H71" s="26" t="n">
        <v>4</v>
      </c>
      <c r="I71" s="26" t="s">
        <v>169</v>
      </c>
      <c r="J71" s="26" t="s">
        <v>169</v>
      </c>
      <c r="K71" s="41"/>
      <c r="L71" s="27" t="n">
        <v>3500</v>
      </c>
      <c r="M71" s="36" t="n">
        <f aca="false">IF($B71="","",IFERROR(INDEX(Rubric!$C$15:$C$24,MATCH(LOWER($B71),Rubric!$A$15:$A$24,0)),INDEX(Rubric!$C$15:$C$24,MATCH("other",Rubric!$A$15:$A$24,0))))</f>
        <v>11</v>
      </c>
      <c r="N71" s="37" t="n">
        <f aca="false">IF(OR($A71="",$C71=""),"",$C71*Rubric!$B$5+$D71*Rubric!$B$6+$E71*Rubric!$B$7+$F71*Rubric!$B$8+$G71*Rubric!$B$9+$H71*Rubric!$B$10)</f>
        <v>3.55</v>
      </c>
      <c r="O71" s="38" t="str">
        <f aca="false">IF($A71="","",IF(OR(UPPER($I71)="Y",UPPER($J71)="Y"),"FAIL","PASS"))</f>
        <v>PASS</v>
      </c>
      <c r="P71" s="39" t="n">
        <f aca="false">IF(OR($A71="",$L71=""),"",MAX(0,$L71-MAX($L71*Assumptions!$B$4,Assumptions!$B$5)))</f>
        <v>2800</v>
      </c>
      <c r="Q71" s="40" t="n">
        <f aca="false">IF($A71="","",Assumptions!$B$13)</f>
        <v>0.0960792032000001</v>
      </c>
      <c r="R71" s="39" t="n">
        <f aca="false">IF(OR($A71="",$M71=""),"",$M71*Assumptions!$B$7)</f>
        <v>55</v>
      </c>
      <c r="S71" s="39" t="n">
        <f aca="false">IF(OR($A71="",$P71="",$R71=""),"",MAX(0,$P71*$Q71-$R71))</f>
        <v>214.02176896</v>
      </c>
      <c r="T71" s="38" t="str">
        <f aca="false">IF($A71="","",IF($O71="FAIL","REJECT",IF($N71&gt;=4,IF(AND($K71&lt;&gt;"",$K71&gt;$S71),"BUY IF CHEAPER","BUY"),IF($N71&gt;=3.2,"WATCH","PASS"))))</f>
        <v>WATCH</v>
      </c>
      <c r="U71" s="26" t="s">
        <v>170</v>
      </c>
      <c r="V71" s="33" t="s">
        <v>303</v>
      </c>
    </row>
    <row r="72" customFormat="false" ht="23.25" hidden="false" customHeight="true" outlineLevel="0" collapsed="false">
      <c r="A72" s="23" t="s">
        <v>304</v>
      </c>
      <c r="B72" s="34" t="str">
        <f aca="false">IF($A72="","",IF(ISERROR(FIND(".",$A72)),"",LOWER(MID($A72,FIND(CHAR(1),SUBSTITUTE($A72,".",CHAR(1),LEN($A72)-LEN(SUBSTITUTE($A72,".",""))))+1,LEN($A72)))))</f>
        <v>com</v>
      </c>
      <c r="C72" s="35" t="n">
        <f aca="false">IF($B72="","",IFERROR(INDEX(Rubric!$B$15:$B$24,MATCH(LOWER($B72),Rubric!$A$15:$A$24,0)),INDEX(Rubric!$B$15:$B$24,MATCH("other",Rubric!$A$15:$A$24,0))))</f>
        <v>5</v>
      </c>
      <c r="D72" s="26" t="n">
        <v>2</v>
      </c>
      <c r="E72" s="26" t="n">
        <v>1</v>
      </c>
      <c r="F72" s="26" t="n">
        <v>4</v>
      </c>
      <c r="G72" s="26" t="n">
        <v>3</v>
      </c>
      <c r="H72" s="26" t="n">
        <v>5</v>
      </c>
      <c r="I72" s="26" t="s">
        <v>169</v>
      </c>
      <c r="J72" s="26" t="s">
        <v>169</v>
      </c>
      <c r="K72" s="42" t="n">
        <v>22.99</v>
      </c>
      <c r="L72" s="27" t="n">
        <v>1000</v>
      </c>
      <c r="M72" s="36" t="n">
        <f aca="false">IF($B72="","",IFERROR(INDEX(Rubric!$C$15:$C$24,MATCH(LOWER($B72),Rubric!$A$15:$A$24,0)),INDEX(Rubric!$C$15:$C$24,MATCH("other",Rubric!$A$15:$A$24,0))))</f>
        <v>11</v>
      </c>
      <c r="N72" s="37" t="n">
        <f aca="false">IF(OR($A72="",$C72=""),"",$C72*Rubric!$B$5+$D72*Rubric!$B$6+$E72*Rubric!$B$7+$F72*Rubric!$B$8+$G72*Rubric!$B$9+$H72*Rubric!$B$10)</f>
        <v>3.1</v>
      </c>
      <c r="O72" s="38" t="str">
        <f aca="false">IF($A72="","",IF(OR(UPPER($I72)="Y",UPPER($J72)="Y"),"FAIL","PASS"))</f>
        <v>PASS</v>
      </c>
      <c r="P72" s="39" t="n">
        <f aca="false">IF(OR($A72="",$L72=""),"",MAX(0,$L72-MAX($L72*Assumptions!$B$4,Assumptions!$B$5)))</f>
        <v>800</v>
      </c>
      <c r="Q72" s="40" t="n">
        <f aca="false">IF($A72="","",Assumptions!$B$13)</f>
        <v>0.0960792032000001</v>
      </c>
      <c r="R72" s="39" t="n">
        <f aca="false">IF(OR($A72="",$M72=""),"",$M72*Assumptions!$B$7)</f>
        <v>55</v>
      </c>
      <c r="S72" s="39" t="n">
        <f aca="false">IF(OR($A72="",$P72="",$R72=""),"",MAX(0,$P72*$Q72-$R72))</f>
        <v>21.8633625600001</v>
      </c>
      <c r="T72" s="38" t="str">
        <f aca="false">IF($A72="","",IF($O72="FAIL","REJECT",IF($N72&gt;=4,IF(AND($K72&lt;&gt;"",$K72&gt;$S72),"BUY IF CHEAPER","BUY"),IF($N72&gt;=3.2,"WATCH","PASS"))))</f>
        <v>PASS</v>
      </c>
      <c r="U72" s="26" t="s">
        <v>210</v>
      </c>
      <c r="V72" s="33" t="s">
        <v>305</v>
      </c>
    </row>
    <row r="73" customFormat="false" ht="23.25" hidden="false" customHeight="true" outlineLevel="0" collapsed="false">
      <c r="A73" s="23" t="s">
        <v>306</v>
      </c>
      <c r="B73" s="34" t="str">
        <f aca="false">IF($A73="","",IF(ISERROR(FIND(".",$A73)),"",LOWER(MID($A73,FIND(CHAR(1),SUBSTITUTE($A73,".",CHAR(1),LEN($A73)-LEN(SUBSTITUTE($A73,".",""))))+1,LEN($A73)))))</f>
        <v>com</v>
      </c>
      <c r="C73" s="35" t="n">
        <f aca="false">IF($B73="","",IFERROR(INDEX(Rubric!$B$15:$B$24,MATCH(LOWER($B73),Rubric!$A$15:$A$24,0)),INDEX(Rubric!$B$15:$B$24,MATCH("other",Rubric!$A$15:$A$24,0))))</f>
        <v>5</v>
      </c>
      <c r="D73" s="26" t="n">
        <v>5</v>
      </c>
      <c r="E73" s="26" t="n">
        <v>3</v>
      </c>
      <c r="F73" s="26" t="n">
        <v>5</v>
      </c>
      <c r="G73" s="26" t="n">
        <v>5</v>
      </c>
      <c r="H73" s="26" t="n">
        <v>3</v>
      </c>
      <c r="I73" s="26" t="s">
        <v>169</v>
      </c>
      <c r="J73" s="26" t="s">
        <v>169</v>
      </c>
      <c r="K73" s="41"/>
      <c r="L73" s="27" t="n">
        <v>8000</v>
      </c>
      <c r="M73" s="36" t="n">
        <f aca="false">IF($B73="","",IFERROR(INDEX(Rubric!$C$15:$C$24,MATCH(LOWER($B73),Rubric!$A$15:$A$24,0)),INDEX(Rubric!$C$15:$C$24,MATCH("other",Rubric!$A$15:$A$24,0))))</f>
        <v>11</v>
      </c>
      <c r="N73" s="37" t="n">
        <f aca="false">IF(OR($A73="",$C73=""),"",$C73*Rubric!$B$5+$D73*Rubric!$B$6+$E73*Rubric!$B$7+$F73*Rubric!$B$8+$G73*Rubric!$B$9+$H73*Rubric!$B$10)</f>
        <v>4.4</v>
      </c>
      <c r="O73" s="38" t="str">
        <f aca="false">IF($A73="","",IF(OR(UPPER($I73)="Y",UPPER($J73)="Y"),"FAIL","PASS"))</f>
        <v>PASS</v>
      </c>
      <c r="P73" s="39" t="n">
        <f aca="false">IF(OR($A73="",$L73=""),"",MAX(0,$L73-MAX($L73*Assumptions!$B$4,Assumptions!$B$5)))</f>
        <v>6400</v>
      </c>
      <c r="Q73" s="40" t="n">
        <f aca="false">IF($A73="","",Assumptions!$B$13)</f>
        <v>0.0960792032000001</v>
      </c>
      <c r="R73" s="39" t="n">
        <f aca="false">IF(OR($A73="",$M73=""),"",$M73*Assumptions!$B$7)</f>
        <v>55</v>
      </c>
      <c r="S73" s="39" t="n">
        <f aca="false">IF(OR($A73="",$P73="",$R73=""),"",MAX(0,$P73*$Q73-$R73))</f>
        <v>559.90690048</v>
      </c>
      <c r="T73" s="38" t="str">
        <f aca="false">IF($A73="","",IF($O73="FAIL","REJECT",IF($N73&gt;=4,IF(AND($K73&lt;&gt;"",$K73&gt;$S73),"BUY IF CHEAPER","BUY"),IF($N73&gt;=3.2,"WATCH","PASS"))))</f>
        <v>BUY</v>
      </c>
      <c r="U73" s="26" t="s">
        <v>170</v>
      </c>
      <c r="V73" s="33" t="s">
        <v>307</v>
      </c>
    </row>
    <row r="74" customFormat="false" ht="15" hidden="false" customHeight="true" outlineLevel="0" collapsed="false">
      <c r="A74" s="23" t="s">
        <v>308</v>
      </c>
      <c r="B74" s="34" t="str">
        <f aca="false">IF($A74="","",IF(ISERROR(FIND(".",$A74)),"",LOWER(MID($A74,FIND(CHAR(1),SUBSTITUTE($A74,".",CHAR(1),LEN($A74)-LEN(SUBSTITUTE($A74,".",""))))+1,LEN($A74)))))</f>
        <v>com</v>
      </c>
      <c r="C74" s="35" t="n">
        <f aca="false">IF($B74="","",IFERROR(INDEX(Rubric!$B$15:$B$24,MATCH(LOWER($B74),Rubric!$A$15:$A$24,0)),INDEX(Rubric!$B$15:$B$24,MATCH("other",Rubric!$A$15:$A$24,0))))</f>
        <v>5</v>
      </c>
      <c r="D74" s="26" t="n">
        <v>4</v>
      </c>
      <c r="E74" s="26" t="n">
        <v>3</v>
      </c>
      <c r="F74" s="26" t="n">
        <v>5</v>
      </c>
      <c r="G74" s="26" t="n">
        <v>5</v>
      </c>
      <c r="H74" s="26" t="n">
        <v>3</v>
      </c>
      <c r="I74" s="26" t="s">
        <v>169</v>
      </c>
      <c r="J74" s="26" t="s">
        <v>169</v>
      </c>
      <c r="K74" s="41"/>
      <c r="L74" s="27" t="n">
        <v>7000</v>
      </c>
      <c r="M74" s="36" t="n">
        <f aca="false">IF($B74="","",IFERROR(INDEX(Rubric!$C$15:$C$24,MATCH(LOWER($B74),Rubric!$A$15:$A$24,0)),INDEX(Rubric!$C$15:$C$24,MATCH("other",Rubric!$A$15:$A$24,0))))</f>
        <v>11</v>
      </c>
      <c r="N74" s="37" t="n">
        <f aca="false">IF(OR($A74="",$C74=""),"",$C74*Rubric!$B$5+$D74*Rubric!$B$6+$E74*Rubric!$B$7+$F74*Rubric!$B$8+$G74*Rubric!$B$9+$H74*Rubric!$B$10)</f>
        <v>4.15</v>
      </c>
      <c r="O74" s="38" t="str">
        <f aca="false">IF($A74="","",IF(OR(UPPER($I74)="Y",UPPER($J74)="Y"),"FAIL","PASS"))</f>
        <v>PASS</v>
      </c>
      <c r="P74" s="39" t="n">
        <f aca="false">IF(OR($A74="",$L74=""),"",MAX(0,$L74-MAX($L74*Assumptions!$B$4,Assumptions!$B$5)))</f>
        <v>5600</v>
      </c>
      <c r="Q74" s="40" t="n">
        <f aca="false">IF($A74="","",Assumptions!$B$13)</f>
        <v>0.0960792032000001</v>
      </c>
      <c r="R74" s="39" t="n">
        <f aca="false">IF(OR($A74="",$M74=""),"",$M74*Assumptions!$B$7)</f>
        <v>55</v>
      </c>
      <c r="S74" s="39" t="n">
        <f aca="false">IF(OR($A74="",$P74="",$R74=""),"",MAX(0,$P74*$Q74-$R74))</f>
        <v>483.04353792</v>
      </c>
      <c r="T74" s="38" t="str">
        <f aca="false">IF($A74="","",IF($O74="FAIL","REJECT",IF($N74&gt;=4,IF(AND($K74&lt;&gt;"",$K74&gt;$S74),"BUY IF CHEAPER","BUY"),IF($N74&gt;=3.2,"WATCH","PASS"))))</f>
        <v>BUY</v>
      </c>
      <c r="U74" s="26" t="s">
        <v>170</v>
      </c>
      <c r="V74" s="33" t="s">
        <v>309</v>
      </c>
    </row>
    <row r="75" customFormat="false" ht="23.25" hidden="false" customHeight="true" outlineLevel="0" collapsed="false">
      <c r="A75" s="23" t="s">
        <v>310</v>
      </c>
      <c r="B75" s="34" t="str">
        <f aca="false">IF($A75="","",IF(ISERROR(FIND(".",$A75)),"",LOWER(MID($A75,FIND(CHAR(1),SUBSTITUTE($A75,".",CHAR(1),LEN($A75)-LEN(SUBSTITUTE($A75,".",""))))+1,LEN($A75)))))</f>
        <v>com</v>
      </c>
      <c r="C75" s="35" t="n">
        <f aca="false">IF($B75="","",IFERROR(INDEX(Rubric!$B$15:$B$24,MATCH(LOWER($B75),Rubric!$A$15:$A$24,0)),INDEX(Rubric!$B$15:$B$24,MATCH("other",Rubric!$A$15:$A$24,0))))</f>
        <v>5</v>
      </c>
      <c r="D75" s="26" t="n">
        <v>5</v>
      </c>
      <c r="E75" s="26" t="n">
        <v>3</v>
      </c>
      <c r="F75" s="26" t="n">
        <v>4</v>
      </c>
      <c r="G75" s="26" t="n">
        <v>5</v>
      </c>
      <c r="H75" s="26" t="n">
        <v>3</v>
      </c>
      <c r="I75" s="26" t="s">
        <v>169</v>
      </c>
      <c r="J75" s="26" t="s">
        <v>169</v>
      </c>
      <c r="K75" s="41"/>
      <c r="L75" s="27" t="n">
        <v>10000</v>
      </c>
      <c r="M75" s="36" t="n">
        <f aca="false">IF($B75="","",IFERROR(INDEX(Rubric!$C$15:$C$24,MATCH(LOWER($B75),Rubric!$A$15:$A$24,0)),INDEX(Rubric!$C$15:$C$24,MATCH("other",Rubric!$A$15:$A$24,0))))</f>
        <v>11</v>
      </c>
      <c r="N75" s="37" t="n">
        <f aca="false">IF(OR($A75="",$C75=""),"",$C75*Rubric!$B$5+$D75*Rubric!$B$6+$E75*Rubric!$B$7+$F75*Rubric!$B$8+$G75*Rubric!$B$9+$H75*Rubric!$B$10)</f>
        <v>4.25</v>
      </c>
      <c r="O75" s="38" t="str">
        <f aca="false">IF($A75="","",IF(OR(UPPER($I75)="Y",UPPER($J75)="Y"),"FAIL","PASS"))</f>
        <v>PASS</v>
      </c>
      <c r="P75" s="39" t="n">
        <f aca="false">IF(OR($A75="",$L75=""),"",MAX(0,$L75-MAX($L75*Assumptions!$B$4,Assumptions!$B$5)))</f>
        <v>8000</v>
      </c>
      <c r="Q75" s="40" t="n">
        <f aca="false">IF($A75="","",Assumptions!$B$13)</f>
        <v>0.0960792032000001</v>
      </c>
      <c r="R75" s="39" t="n">
        <f aca="false">IF(OR($A75="",$M75=""),"",$M75*Assumptions!$B$7)</f>
        <v>55</v>
      </c>
      <c r="S75" s="39" t="n">
        <f aca="false">IF(OR($A75="",$P75="",$R75=""),"",MAX(0,$P75*$Q75-$R75))</f>
        <v>713.633625600001</v>
      </c>
      <c r="T75" s="38" t="str">
        <f aca="false">IF($A75="","",IF($O75="FAIL","REJECT",IF($N75&gt;=4,IF(AND($K75&lt;&gt;"",$K75&gt;$S75),"BUY IF CHEAPER","BUY"),IF($N75&gt;=3.2,"WATCH","PASS"))))</f>
        <v>BUY</v>
      </c>
      <c r="U75" s="26" t="s">
        <v>170</v>
      </c>
      <c r="V75" s="33" t="s">
        <v>311</v>
      </c>
    </row>
    <row r="76" customFormat="false" ht="23.25" hidden="false" customHeight="true" outlineLevel="0" collapsed="false">
      <c r="A76" s="23" t="s">
        <v>312</v>
      </c>
      <c r="B76" s="34" t="str">
        <f aca="false">IF($A76="","",IF(ISERROR(FIND(".",$A76)),"",LOWER(MID($A76,FIND(CHAR(1),SUBSTITUTE($A76,".",CHAR(1),LEN($A76)-LEN(SUBSTITUTE($A76,".",""))))+1,LEN($A76)))))</f>
        <v>com</v>
      </c>
      <c r="C76" s="35" t="n">
        <f aca="false">IF($B76="","",IFERROR(INDEX(Rubric!$B$15:$B$24,MATCH(LOWER($B76),Rubric!$A$15:$A$24,0)),INDEX(Rubric!$B$15:$B$24,MATCH("other",Rubric!$A$15:$A$24,0))))</f>
        <v>5</v>
      </c>
      <c r="D76" s="26" t="n">
        <v>4</v>
      </c>
      <c r="E76" s="26" t="n">
        <v>3</v>
      </c>
      <c r="F76" s="26" t="n">
        <v>5</v>
      </c>
      <c r="G76" s="26" t="n">
        <v>5</v>
      </c>
      <c r="H76" s="26" t="n">
        <v>5</v>
      </c>
      <c r="I76" s="26" t="s">
        <v>169</v>
      </c>
      <c r="J76" s="26" t="s">
        <v>169</v>
      </c>
      <c r="K76" s="41"/>
      <c r="L76" s="27" t="n">
        <v>5000</v>
      </c>
      <c r="M76" s="36" t="n">
        <f aca="false">IF($B76="","",IFERROR(INDEX(Rubric!$C$15:$C$24,MATCH(LOWER($B76),Rubric!$A$15:$A$24,0)),INDEX(Rubric!$C$15:$C$24,MATCH("other",Rubric!$A$15:$A$24,0))))</f>
        <v>11</v>
      </c>
      <c r="N76" s="37" t="n">
        <f aca="false">IF(OR($A76="",$C76=""),"",$C76*Rubric!$B$5+$D76*Rubric!$B$6+$E76*Rubric!$B$7+$F76*Rubric!$B$8+$G76*Rubric!$B$9+$H76*Rubric!$B$10)</f>
        <v>4.35</v>
      </c>
      <c r="O76" s="38" t="str">
        <f aca="false">IF($A76="","",IF(OR(UPPER($I76)="Y",UPPER($J76)="Y"),"FAIL","PASS"))</f>
        <v>PASS</v>
      </c>
      <c r="P76" s="39" t="n">
        <f aca="false">IF(OR($A76="",$L76=""),"",MAX(0,$L76-MAX($L76*Assumptions!$B$4,Assumptions!$B$5)))</f>
        <v>4000</v>
      </c>
      <c r="Q76" s="40" t="n">
        <f aca="false">IF($A76="","",Assumptions!$B$13)</f>
        <v>0.0960792032000001</v>
      </c>
      <c r="R76" s="39" t="n">
        <f aca="false">IF(OR($A76="",$M76=""),"",$M76*Assumptions!$B$7)</f>
        <v>55</v>
      </c>
      <c r="S76" s="39" t="n">
        <f aca="false">IF(OR($A76="",$P76="",$R76=""),"",MAX(0,$P76*$Q76-$R76))</f>
        <v>329.3168128</v>
      </c>
      <c r="T76" s="38" t="str">
        <f aca="false">IF($A76="","",IF($O76="FAIL","REJECT",IF($N76&gt;=4,IF(AND($K76&lt;&gt;"",$K76&gt;$S76),"BUY IF CHEAPER","BUY"),IF($N76&gt;=3.2,"WATCH","PASS"))))</f>
        <v>BUY</v>
      </c>
      <c r="U76" s="26" t="s">
        <v>170</v>
      </c>
      <c r="V76" s="33" t="s">
        <v>313</v>
      </c>
    </row>
    <row r="77" customFormat="false" ht="15" hidden="false" customHeight="true" outlineLevel="0" collapsed="false">
      <c r="A77" s="23" t="s">
        <v>314</v>
      </c>
      <c r="B77" s="34" t="str">
        <f aca="false">IF($A77="","",IF(ISERROR(FIND(".",$A77)),"",LOWER(MID($A77,FIND(CHAR(1),SUBSTITUTE($A77,".",CHAR(1),LEN($A77)-LEN(SUBSTITUTE($A77,".",""))))+1,LEN($A77)))))</f>
        <v>com</v>
      </c>
      <c r="C77" s="35" t="n">
        <f aca="false">IF($B77="","",IFERROR(INDEX(Rubric!$B$15:$B$24,MATCH(LOWER($B77),Rubric!$A$15:$A$24,0)),INDEX(Rubric!$B$15:$B$24,MATCH("other",Rubric!$A$15:$A$24,0))))</f>
        <v>5</v>
      </c>
      <c r="D77" s="26" t="n">
        <v>3</v>
      </c>
      <c r="E77" s="26" t="n">
        <v>2</v>
      </c>
      <c r="F77" s="26" t="n">
        <v>4</v>
      </c>
      <c r="G77" s="26" t="n">
        <v>5</v>
      </c>
      <c r="H77" s="26" t="n">
        <v>5</v>
      </c>
      <c r="I77" s="26" t="s">
        <v>169</v>
      </c>
      <c r="J77" s="26" t="s">
        <v>169</v>
      </c>
      <c r="K77" s="42" t="n">
        <v>3495</v>
      </c>
      <c r="L77" s="27" t="n">
        <v>2500</v>
      </c>
      <c r="M77" s="36" t="n">
        <f aca="false">IF($B77="","",IFERROR(INDEX(Rubric!$C$15:$C$24,MATCH(LOWER($B77),Rubric!$A$15:$A$24,0)),INDEX(Rubric!$C$15:$C$24,MATCH("other",Rubric!$A$15:$A$24,0))))</f>
        <v>11</v>
      </c>
      <c r="N77" s="37" t="n">
        <f aca="false">IF(OR($A77="",$C77=""),"",$C77*Rubric!$B$5+$D77*Rubric!$B$6+$E77*Rubric!$B$7+$F77*Rubric!$B$8+$G77*Rubric!$B$9+$H77*Rubric!$B$10)</f>
        <v>3.75</v>
      </c>
      <c r="O77" s="38" t="str">
        <f aca="false">IF($A77="","",IF(OR(UPPER($I77)="Y",UPPER($J77)="Y"),"FAIL","PASS"))</f>
        <v>PASS</v>
      </c>
      <c r="P77" s="39" t="n">
        <f aca="false">IF(OR($A77="",$L77=""),"",MAX(0,$L77-MAX($L77*Assumptions!$B$4,Assumptions!$B$5)))</f>
        <v>2000</v>
      </c>
      <c r="Q77" s="40" t="n">
        <f aca="false">IF($A77="","",Assumptions!$B$13)</f>
        <v>0.0960792032000001</v>
      </c>
      <c r="R77" s="39" t="n">
        <f aca="false">IF(OR($A77="",$M77=""),"",$M77*Assumptions!$B$7)</f>
        <v>55</v>
      </c>
      <c r="S77" s="39" t="n">
        <f aca="false">IF(OR($A77="",$P77="",$R77=""),"",MAX(0,$P77*$Q77-$R77))</f>
        <v>137.1584064</v>
      </c>
      <c r="T77" s="38" t="str">
        <f aca="false">IF($A77="","",IF($O77="FAIL","REJECT",IF($N77&gt;=4,IF(AND($K77&lt;&gt;"",$K77&gt;$S77),"BUY IF CHEAPER","BUY"),IF($N77&gt;=3.2,"WATCH","PASS"))))</f>
        <v>WATCH</v>
      </c>
      <c r="U77" s="26" t="s">
        <v>197</v>
      </c>
      <c r="V77" s="33" t="s">
        <v>315</v>
      </c>
    </row>
    <row r="78" customFormat="false" ht="23.25" hidden="false" customHeight="true" outlineLevel="0" collapsed="false">
      <c r="A78" s="23" t="s">
        <v>316</v>
      </c>
      <c r="B78" s="34" t="str">
        <f aca="false">IF($A78="","",IF(ISERROR(FIND(".",$A78)),"",LOWER(MID($A78,FIND(CHAR(1),SUBSTITUTE($A78,".",CHAR(1),LEN($A78)-LEN(SUBSTITUTE($A78,".",""))))+1,LEN($A78)))))</f>
        <v>com</v>
      </c>
      <c r="C78" s="35" t="n">
        <f aca="false">IF($B78="","",IFERROR(INDEX(Rubric!$B$15:$B$24,MATCH(LOWER($B78),Rubric!$A$15:$A$24,0)),INDEX(Rubric!$B$15:$B$24,MATCH("other",Rubric!$A$15:$A$24,0))))</f>
        <v>5</v>
      </c>
      <c r="D78" s="26" t="n">
        <v>4</v>
      </c>
      <c r="E78" s="26" t="n">
        <v>3</v>
      </c>
      <c r="F78" s="26" t="n">
        <v>5</v>
      </c>
      <c r="G78" s="26" t="n">
        <v>4</v>
      </c>
      <c r="H78" s="26" t="n">
        <v>3</v>
      </c>
      <c r="I78" s="26" t="s">
        <v>169</v>
      </c>
      <c r="J78" s="26" t="s">
        <v>169</v>
      </c>
      <c r="K78" s="41"/>
      <c r="L78" s="27" t="n">
        <v>6000</v>
      </c>
      <c r="M78" s="36" t="n">
        <f aca="false">IF($B78="","",IFERROR(INDEX(Rubric!$C$15:$C$24,MATCH(LOWER($B78),Rubric!$A$15:$A$24,0)),INDEX(Rubric!$C$15:$C$24,MATCH("other",Rubric!$A$15:$A$24,0))))</f>
        <v>11</v>
      </c>
      <c r="N78" s="37" t="n">
        <f aca="false">IF(OR($A78="",$C78=""),"",$C78*Rubric!$B$5+$D78*Rubric!$B$6+$E78*Rubric!$B$7+$F78*Rubric!$B$8+$G78*Rubric!$B$9+$H78*Rubric!$B$10)</f>
        <v>4.05</v>
      </c>
      <c r="O78" s="38" t="str">
        <f aca="false">IF($A78="","",IF(OR(UPPER($I78)="Y",UPPER($J78)="Y"),"FAIL","PASS"))</f>
        <v>PASS</v>
      </c>
      <c r="P78" s="39" t="n">
        <f aca="false">IF(OR($A78="",$L78=""),"",MAX(0,$L78-MAX($L78*Assumptions!$B$4,Assumptions!$B$5)))</f>
        <v>4800</v>
      </c>
      <c r="Q78" s="40" t="n">
        <f aca="false">IF($A78="","",Assumptions!$B$13)</f>
        <v>0.0960792032000001</v>
      </c>
      <c r="R78" s="39" t="n">
        <f aca="false">IF(OR($A78="",$M78=""),"",$M78*Assumptions!$B$7)</f>
        <v>55</v>
      </c>
      <c r="S78" s="39" t="n">
        <f aca="false">IF(OR($A78="",$P78="",$R78=""),"",MAX(0,$P78*$Q78-$R78))</f>
        <v>406.18017536</v>
      </c>
      <c r="T78" s="38" t="str">
        <f aca="false">IF($A78="","",IF($O78="FAIL","REJECT",IF($N78&gt;=4,IF(AND($K78&lt;&gt;"",$K78&gt;$S78),"BUY IF CHEAPER","BUY"),IF($N78&gt;=3.2,"WATCH","PASS"))))</f>
        <v>BUY</v>
      </c>
      <c r="U78" s="26" t="s">
        <v>170</v>
      </c>
      <c r="V78" s="33" t="s">
        <v>317</v>
      </c>
    </row>
    <row r="79" customFormat="false" ht="15" hidden="false" customHeight="true" outlineLevel="0" collapsed="false">
      <c r="A79" s="23" t="s">
        <v>318</v>
      </c>
      <c r="B79" s="34" t="str">
        <f aca="false">IF($A79="","",IF(ISERROR(FIND(".",$A79)),"",LOWER(MID($A79,FIND(CHAR(1),SUBSTITUTE($A79,".",CHAR(1),LEN($A79)-LEN(SUBSTITUTE($A79,".",""))))+1,LEN($A79)))))</f>
        <v>com</v>
      </c>
      <c r="C79" s="35" t="n">
        <f aca="false">IF($B79="","",IFERROR(INDEX(Rubric!$B$15:$B$24,MATCH(LOWER($B79),Rubric!$A$15:$A$24,0)),INDEX(Rubric!$B$15:$B$24,MATCH("other",Rubric!$A$15:$A$24,0))))</f>
        <v>5</v>
      </c>
      <c r="D79" s="26" t="n">
        <v>3</v>
      </c>
      <c r="E79" s="26" t="n">
        <v>2</v>
      </c>
      <c r="F79" s="26" t="n">
        <v>4</v>
      </c>
      <c r="G79" s="26" t="n">
        <v>5</v>
      </c>
      <c r="H79" s="26" t="n">
        <v>5</v>
      </c>
      <c r="I79" s="26" t="s">
        <v>169</v>
      </c>
      <c r="J79" s="26" t="s">
        <v>169</v>
      </c>
      <c r="K79" s="41"/>
      <c r="L79" s="27" t="n">
        <v>2200</v>
      </c>
      <c r="M79" s="36" t="n">
        <f aca="false">IF($B79="","",IFERROR(INDEX(Rubric!$C$15:$C$24,MATCH(LOWER($B79),Rubric!$A$15:$A$24,0)),INDEX(Rubric!$C$15:$C$24,MATCH("other",Rubric!$A$15:$A$24,0))))</f>
        <v>11</v>
      </c>
      <c r="N79" s="37" t="n">
        <f aca="false">IF(OR($A79="",$C79=""),"",$C79*Rubric!$B$5+$D79*Rubric!$B$6+$E79*Rubric!$B$7+$F79*Rubric!$B$8+$G79*Rubric!$B$9+$H79*Rubric!$B$10)</f>
        <v>3.75</v>
      </c>
      <c r="O79" s="38" t="str">
        <f aca="false">IF($A79="","",IF(OR(UPPER($I79)="Y",UPPER($J79)="Y"),"FAIL","PASS"))</f>
        <v>PASS</v>
      </c>
      <c r="P79" s="39" t="n">
        <f aca="false">IF(OR($A79="",$L79=""),"",MAX(0,$L79-MAX($L79*Assumptions!$B$4,Assumptions!$B$5)))</f>
        <v>1760</v>
      </c>
      <c r="Q79" s="40" t="n">
        <f aca="false">IF($A79="","",Assumptions!$B$13)</f>
        <v>0.0960792032000001</v>
      </c>
      <c r="R79" s="39" t="n">
        <f aca="false">IF(OR($A79="",$M79=""),"",$M79*Assumptions!$B$7)</f>
        <v>55</v>
      </c>
      <c r="S79" s="39" t="n">
        <f aca="false">IF(OR($A79="",$P79="",$R79=""),"",MAX(0,$P79*$Q79-$R79))</f>
        <v>114.099397632</v>
      </c>
      <c r="T79" s="38" t="str">
        <f aca="false">IF($A79="","",IF($O79="FAIL","REJECT",IF($N79&gt;=4,IF(AND($K79&lt;&gt;"",$K79&gt;$S79),"BUY IF CHEAPER","BUY"),IF($N79&gt;=3.2,"WATCH","PASS"))))</f>
        <v>WATCH</v>
      </c>
      <c r="U79" s="26" t="s">
        <v>170</v>
      </c>
      <c r="V79" s="33" t="s">
        <v>319</v>
      </c>
    </row>
    <row r="80" customFormat="false" ht="23.25" hidden="false" customHeight="true" outlineLevel="0" collapsed="false">
      <c r="A80" s="23" t="s">
        <v>320</v>
      </c>
      <c r="B80" s="34" t="str">
        <f aca="false">IF($A80="","",IF(ISERROR(FIND(".",$A80)),"",LOWER(MID($A80,FIND(CHAR(1),SUBSTITUTE($A80,".",CHAR(1),LEN($A80)-LEN(SUBSTITUTE($A80,".",""))))+1,LEN($A80)))))</f>
        <v>com</v>
      </c>
      <c r="C80" s="35" t="n">
        <f aca="false">IF($B80="","",IFERROR(INDEX(Rubric!$B$15:$B$24,MATCH(LOWER($B80),Rubric!$A$15:$A$24,0)),INDEX(Rubric!$B$15:$B$24,MATCH("other",Rubric!$A$15:$A$24,0))))</f>
        <v>5</v>
      </c>
      <c r="D80" s="26" t="n">
        <v>3</v>
      </c>
      <c r="E80" s="26" t="n">
        <v>2</v>
      </c>
      <c r="F80" s="26" t="n">
        <v>3</v>
      </c>
      <c r="G80" s="26" t="n">
        <v>5</v>
      </c>
      <c r="H80" s="26" t="n">
        <v>5</v>
      </c>
      <c r="I80" s="26" t="s">
        <v>169</v>
      </c>
      <c r="J80" s="26" t="s">
        <v>169</v>
      </c>
      <c r="K80" s="41"/>
      <c r="L80" s="27" t="n">
        <v>2000</v>
      </c>
      <c r="M80" s="36" t="n">
        <f aca="false">IF($B80="","",IFERROR(INDEX(Rubric!$C$15:$C$24,MATCH(LOWER($B80),Rubric!$A$15:$A$24,0)),INDEX(Rubric!$C$15:$C$24,MATCH("other",Rubric!$A$15:$A$24,0))))</f>
        <v>11</v>
      </c>
      <c r="N80" s="37" t="n">
        <f aca="false">IF(OR($A80="",$C80=""),"",$C80*Rubric!$B$5+$D80*Rubric!$B$6+$E80*Rubric!$B$7+$F80*Rubric!$B$8+$G80*Rubric!$B$9+$H80*Rubric!$B$10)</f>
        <v>3.6</v>
      </c>
      <c r="O80" s="38" t="str">
        <f aca="false">IF($A80="","",IF(OR(UPPER($I80)="Y",UPPER($J80)="Y"),"FAIL","PASS"))</f>
        <v>PASS</v>
      </c>
      <c r="P80" s="39" t="n">
        <f aca="false">IF(OR($A80="",$L80=""),"",MAX(0,$L80-MAX($L80*Assumptions!$B$4,Assumptions!$B$5)))</f>
        <v>1600</v>
      </c>
      <c r="Q80" s="40" t="n">
        <f aca="false">IF($A80="","",Assumptions!$B$13)</f>
        <v>0.0960792032000001</v>
      </c>
      <c r="R80" s="39" t="n">
        <f aca="false">IF(OR($A80="",$M80=""),"",$M80*Assumptions!$B$7)</f>
        <v>55</v>
      </c>
      <c r="S80" s="39" t="n">
        <f aca="false">IF(OR($A80="",$P80="",$R80=""),"",MAX(0,$P80*$Q80-$R80))</f>
        <v>98.7267251200001</v>
      </c>
      <c r="T80" s="38" t="str">
        <f aca="false">IF($A80="","",IF($O80="FAIL","REJECT",IF($N80&gt;=4,IF(AND($K80&lt;&gt;"",$K80&gt;$S80),"BUY IF CHEAPER","BUY"),IF($N80&gt;=3.2,"WATCH","PASS"))))</f>
        <v>WATCH</v>
      </c>
      <c r="U80" s="26" t="s">
        <v>170</v>
      </c>
      <c r="V80" s="33" t="s">
        <v>321</v>
      </c>
    </row>
    <row r="81" customFormat="false" ht="23.25" hidden="false" customHeight="true" outlineLevel="0" collapsed="false">
      <c r="A81" s="23" t="s">
        <v>322</v>
      </c>
      <c r="B81" s="34" t="str">
        <f aca="false">IF($A81="","",IF(ISERROR(FIND(".",$A81)),"",LOWER(MID($A81,FIND(CHAR(1),SUBSTITUTE($A81,".",CHAR(1),LEN($A81)-LEN(SUBSTITUTE($A81,".",""))))+1,LEN($A81)))))</f>
        <v>com</v>
      </c>
      <c r="C81" s="35" t="n">
        <f aca="false">IF($B81="","",IFERROR(INDEX(Rubric!$B$15:$B$24,MATCH(LOWER($B81),Rubric!$A$15:$A$24,0)),INDEX(Rubric!$B$15:$B$24,MATCH("other",Rubric!$A$15:$A$24,0))))</f>
        <v>5</v>
      </c>
      <c r="D81" s="26" t="n">
        <v>3</v>
      </c>
      <c r="E81" s="26" t="n">
        <v>3</v>
      </c>
      <c r="F81" s="26" t="n">
        <v>5</v>
      </c>
      <c r="G81" s="26" t="n">
        <v>5</v>
      </c>
      <c r="H81" s="26" t="n">
        <v>2</v>
      </c>
      <c r="I81" s="26" t="s">
        <v>169</v>
      </c>
      <c r="J81" s="26" t="s">
        <v>169</v>
      </c>
      <c r="K81" s="41"/>
      <c r="L81" s="27" t="n">
        <v>15000</v>
      </c>
      <c r="M81" s="36" t="n">
        <f aca="false">IF($B81="","",IFERROR(INDEX(Rubric!$C$15:$C$24,MATCH(LOWER($B81),Rubric!$A$15:$A$24,0)),INDEX(Rubric!$C$15:$C$24,MATCH("other",Rubric!$A$15:$A$24,0))))</f>
        <v>11</v>
      </c>
      <c r="N81" s="37" t="n">
        <f aca="false">IF(OR($A81="",$C81=""),"",$C81*Rubric!$B$5+$D81*Rubric!$B$6+$E81*Rubric!$B$7+$F81*Rubric!$B$8+$G81*Rubric!$B$9+$H81*Rubric!$B$10)</f>
        <v>3.8</v>
      </c>
      <c r="O81" s="38" t="str">
        <f aca="false">IF($A81="","",IF(OR(UPPER($I81)="Y",UPPER($J81)="Y"),"FAIL","PASS"))</f>
        <v>PASS</v>
      </c>
      <c r="P81" s="39" t="n">
        <f aca="false">IF(OR($A81="",$L81=""),"",MAX(0,$L81-MAX($L81*Assumptions!$B$4,Assumptions!$B$5)))</f>
        <v>12000</v>
      </c>
      <c r="Q81" s="40" t="n">
        <f aca="false">IF($A81="","",Assumptions!$B$13)</f>
        <v>0.0960792032000001</v>
      </c>
      <c r="R81" s="39" t="n">
        <f aca="false">IF(OR($A81="",$M81=""),"",$M81*Assumptions!$B$7)</f>
        <v>55</v>
      </c>
      <c r="S81" s="39" t="n">
        <f aca="false">IF(OR($A81="",$P81="",$R81=""),"",MAX(0,$P81*$Q81-$R81))</f>
        <v>1097.9504384</v>
      </c>
      <c r="T81" s="38" t="str">
        <f aca="false">IF($A81="","",IF($O81="FAIL","REJECT",IF($N81&gt;=4,IF(AND($K81&lt;&gt;"",$K81&gt;$S81),"BUY IF CHEAPER","BUY"),IF($N81&gt;=3.2,"WATCH","PASS"))))</f>
        <v>WATCH</v>
      </c>
      <c r="U81" s="26" t="s">
        <v>170</v>
      </c>
      <c r="V81" s="33" t="s">
        <v>323</v>
      </c>
    </row>
    <row r="82" customFormat="false" ht="23.25" hidden="false" customHeight="true" outlineLevel="0" collapsed="false">
      <c r="A82" s="23" t="s">
        <v>324</v>
      </c>
      <c r="B82" s="34" t="str">
        <f aca="false">IF($A82="","",IF(ISERROR(FIND(".",$A82)),"",LOWER(MID($A82,FIND(CHAR(1),SUBSTITUTE($A82,".",CHAR(1),LEN($A82)-LEN(SUBSTITUTE($A82,".",""))))+1,LEN($A82)))))</f>
        <v>com</v>
      </c>
      <c r="C82" s="35" t="n">
        <f aca="false">IF($B82="","",IFERROR(INDEX(Rubric!$B$15:$B$24,MATCH(LOWER($B82),Rubric!$A$15:$A$24,0)),INDEX(Rubric!$B$15:$B$24,MATCH("other",Rubric!$A$15:$A$24,0))))</f>
        <v>5</v>
      </c>
      <c r="D82" s="26" t="n">
        <v>3</v>
      </c>
      <c r="E82" s="26" t="n">
        <v>3</v>
      </c>
      <c r="F82" s="26" t="n">
        <v>5</v>
      </c>
      <c r="G82" s="26" t="n">
        <v>4</v>
      </c>
      <c r="H82" s="26" t="n">
        <v>2</v>
      </c>
      <c r="I82" s="26" t="s">
        <v>169</v>
      </c>
      <c r="J82" s="26" t="s">
        <v>169</v>
      </c>
      <c r="K82" s="41"/>
      <c r="L82" s="27" t="n">
        <v>8000</v>
      </c>
      <c r="M82" s="36" t="n">
        <f aca="false">IF($B82="","",IFERROR(INDEX(Rubric!$C$15:$C$24,MATCH(LOWER($B82),Rubric!$A$15:$A$24,0)),INDEX(Rubric!$C$15:$C$24,MATCH("other",Rubric!$A$15:$A$24,0))))</f>
        <v>11</v>
      </c>
      <c r="N82" s="37" t="n">
        <f aca="false">IF(OR($A82="",$C82=""),"",$C82*Rubric!$B$5+$D82*Rubric!$B$6+$E82*Rubric!$B$7+$F82*Rubric!$B$8+$G82*Rubric!$B$9+$H82*Rubric!$B$10)</f>
        <v>3.7</v>
      </c>
      <c r="O82" s="38" t="str">
        <f aca="false">IF($A82="","",IF(OR(UPPER($I82)="Y",UPPER($J82)="Y"),"FAIL","PASS"))</f>
        <v>PASS</v>
      </c>
      <c r="P82" s="39" t="n">
        <f aca="false">IF(OR($A82="",$L82=""),"",MAX(0,$L82-MAX($L82*Assumptions!$B$4,Assumptions!$B$5)))</f>
        <v>6400</v>
      </c>
      <c r="Q82" s="40" t="n">
        <f aca="false">IF($A82="","",Assumptions!$B$13)</f>
        <v>0.0960792032000001</v>
      </c>
      <c r="R82" s="39" t="n">
        <f aca="false">IF(OR($A82="",$M82=""),"",$M82*Assumptions!$B$7)</f>
        <v>55</v>
      </c>
      <c r="S82" s="39" t="n">
        <f aca="false">IF(OR($A82="",$P82="",$R82=""),"",MAX(0,$P82*$Q82-$R82))</f>
        <v>559.90690048</v>
      </c>
      <c r="T82" s="38" t="str">
        <f aca="false">IF($A82="","",IF($O82="FAIL","REJECT",IF($N82&gt;=4,IF(AND($K82&lt;&gt;"",$K82&gt;$S82),"BUY IF CHEAPER","BUY"),IF($N82&gt;=3.2,"WATCH","PASS"))))</f>
        <v>WATCH</v>
      </c>
      <c r="U82" s="26" t="s">
        <v>170</v>
      </c>
      <c r="V82" s="33" t="s">
        <v>325</v>
      </c>
    </row>
    <row r="83" customFormat="false" ht="23.25" hidden="false" customHeight="true" outlineLevel="0" collapsed="false">
      <c r="A83" s="23" t="s">
        <v>326</v>
      </c>
      <c r="B83" s="34" t="str">
        <f aca="false">IF($A83="","",IF(ISERROR(FIND(".",$A83)),"",LOWER(MID($A83,FIND(CHAR(1),SUBSTITUTE($A83,".",CHAR(1),LEN($A83)-LEN(SUBSTITUTE($A83,".",""))))+1,LEN($A83)))))</f>
        <v>com</v>
      </c>
      <c r="C83" s="35" t="n">
        <f aca="false">IF($B83="","",IFERROR(INDEX(Rubric!$B$15:$B$24,MATCH(LOWER($B83),Rubric!$A$15:$A$24,0)),INDEX(Rubric!$B$15:$B$24,MATCH("other",Rubric!$A$15:$A$24,0))))</f>
        <v>5</v>
      </c>
      <c r="D83" s="26" t="n">
        <v>3</v>
      </c>
      <c r="E83" s="26" t="n">
        <v>3</v>
      </c>
      <c r="F83" s="26" t="n">
        <v>5</v>
      </c>
      <c r="G83" s="26" t="n">
        <v>5</v>
      </c>
      <c r="H83" s="26" t="n">
        <v>2</v>
      </c>
      <c r="I83" s="26" t="s">
        <v>169</v>
      </c>
      <c r="J83" s="26" t="s">
        <v>169</v>
      </c>
      <c r="K83" s="41"/>
      <c r="L83" s="27" t="n">
        <v>8000</v>
      </c>
      <c r="M83" s="36" t="n">
        <f aca="false">IF($B83="","",IFERROR(INDEX(Rubric!$C$15:$C$24,MATCH(LOWER($B83),Rubric!$A$15:$A$24,0)),INDEX(Rubric!$C$15:$C$24,MATCH("other",Rubric!$A$15:$A$24,0))))</f>
        <v>11</v>
      </c>
      <c r="N83" s="37" t="n">
        <f aca="false">IF(OR($A83="",$C83=""),"",$C83*Rubric!$B$5+$D83*Rubric!$B$6+$E83*Rubric!$B$7+$F83*Rubric!$B$8+$G83*Rubric!$B$9+$H83*Rubric!$B$10)</f>
        <v>3.8</v>
      </c>
      <c r="O83" s="38" t="str">
        <f aca="false">IF($A83="","",IF(OR(UPPER($I83)="Y",UPPER($J83)="Y"),"FAIL","PASS"))</f>
        <v>PASS</v>
      </c>
      <c r="P83" s="39" t="n">
        <f aca="false">IF(OR($A83="",$L83=""),"",MAX(0,$L83-MAX($L83*Assumptions!$B$4,Assumptions!$B$5)))</f>
        <v>6400</v>
      </c>
      <c r="Q83" s="40" t="n">
        <f aca="false">IF($A83="","",Assumptions!$B$13)</f>
        <v>0.0960792032000001</v>
      </c>
      <c r="R83" s="39" t="n">
        <f aca="false">IF(OR($A83="",$M83=""),"",$M83*Assumptions!$B$7)</f>
        <v>55</v>
      </c>
      <c r="S83" s="39" t="n">
        <f aca="false">IF(OR($A83="",$P83="",$R83=""),"",MAX(0,$P83*$Q83-$R83))</f>
        <v>559.90690048</v>
      </c>
      <c r="T83" s="38" t="str">
        <f aca="false">IF($A83="","",IF($O83="FAIL","REJECT",IF($N83&gt;=4,IF(AND($K83&lt;&gt;"",$K83&gt;$S83),"BUY IF CHEAPER","BUY"),IF($N83&gt;=3.2,"WATCH","PASS"))))</f>
        <v>WATCH</v>
      </c>
      <c r="U83" s="26" t="s">
        <v>170</v>
      </c>
      <c r="V83" s="33" t="s">
        <v>327</v>
      </c>
    </row>
    <row r="84" customFormat="false" ht="15" hidden="false" customHeight="true" outlineLevel="0" collapsed="false">
      <c r="A84" s="23" t="s">
        <v>328</v>
      </c>
      <c r="B84" s="34" t="str">
        <f aca="false">IF($A84="","",IF(ISERROR(FIND(".",$A84)),"",LOWER(MID($A84,FIND(CHAR(1),SUBSTITUTE($A84,".",CHAR(1),LEN($A84)-LEN(SUBSTITUTE($A84,".",""))))+1,LEN($A84)))))</f>
        <v>com</v>
      </c>
      <c r="C84" s="35" t="n">
        <f aca="false">IF($B84="","",IFERROR(INDEX(Rubric!$B$15:$B$24,MATCH(LOWER($B84),Rubric!$A$15:$A$24,0)),INDEX(Rubric!$B$15:$B$24,MATCH("other",Rubric!$A$15:$A$24,0))))</f>
        <v>5</v>
      </c>
      <c r="D84" s="26" t="n">
        <v>3</v>
      </c>
      <c r="E84" s="26" t="n">
        <v>2</v>
      </c>
      <c r="F84" s="26" t="n">
        <v>5</v>
      </c>
      <c r="G84" s="26" t="n">
        <v>4</v>
      </c>
      <c r="H84" s="26" t="n">
        <v>3</v>
      </c>
      <c r="I84" s="26" t="s">
        <v>169</v>
      </c>
      <c r="J84" s="26" t="s">
        <v>169</v>
      </c>
      <c r="K84" s="41"/>
      <c r="L84" s="27" t="n">
        <v>4000</v>
      </c>
      <c r="M84" s="36" t="n">
        <f aca="false">IF($B84="","",IFERROR(INDEX(Rubric!$C$15:$C$24,MATCH(LOWER($B84),Rubric!$A$15:$A$24,0)),INDEX(Rubric!$C$15:$C$24,MATCH("other",Rubric!$A$15:$A$24,0))))</f>
        <v>11</v>
      </c>
      <c r="N84" s="37" t="n">
        <f aca="false">IF(OR($A84="",$C84=""),"",$C84*Rubric!$B$5+$D84*Rubric!$B$6+$E84*Rubric!$B$7+$F84*Rubric!$B$8+$G84*Rubric!$B$9+$H84*Rubric!$B$10)</f>
        <v>3.6</v>
      </c>
      <c r="O84" s="38" t="str">
        <f aca="false">IF($A84="","",IF(OR(UPPER($I84)="Y",UPPER($J84)="Y"),"FAIL","PASS"))</f>
        <v>PASS</v>
      </c>
      <c r="P84" s="39" t="n">
        <f aca="false">IF(OR($A84="",$L84=""),"",MAX(0,$L84-MAX($L84*Assumptions!$B$4,Assumptions!$B$5)))</f>
        <v>3200</v>
      </c>
      <c r="Q84" s="40" t="n">
        <f aca="false">IF($A84="","",Assumptions!$B$13)</f>
        <v>0.0960792032000001</v>
      </c>
      <c r="R84" s="39" t="n">
        <f aca="false">IF(OR($A84="",$M84=""),"",$M84*Assumptions!$B$7)</f>
        <v>55</v>
      </c>
      <c r="S84" s="39" t="n">
        <f aca="false">IF(OR($A84="",$P84="",$R84=""),"",MAX(0,$P84*$Q84-$R84))</f>
        <v>252.45345024</v>
      </c>
      <c r="T84" s="38" t="str">
        <f aca="false">IF($A84="","",IF($O84="FAIL","REJECT",IF($N84&gt;=4,IF(AND($K84&lt;&gt;"",$K84&gt;$S84),"BUY IF CHEAPER","BUY"),IF($N84&gt;=3.2,"WATCH","PASS"))))</f>
        <v>WATCH</v>
      </c>
      <c r="U84" s="26" t="s">
        <v>170</v>
      </c>
      <c r="V84" s="33" t="s">
        <v>329</v>
      </c>
    </row>
    <row r="85" customFormat="false" ht="23.25" hidden="false" customHeight="true" outlineLevel="0" collapsed="false">
      <c r="A85" s="23" t="s">
        <v>330</v>
      </c>
      <c r="B85" s="34" t="str">
        <f aca="false">IF($A85="","",IF(ISERROR(FIND(".",$A85)),"",LOWER(MID($A85,FIND(CHAR(1),SUBSTITUTE($A85,".",CHAR(1),LEN($A85)-LEN(SUBSTITUTE($A85,".",""))))+1,LEN($A85)))))</f>
        <v>com</v>
      </c>
      <c r="C85" s="35" t="n">
        <f aca="false">IF($B85="","",IFERROR(INDEX(Rubric!$B$15:$B$24,MATCH(LOWER($B85),Rubric!$A$15:$A$24,0)),INDEX(Rubric!$B$15:$B$24,MATCH("other",Rubric!$A$15:$A$24,0))))</f>
        <v>5</v>
      </c>
      <c r="D85" s="26" t="n">
        <v>3</v>
      </c>
      <c r="E85" s="26" t="n">
        <v>2</v>
      </c>
      <c r="F85" s="26" t="n">
        <v>5</v>
      </c>
      <c r="G85" s="26" t="n">
        <v>4</v>
      </c>
      <c r="H85" s="26" t="n">
        <v>3</v>
      </c>
      <c r="I85" s="26" t="s">
        <v>169</v>
      </c>
      <c r="J85" s="26" t="s">
        <v>169</v>
      </c>
      <c r="K85" s="41"/>
      <c r="L85" s="27" t="n">
        <v>4000</v>
      </c>
      <c r="M85" s="36" t="n">
        <f aca="false">IF($B85="","",IFERROR(INDEX(Rubric!$C$15:$C$24,MATCH(LOWER($B85),Rubric!$A$15:$A$24,0)),INDEX(Rubric!$C$15:$C$24,MATCH("other",Rubric!$A$15:$A$24,0))))</f>
        <v>11</v>
      </c>
      <c r="N85" s="37" t="n">
        <f aca="false">IF(OR($A85="",$C85=""),"",$C85*Rubric!$B$5+$D85*Rubric!$B$6+$E85*Rubric!$B$7+$F85*Rubric!$B$8+$G85*Rubric!$B$9+$H85*Rubric!$B$10)</f>
        <v>3.6</v>
      </c>
      <c r="O85" s="38" t="str">
        <f aca="false">IF($A85="","",IF(OR(UPPER($I85)="Y",UPPER($J85)="Y"),"FAIL","PASS"))</f>
        <v>PASS</v>
      </c>
      <c r="P85" s="39" t="n">
        <f aca="false">IF(OR($A85="",$L85=""),"",MAX(0,$L85-MAX($L85*Assumptions!$B$4,Assumptions!$B$5)))</f>
        <v>3200</v>
      </c>
      <c r="Q85" s="40" t="n">
        <f aca="false">IF($A85="","",Assumptions!$B$13)</f>
        <v>0.0960792032000001</v>
      </c>
      <c r="R85" s="39" t="n">
        <f aca="false">IF(OR($A85="",$M85=""),"",$M85*Assumptions!$B$7)</f>
        <v>55</v>
      </c>
      <c r="S85" s="39" t="n">
        <f aca="false">IF(OR($A85="",$P85="",$R85=""),"",MAX(0,$P85*$Q85-$R85))</f>
        <v>252.45345024</v>
      </c>
      <c r="T85" s="38" t="str">
        <f aca="false">IF($A85="","",IF($O85="FAIL","REJECT",IF($N85&gt;=4,IF(AND($K85&lt;&gt;"",$K85&gt;$S85),"BUY IF CHEAPER","BUY"),IF($N85&gt;=3.2,"WATCH","PASS"))))</f>
        <v>WATCH</v>
      </c>
      <c r="U85" s="26" t="s">
        <v>170</v>
      </c>
      <c r="V85" s="33" t="s">
        <v>331</v>
      </c>
    </row>
    <row r="86" customFormat="false" ht="23.25" hidden="false" customHeight="true" outlineLevel="0" collapsed="false">
      <c r="A86" s="23" t="s">
        <v>332</v>
      </c>
      <c r="B86" s="34" t="str">
        <f aca="false">IF($A86="","",IF(ISERROR(FIND(".",$A86)),"",LOWER(MID($A86,FIND(CHAR(1),SUBSTITUTE($A86,".",CHAR(1),LEN($A86)-LEN(SUBSTITUTE($A86,".",""))))+1,LEN($A86)))))</f>
        <v>com</v>
      </c>
      <c r="C86" s="35" t="n">
        <f aca="false">IF($B86="","",IFERROR(INDEX(Rubric!$B$15:$B$24,MATCH(LOWER($B86),Rubric!$A$15:$A$24,0)),INDEX(Rubric!$B$15:$B$24,MATCH("other",Rubric!$A$15:$A$24,0))))</f>
        <v>5</v>
      </c>
      <c r="D86" s="26" t="n">
        <v>3</v>
      </c>
      <c r="E86" s="26" t="n">
        <v>2</v>
      </c>
      <c r="F86" s="26" t="n">
        <v>5</v>
      </c>
      <c r="G86" s="26" t="n">
        <v>4</v>
      </c>
      <c r="H86" s="26" t="n">
        <v>4</v>
      </c>
      <c r="I86" s="26" t="s">
        <v>169</v>
      </c>
      <c r="J86" s="26" t="s">
        <v>169</v>
      </c>
      <c r="K86" s="41"/>
      <c r="L86" s="27" t="n">
        <v>3000</v>
      </c>
      <c r="M86" s="36" t="n">
        <f aca="false">IF($B86="","",IFERROR(INDEX(Rubric!$C$15:$C$24,MATCH(LOWER($B86),Rubric!$A$15:$A$24,0)),INDEX(Rubric!$C$15:$C$24,MATCH("other",Rubric!$A$15:$A$24,0))))</f>
        <v>11</v>
      </c>
      <c r="N86" s="37" t="n">
        <f aca="false">IF(OR($A86="",$C86=""),"",$C86*Rubric!$B$5+$D86*Rubric!$B$6+$E86*Rubric!$B$7+$F86*Rubric!$B$8+$G86*Rubric!$B$9+$H86*Rubric!$B$10)</f>
        <v>3.7</v>
      </c>
      <c r="O86" s="38" t="str">
        <f aca="false">IF($A86="","",IF(OR(UPPER($I86)="Y",UPPER($J86)="Y"),"FAIL","PASS"))</f>
        <v>PASS</v>
      </c>
      <c r="P86" s="39" t="n">
        <f aca="false">IF(OR($A86="",$L86=""),"",MAX(0,$L86-MAX($L86*Assumptions!$B$4,Assumptions!$B$5)))</f>
        <v>2400</v>
      </c>
      <c r="Q86" s="40" t="n">
        <f aca="false">IF($A86="","",Assumptions!$B$13)</f>
        <v>0.0960792032000001</v>
      </c>
      <c r="R86" s="39" t="n">
        <f aca="false">IF(OR($A86="",$M86=""),"",$M86*Assumptions!$B$7)</f>
        <v>55</v>
      </c>
      <c r="S86" s="39" t="n">
        <f aca="false">IF(OR($A86="",$P86="",$R86=""),"",MAX(0,$P86*$Q86-$R86))</f>
        <v>175.59008768</v>
      </c>
      <c r="T86" s="38" t="str">
        <f aca="false">IF($A86="","",IF($O86="FAIL","REJECT",IF($N86&gt;=4,IF(AND($K86&lt;&gt;"",$K86&gt;$S86),"BUY IF CHEAPER","BUY"),IF($N86&gt;=3.2,"WATCH","PASS"))))</f>
        <v>WATCH</v>
      </c>
      <c r="U86" s="26" t="s">
        <v>170</v>
      </c>
      <c r="V86" s="33" t="s">
        <v>333</v>
      </c>
    </row>
    <row r="87" customFormat="false" ht="15" hidden="false" customHeight="true" outlineLevel="0" collapsed="false">
      <c r="A87" s="23" t="s">
        <v>334</v>
      </c>
      <c r="B87" s="34" t="str">
        <f aca="false">IF($A87="","",IF(ISERROR(FIND(".",$A87)),"",LOWER(MID($A87,FIND(CHAR(1),SUBSTITUTE($A87,".",CHAR(1),LEN($A87)-LEN(SUBSTITUTE($A87,".",""))))+1,LEN($A87)))))</f>
        <v>com</v>
      </c>
      <c r="C87" s="35" t="n">
        <f aca="false">IF($B87="","",IFERROR(INDEX(Rubric!$B$15:$B$24,MATCH(LOWER($B87),Rubric!$A$15:$A$24,0)),INDEX(Rubric!$B$15:$B$24,MATCH("other",Rubric!$A$15:$A$24,0))))</f>
        <v>5</v>
      </c>
      <c r="D87" s="26" t="n">
        <v>2</v>
      </c>
      <c r="E87" s="26" t="n">
        <v>2</v>
      </c>
      <c r="F87" s="26" t="n">
        <v>5</v>
      </c>
      <c r="G87" s="26" t="n">
        <v>4</v>
      </c>
      <c r="H87" s="26" t="n">
        <v>4</v>
      </c>
      <c r="I87" s="26" t="s">
        <v>169</v>
      </c>
      <c r="J87" s="26" t="s">
        <v>169</v>
      </c>
      <c r="K87" s="41"/>
      <c r="L87" s="27" t="n">
        <v>2000</v>
      </c>
      <c r="M87" s="36" t="n">
        <f aca="false">IF($B87="","",IFERROR(INDEX(Rubric!$C$15:$C$24,MATCH(LOWER($B87),Rubric!$A$15:$A$24,0)),INDEX(Rubric!$C$15:$C$24,MATCH("other",Rubric!$A$15:$A$24,0))))</f>
        <v>11</v>
      </c>
      <c r="N87" s="37" t="n">
        <f aca="false">IF(OR($A87="",$C87=""),"",$C87*Rubric!$B$5+$D87*Rubric!$B$6+$E87*Rubric!$B$7+$F87*Rubric!$B$8+$G87*Rubric!$B$9+$H87*Rubric!$B$10)</f>
        <v>3.45</v>
      </c>
      <c r="O87" s="38" t="str">
        <f aca="false">IF($A87="","",IF(OR(UPPER($I87)="Y",UPPER($J87)="Y"),"FAIL","PASS"))</f>
        <v>PASS</v>
      </c>
      <c r="P87" s="39" t="n">
        <f aca="false">IF(OR($A87="",$L87=""),"",MAX(0,$L87-MAX($L87*Assumptions!$B$4,Assumptions!$B$5)))</f>
        <v>1600</v>
      </c>
      <c r="Q87" s="40" t="n">
        <f aca="false">IF($A87="","",Assumptions!$B$13)</f>
        <v>0.0960792032000001</v>
      </c>
      <c r="R87" s="39" t="n">
        <f aca="false">IF(OR($A87="",$M87=""),"",$M87*Assumptions!$B$7)</f>
        <v>55</v>
      </c>
      <c r="S87" s="39" t="n">
        <f aca="false">IF(OR($A87="",$P87="",$R87=""),"",MAX(0,$P87*$Q87-$R87))</f>
        <v>98.7267251200001</v>
      </c>
      <c r="T87" s="38" t="str">
        <f aca="false">IF($A87="","",IF($O87="FAIL","REJECT",IF($N87&gt;=4,IF(AND($K87&lt;&gt;"",$K87&gt;$S87),"BUY IF CHEAPER","BUY"),IF($N87&gt;=3.2,"WATCH","PASS"))))</f>
        <v>WATCH</v>
      </c>
      <c r="U87" s="26" t="s">
        <v>170</v>
      </c>
      <c r="V87" s="33" t="s">
        <v>335</v>
      </c>
    </row>
    <row r="88" customFormat="false" ht="15" hidden="false" customHeight="true" outlineLevel="0" collapsed="false">
      <c r="A88" s="23" t="s">
        <v>336</v>
      </c>
      <c r="B88" s="34" t="str">
        <f aca="false">IF($A88="","",IF(ISERROR(FIND(".",$A88)),"",LOWER(MID($A88,FIND(CHAR(1),SUBSTITUTE($A88,".",CHAR(1),LEN($A88)-LEN(SUBSTITUTE($A88,".",""))))+1,LEN($A88)))))</f>
        <v>com</v>
      </c>
      <c r="C88" s="35" t="n">
        <f aca="false">IF($B88="","",IFERROR(INDEX(Rubric!$B$15:$B$24,MATCH(LOWER($B88),Rubric!$A$15:$A$24,0)),INDEX(Rubric!$B$15:$B$24,MATCH("other",Rubric!$A$15:$A$24,0))))</f>
        <v>5</v>
      </c>
      <c r="D88" s="26" t="n">
        <v>2</v>
      </c>
      <c r="E88" s="26" t="n">
        <v>2</v>
      </c>
      <c r="F88" s="26" t="n">
        <v>4</v>
      </c>
      <c r="G88" s="26" t="n">
        <v>4</v>
      </c>
      <c r="H88" s="26" t="n">
        <v>5</v>
      </c>
      <c r="I88" s="26" t="s">
        <v>169</v>
      </c>
      <c r="J88" s="26" t="s">
        <v>169</v>
      </c>
      <c r="K88" s="41"/>
      <c r="L88" s="27" t="n">
        <v>1500</v>
      </c>
      <c r="M88" s="36" t="n">
        <f aca="false">IF($B88="","",IFERROR(INDEX(Rubric!$C$15:$C$24,MATCH(LOWER($B88),Rubric!$A$15:$A$24,0)),INDEX(Rubric!$C$15:$C$24,MATCH("other",Rubric!$A$15:$A$24,0))))</f>
        <v>11</v>
      </c>
      <c r="N88" s="37" t="n">
        <f aca="false">IF(OR($A88="",$C88=""),"",$C88*Rubric!$B$5+$D88*Rubric!$B$6+$E88*Rubric!$B$7+$F88*Rubric!$B$8+$G88*Rubric!$B$9+$H88*Rubric!$B$10)</f>
        <v>3.4</v>
      </c>
      <c r="O88" s="38" t="str">
        <f aca="false">IF($A88="","",IF(OR(UPPER($I88)="Y",UPPER($J88)="Y"),"FAIL","PASS"))</f>
        <v>PASS</v>
      </c>
      <c r="P88" s="39" t="n">
        <f aca="false">IF(OR($A88="",$L88=""),"",MAX(0,$L88-MAX($L88*Assumptions!$B$4,Assumptions!$B$5)))</f>
        <v>1200</v>
      </c>
      <c r="Q88" s="40" t="n">
        <f aca="false">IF($A88="","",Assumptions!$B$13)</f>
        <v>0.0960792032000001</v>
      </c>
      <c r="R88" s="39" t="n">
        <f aca="false">IF(OR($A88="",$M88=""),"",$M88*Assumptions!$B$7)</f>
        <v>55</v>
      </c>
      <c r="S88" s="39" t="n">
        <f aca="false">IF(OR($A88="",$P88="",$R88=""),"",MAX(0,$P88*$Q88-$R88))</f>
        <v>60.2950438400001</v>
      </c>
      <c r="T88" s="38" t="str">
        <f aca="false">IF($A88="","",IF($O88="FAIL","REJECT",IF($N88&gt;=4,IF(AND($K88&lt;&gt;"",$K88&gt;$S88),"BUY IF CHEAPER","BUY"),IF($N88&gt;=3.2,"WATCH","PASS"))))</f>
        <v>WATCH</v>
      </c>
      <c r="U88" s="26" t="s">
        <v>170</v>
      </c>
      <c r="V88" s="33" t="s">
        <v>337</v>
      </c>
    </row>
    <row r="89" customFormat="false" ht="23.25" hidden="false" customHeight="true" outlineLevel="0" collapsed="false">
      <c r="A89" s="23" t="s">
        <v>338</v>
      </c>
      <c r="B89" s="34" t="str">
        <f aca="false">IF($A89="","",IF(ISERROR(FIND(".",$A89)),"",LOWER(MID($A89,FIND(CHAR(1),SUBSTITUTE($A89,".",CHAR(1),LEN($A89)-LEN(SUBSTITUTE($A89,".",""))))+1,LEN($A89)))))</f>
        <v>com</v>
      </c>
      <c r="C89" s="35" t="n">
        <f aca="false">IF($B89="","",IFERROR(INDEX(Rubric!$B$15:$B$24,MATCH(LOWER($B89),Rubric!$A$15:$A$24,0)),INDEX(Rubric!$B$15:$B$24,MATCH("other",Rubric!$A$15:$A$24,0))))</f>
        <v>5</v>
      </c>
      <c r="D89" s="26" t="n">
        <v>3</v>
      </c>
      <c r="E89" s="26" t="n">
        <v>3</v>
      </c>
      <c r="F89" s="26" t="n">
        <v>5</v>
      </c>
      <c r="G89" s="26" t="n">
        <v>5</v>
      </c>
      <c r="H89" s="26" t="n">
        <v>2</v>
      </c>
      <c r="I89" s="26" t="s">
        <v>246</v>
      </c>
      <c r="J89" s="26" t="s">
        <v>169</v>
      </c>
      <c r="K89" s="41"/>
      <c r="L89" s="27" t="n">
        <v>10000</v>
      </c>
      <c r="M89" s="36" t="n">
        <f aca="false">IF($B89="","",IFERROR(INDEX(Rubric!$C$15:$C$24,MATCH(LOWER($B89),Rubric!$A$15:$A$24,0)),INDEX(Rubric!$C$15:$C$24,MATCH("other",Rubric!$A$15:$A$24,0))))</f>
        <v>11</v>
      </c>
      <c r="N89" s="37" t="n">
        <f aca="false">IF(OR($A89="",$C89=""),"",$C89*Rubric!$B$5+$D89*Rubric!$B$6+$E89*Rubric!$B$7+$F89*Rubric!$B$8+$G89*Rubric!$B$9+$H89*Rubric!$B$10)</f>
        <v>3.8</v>
      </c>
      <c r="O89" s="38" t="str">
        <f aca="false">IF($A89="","",IF(OR(UPPER($I89)="Y",UPPER($J89)="Y"),"FAIL","PASS"))</f>
        <v>FAIL</v>
      </c>
      <c r="P89" s="39" t="n">
        <f aca="false">IF(OR($A89="",$L89=""),"",MAX(0,$L89-MAX($L89*Assumptions!$B$4,Assumptions!$B$5)))</f>
        <v>8000</v>
      </c>
      <c r="Q89" s="40" t="n">
        <f aca="false">IF($A89="","",Assumptions!$B$13)</f>
        <v>0.0960792032000001</v>
      </c>
      <c r="R89" s="39" t="n">
        <f aca="false">IF(OR($A89="",$M89=""),"",$M89*Assumptions!$B$7)</f>
        <v>55</v>
      </c>
      <c r="S89" s="39" t="n">
        <f aca="false">IF(OR($A89="",$P89="",$R89=""),"",MAX(0,$P89*$Q89-$R89))</f>
        <v>713.633625600001</v>
      </c>
      <c r="T89" s="38" t="str">
        <f aca="false">IF($A89="","",IF($O89="FAIL","REJECT",IF($N89&gt;=4,IF(AND($K89&lt;&gt;"",$K89&gt;$S89),"BUY IF CHEAPER","BUY"),IF($N89&gt;=3.2,"WATCH","PASS"))))</f>
        <v>REJECT</v>
      </c>
      <c r="U89" s="26" t="s">
        <v>170</v>
      </c>
      <c r="V89" s="33" t="s">
        <v>339</v>
      </c>
    </row>
    <row r="90" customFormat="false" ht="23.25" hidden="false" customHeight="true" outlineLevel="0" collapsed="false">
      <c r="A90" s="23" t="s">
        <v>340</v>
      </c>
      <c r="B90" s="34" t="str">
        <f aca="false">IF($A90="","",IF(ISERROR(FIND(".",$A90)),"",LOWER(MID($A90,FIND(CHAR(1),SUBSTITUTE($A90,".",CHAR(1),LEN($A90)-LEN(SUBSTITUTE($A90,".",""))))+1,LEN($A90)))))</f>
        <v>com</v>
      </c>
      <c r="C90" s="35" t="n">
        <f aca="false">IF($B90="","",IFERROR(INDEX(Rubric!$B$15:$B$24,MATCH(LOWER($B90),Rubric!$A$15:$A$24,0)),INDEX(Rubric!$B$15:$B$24,MATCH("other",Rubric!$A$15:$A$24,0))))</f>
        <v>5</v>
      </c>
      <c r="D90" s="26" t="n">
        <v>3</v>
      </c>
      <c r="E90" s="26" t="n">
        <v>3</v>
      </c>
      <c r="F90" s="26" t="n">
        <v>5</v>
      </c>
      <c r="G90" s="26" t="n">
        <v>5</v>
      </c>
      <c r="H90" s="26" t="n">
        <v>2</v>
      </c>
      <c r="I90" s="26" t="s">
        <v>246</v>
      </c>
      <c r="J90" s="26" t="s">
        <v>169</v>
      </c>
      <c r="K90" s="41"/>
      <c r="L90" s="27" t="n">
        <v>12000</v>
      </c>
      <c r="M90" s="36" t="n">
        <f aca="false">IF($B90="","",IFERROR(INDEX(Rubric!$C$15:$C$24,MATCH(LOWER($B90),Rubric!$A$15:$A$24,0)),INDEX(Rubric!$C$15:$C$24,MATCH("other",Rubric!$A$15:$A$24,0))))</f>
        <v>11</v>
      </c>
      <c r="N90" s="37" t="n">
        <f aca="false">IF(OR($A90="",$C90=""),"",$C90*Rubric!$B$5+$D90*Rubric!$B$6+$E90*Rubric!$B$7+$F90*Rubric!$B$8+$G90*Rubric!$B$9+$H90*Rubric!$B$10)</f>
        <v>3.8</v>
      </c>
      <c r="O90" s="38" t="str">
        <f aca="false">IF($A90="","",IF(OR(UPPER($I90)="Y",UPPER($J90)="Y"),"FAIL","PASS"))</f>
        <v>FAIL</v>
      </c>
      <c r="P90" s="39" t="n">
        <f aca="false">IF(OR($A90="",$L90=""),"",MAX(0,$L90-MAX($L90*Assumptions!$B$4,Assumptions!$B$5)))</f>
        <v>9600</v>
      </c>
      <c r="Q90" s="40" t="n">
        <f aca="false">IF($A90="","",Assumptions!$B$13)</f>
        <v>0.0960792032000001</v>
      </c>
      <c r="R90" s="39" t="n">
        <f aca="false">IF(OR($A90="",$M90=""),"",$M90*Assumptions!$B$7)</f>
        <v>55</v>
      </c>
      <c r="S90" s="39" t="n">
        <f aca="false">IF(OR($A90="",$P90="",$R90=""),"",MAX(0,$P90*$Q90-$R90))</f>
        <v>867.360350720001</v>
      </c>
      <c r="T90" s="38" t="str">
        <f aca="false">IF($A90="","",IF($O90="FAIL","REJECT",IF($N90&gt;=4,IF(AND($K90&lt;&gt;"",$K90&gt;$S90),"BUY IF CHEAPER","BUY"),IF($N90&gt;=3.2,"WATCH","PASS"))))</f>
        <v>REJECT</v>
      </c>
      <c r="U90" s="26" t="s">
        <v>170</v>
      </c>
      <c r="V90" s="33" t="s">
        <v>341</v>
      </c>
    </row>
    <row r="91" customFormat="false" ht="23.25" hidden="false" customHeight="true" outlineLevel="0" collapsed="false">
      <c r="A91" s="23" t="s">
        <v>342</v>
      </c>
      <c r="B91" s="34" t="str">
        <f aca="false">IF($A91="","",IF(ISERROR(FIND(".",$A91)),"",LOWER(MID($A91,FIND(CHAR(1),SUBSTITUTE($A91,".",CHAR(1),LEN($A91)-LEN(SUBSTITUTE($A91,".",""))))+1,LEN($A91)))))</f>
        <v>com</v>
      </c>
      <c r="C91" s="35" t="n">
        <f aca="false">IF($B91="","",IFERROR(INDEX(Rubric!$B$15:$B$24,MATCH(LOWER($B91),Rubric!$A$15:$A$24,0)),INDEX(Rubric!$B$15:$B$24,MATCH("other",Rubric!$A$15:$A$24,0))))</f>
        <v>5</v>
      </c>
      <c r="D91" s="26" t="n">
        <v>3</v>
      </c>
      <c r="E91" s="26" t="n">
        <v>2</v>
      </c>
      <c r="F91" s="26" t="n">
        <v>5</v>
      </c>
      <c r="G91" s="26" t="n">
        <v>4</v>
      </c>
      <c r="H91" s="26" t="n">
        <v>5</v>
      </c>
      <c r="I91" s="26" t="s">
        <v>169</v>
      </c>
      <c r="J91" s="26" t="s">
        <v>169</v>
      </c>
      <c r="K91" s="41"/>
      <c r="L91" s="27" t="n">
        <v>3000</v>
      </c>
      <c r="M91" s="36" t="n">
        <f aca="false">IF($B91="","",IFERROR(INDEX(Rubric!$C$15:$C$24,MATCH(LOWER($B91),Rubric!$A$15:$A$24,0)),INDEX(Rubric!$C$15:$C$24,MATCH("other",Rubric!$A$15:$A$24,0))))</f>
        <v>11</v>
      </c>
      <c r="N91" s="37" t="n">
        <f aca="false">IF(OR($A91="",$C91=""),"",$C91*Rubric!$B$5+$D91*Rubric!$B$6+$E91*Rubric!$B$7+$F91*Rubric!$B$8+$G91*Rubric!$B$9+$H91*Rubric!$B$10)</f>
        <v>3.8</v>
      </c>
      <c r="O91" s="38" t="str">
        <f aca="false">IF($A91="","",IF(OR(UPPER($I91)="Y",UPPER($J91)="Y"),"FAIL","PASS"))</f>
        <v>PASS</v>
      </c>
      <c r="P91" s="39" t="n">
        <f aca="false">IF(OR($A91="",$L91=""),"",MAX(0,$L91-MAX($L91*Assumptions!$B$4,Assumptions!$B$5)))</f>
        <v>2400</v>
      </c>
      <c r="Q91" s="40" t="n">
        <f aca="false">IF($A91="","",Assumptions!$B$13)</f>
        <v>0.0960792032000001</v>
      </c>
      <c r="R91" s="39" t="n">
        <f aca="false">IF(OR($A91="",$M91=""),"",$M91*Assumptions!$B$7)</f>
        <v>55</v>
      </c>
      <c r="S91" s="39" t="n">
        <f aca="false">IF(OR($A91="",$P91="",$R91=""),"",MAX(0,$P91*$Q91-$R91))</f>
        <v>175.59008768</v>
      </c>
      <c r="T91" s="38" t="str">
        <f aca="false">IF($A91="","",IF($O91="FAIL","REJECT",IF($N91&gt;=4,IF(AND($K91&lt;&gt;"",$K91&gt;$S91),"BUY IF CHEAPER","BUY"),IF($N91&gt;=3.2,"WATCH","PASS"))))</f>
        <v>WATCH</v>
      </c>
      <c r="U91" s="26" t="s">
        <v>170</v>
      </c>
      <c r="V91" s="33" t="s">
        <v>343</v>
      </c>
    </row>
    <row r="92" customFormat="false" ht="15" hidden="false" customHeight="true" outlineLevel="0" collapsed="false">
      <c r="A92" s="23" t="s">
        <v>344</v>
      </c>
      <c r="B92" s="34" t="str">
        <f aca="false">IF($A92="","",IF(ISERROR(FIND(".",$A92)),"",LOWER(MID($A92,FIND(CHAR(1),SUBSTITUTE($A92,".",CHAR(1),LEN($A92)-LEN(SUBSTITUTE($A92,".",""))))+1,LEN($A92)))))</f>
        <v>com</v>
      </c>
      <c r="C92" s="35" t="n">
        <f aca="false">IF($B92="","",IFERROR(INDEX(Rubric!$B$15:$B$24,MATCH(LOWER($B92),Rubric!$A$15:$A$24,0)),INDEX(Rubric!$B$15:$B$24,MATCH("other",Rubric!$A$15:$A$24,0))))</f>
        <v>5</v>
      </c>
      <c r="D92" s="26" t="n">
        <v>3</v>
      </c>
      <c r="E92" s="26" t="n">
        <v>2</v>
      </c>
      <c r="F92" s="26" t="n">
        <v>5</v>
      </c>
      <c r="G92" s="26" t="n">
        <v>5</v>
      </c>
      <c r="H92" s="26" t="n">
        <v>5</v>
      </c>
      <c r="I92" s="26" t="s">
        <v>169</v>
      </c>
      <c r="J92" s="26" t="s">
        <v>169</v>
      </c>
      <c r="K92" s="41"/>
      <c r="L92" s="27" t="n">
        <v>3000</v>
      </c>
      <c r="M92" s="36" t="n">
        <f aca="false">IF($B92="","",IFERROR(INDEX(Rubric!$C$15:$C$24,MATCH(LOWER($B92),Rubric!$A$15:$A$24,0)),INDEX(Rubric!$C$15:$C$24,MATCH("other",Rubric!$A$15:$A$24,0))))</f>
        <v>11</v>
      </c>
      <c r="N92" s="37" t="n">
        <f aca="false">IF(OR($A92="",$C92=""),"",$C92*Rubric!$B$5+$D92*Rubric!$B$6+$E92*Rubric!$B$7+$F92*Rubric!$B$8+$G92*Rubric!$B$9+$H92*Rubric!$B$10)</f>
        <v>3.9</v>
      </c>
      <c r="O92" s="38" t="str">
        <f aca="false">IF($A92="","",IF(OR(UPPER($I92)="Y",UPPER($J92)="Y"),"FAIL","PASS"))</f>
        <v>PASS</v>
      </c>
      <c r="P92" s="39" t="n">
        <f aca="false">IF(OR($A92="",$L92=""),"",MAX(0,$L92-MAX($L92*Assumptions!$B$4,Assumptions!$B$5)))</f>
        <v>2400</v>
      </c>
      <c r="Q92" s="40" t="n">
        <f aca="false">IF($A92="","",Assumptions!$B$13)</f>
        <v>0.0960792032000001</v>
      </c>
      <c r="R92" s="39" t="n">
        <f aca="false">IF(OR($A92="",$M92=""),"",$M92*Assumptions!$B$7)</f>
        <v>55</v>
      </c>
      <c r="S92" s="39" t="n">
        <f aca="false">IF(OR($A92="",$P92="",$R92=""),"",MAX(0,$P92*$Q92-$R92))</f>
        <v>175.59008768</v>
      </c>
      <c r="T92" s="38" t="str">
        <f aca="false">IF($A92="","",IF($O92="FAIL","REJECT",IF($N92&gt;=4,IF(AND($K92&lt;&gt;"",$K92&gt;$S92),"BUY IF CHEAPER","BUY"),IF($N92&gt;=3.2,"WATCH","PASS"))))</f>
        <v>WATCH</v>
      </c>
      <c r="U92" s="26" t="s">
        <v>170</v>
      </c>
      <c r="V92" s="33" t="s">
        <v>345</v>
      </c>
    </row>
    <row r="93" customFormat="false" ht="15" hidden="false" customHeight="true" outlineLevel="0" collapsed="false">
      <c r="A93" s="23" t="s">
        <v>346</v>
      </c>
      <c r="B93" s="34" t="str">
        <f aca="false">IF($A93="","",IF(ISERROR(FIND(".",$A93)),"",LOWER(MID($A93,FIND(CHAR(1),SUBSTITUTE($A93,".",CHAR(1),LEN($A93)-LEN(SUBSTITUTE($A93,".",""))))+1,LEN($A93)))))</f>
        <v>com</v>
      </c>
      <c r="C93" s="35" t="n">
        <f aca="false">IF($B93="","",IFERROR(INDEX(Rubric!$B$15:$B$24,MATCH(LOWER($B93),Rubric!$A$15:$A$24,0)),INDEX(Rubric!$B$15:$B$24,MATCH("other",Rubric!$A$15:$A$24,0))))</f>
        <v>5</v>
      </c>
      <c r="D93" s="26" t="n">
        <v>3</v>
      </c>
      <c r="E93" s="26" t="n">
        <v>2</v>
      </c>
      <c r="F93" s="26" t="n">
        <v>5</v>
      </c>
      <c r="G93" s="26" t="n">
        <v>5</v>
      </c>
      <c r="H93" s="26" t="n">
        <v>5</v>
      </c>
      <c r="I93" s="26" t="s">
        <v>169</v>
      </c>
      <c r="J93" s="26" t="s">
        <v>169</v>
      </c>
      <c r="K93" s="41"/>
      <c r="L93" s="27" t="n">
        <v>2800</v>
      </c>
      <c r="M93" s="36" t="n">
        <f aca="false">IF($B93="","",IFERROR(INDEX(Rubric!$C$15:$C$24,MATCH(LOWER($B93),Rubric!$A$15:$A$24,0)),INDEX(Rubric!$C$15:$C$24,MATCH("other",Rubric!$A$15:$A$24,0))))</f>
        <v>11</v>
      </c>
      <c r="N93" s="37" t="n">
        <f aca="false">IF(OR($A93="",$C93=""),"",$C93*Rubric!$B$5+$D93*Rubric!$B$6+$E93*Rubric!$B$7+$F93*Rubric!$B$8+$G93*Rubric!$B$9+$H93*Rubric!$B$10)</f>
        <v>3.9</v>
      </c>
      <c r="O93" s="38" t="str">
        <f aca="false">IF($A93="","",IF(OR(UPPER($I93)="Y",UPPER($J93)="Y"),"FAIL","PASS"))</f>
        <v>PASS</v>
      </c>
      <c r="P93" s="39" t="n">
        <f aca="false">IF(OR($A93="",$L93=""),"",MAX(0,$L93-MAX($L93*Assumptions!$B$4,Assumptions!$B$5)))</f>
        <v>2240</v>
      </c>
      <c r="Q93" s="40" t="n">
        <f aca="false">IF($A93="","",Assumptions!$B$13)</f>
        <v>0.0960792032000001</v>
      </c>
      <c r="R93" s="39" t="n">
        <f aca="false">IF(OR($A93="",$M93=""),"",$M93*Assumptions!$B$7)</f>
        <v>55</v>
      </c>
      <c r="S93" s="39" t="n">
        <f aca="false">IF(OR($A93="",$P93="",$R93=""),"",MAX(0,$P93*$Q93-$R93))</f>
        <v>160.217415168</v>
      </c>
      <c r="T93" s="38" t="str">
        <f aca="false">IF($A93="","",IF($O93="FAIL","REJECT",IF($N93&gt;=4,IF(AND($K93&lt;&gt;"",$K93&gt;$S93),"BUY IF CHEAPER","BUY"),IF($N93&gt;=3.2,"WATCH","PASS"))))</f>
        <v>WATCH</v>
      </c>
      <c r="U93" s="26" t="s">
        <v>170</v>
      </c>
      <c r="V93" s="33" t="s">
        <v>347</v>
      </c>
    </row>
    <row r="94" customFormat="false" ht="15" hidden="false" customHeight="true" outlineLevel="0" collapsed="false">
      <c r="A94" s="23" t="s">
        <v>348</v>
      </c>
      <c r="B94" s="34" t="str">
        <f aca="false">IF($A94="","",IF(ISERROR(FIND(".",$A94)),"",LOWER(MID($A94,FIND(CHAR(1),SUBSTITUTE($A94,".",CHAR(1),LEN($A94)-LEN(SUBSTITUTE($A94,".",""))))+1,LEN($A94)))))</f>
        <v>com</v>
      </c>
      <c r="C94" s="35" t="n">
        <f aca="false">IF($B94="","",IFERROR(INDEX(Rubric!$B$15:$B$24,MATCH(LOWER($B94),Rubric!$A$15:$A$24,0)),INDEX(Rubric!$B$15:$B$24,MATCH("other",Rubric!$A$15:$A$24,0))))</f>
        <v>5</v>
      </c>
      <c r="D94" s="26" t="n">
        <v>3</v>
      </c>
      <c r="E94" s="26" t="n">
        <v>2</v>
      </c>
      <c r="F94" s="26" t="n">
        <v>5</v>
      </c>
      <c r="G94" s="26" t="n">
        <v>5</v>
      </c>
      <c r="H94" s="26" t="n">
        <v>5</v>
      </c>
      <c r="I94" s="26" t="s">
        <v>169</v>
      </c>
      <c r="J94" s="26" t="s">
        <v>169</v>
      </c>
      <c r="K94" s="41"/>
      <c r="L94" s="27" t="n">
        <v>3000</v>
      </c>
      <c r="M94" s="36" t="n">
        <f aca="false">IF($B94="","",IFERROR(INDEX(Rubric!$C$15:$C$24,MATCH(LOWER($B94),Rubric!$A$15:$A$24,0)),INDEX(Rubric!$C$15:$C$24,MATCH("other",Rubric!$A$15:$A$24,0))))</f>
        <v>11</v>
      </c>
      <c r="N94" s="37" t="n">
        <f aca="false">IF(OR($A94="",$C94=""),"",$C94*Rubric!$B$5+$D94*Rubric!$B$6+$E94*Rubric!$B$7+$F94*Rubric!$B$8+$G94*Rubric!$B$9+$H94*Rubric!$B$10)</f>
        <v>3.9</v>
      </c>
      <c r="O94" s="38" t="str">
        <f aca="false">IF($A94="","",IF(OR(UPPER($I94)="Y",UPPER($J94)="Y"),"FAIL","PASS"))</f>
        <v>PASS</v>
      </c>
      <c r="P94" s="39" t="n">
        <f aca="false">IF(OR($A94="",$L94=""),"",MAX(0,$L94-MAX($L94*Assumptions!$B$4,Assumptions!$B$5)))</f>
        <v>2400</v>
      </c>
      <c r="Q94" s="40" t="n">
        <f aca="false">IF($A94="","",Assumptions!$B$13)</f>
        <v>0.0960792032000001</v>
      </c>
      <c r="R94" s="39" t="n">
        <f aca="false">IF(OR($A94="",$M94=""),"",$M94*Assumptions!$B$7)</f>
        <v>55</v>
      </c>
      <c r="S94" s="39" t="n">
        <f aca="false">IF(OR($A94="",$P94="",$R94=""),"",MAX(0,$P94*$Q94-$R94))</f>
        <v>175.59008768</v>
      </c>
      <c r="T94" s="38" t="str">
        <f aca="false">IF($A94="","",IF($O94="FAIL","REJECT",IF($N94&gt;=4,IF(AND($K94&lt;&gt;"",$K94&gt;$S94),"BUY IF CHEAPER","BUY"),IF($N94&gt;=3.2,"WATCH","PASS"))))</f>
        <v>WATCH</v>
      </c>
      <c r="U94" s="26" t="s">
        <v>170</v>
      </c>
      <c r="V94" s="33" t="s">
        <v>349</v>
      </c>
    </row>
    <row r="95" customFormat="false" ht="15" hidden="false" customHeight="true" outlineLevel="0" collapsed="false">
      <c r="A95" s="23" t="s">
        <v>350</v>
      </c>
      <c r="B95" s="34" t="str">
        <f aca="false">IF($A95="","",IF(ISERROR(FIND(".",$A95)),"",LOWER(MID($A95,FIND(CHAR(1),SUBSTITUTE($A95,".",CHAR(1),LEN($A95)-LEN(SUBSTITUTE($A95,".",""))))+1,LEN($A95)))))</f>
        <v>com</v>
      </c>
      <c r="C95" s="35" t="n">
        <f aca="false">IF($B95="","",IFERROR(INDEX(Rubric!$B$15:$B$24,MATCH(LOWER($B95),Rubric!$A$15:$A$24,0)),INDEX(Rubric!$B$15:$B$24,MATCH("other",Rubric!$A$15:$A$24,0))))</f>
        <v>5</v>
      </c>
      <c r="D95" s="26" t="n">
        <v>4</v>
      </c>
      <c r="E95" s="26" t="n">
        <v>3</v>
      </c>
      <c r="F95" s="26" t="n">
        <v>5</v>
      </c>
      <c r="G95" s="26" t="n">
        <v>5</v>
      </c>
      <c r="H95" s="26" t="n">
        <v>4</v>
      </c>
      <c r="I95" s="26" t="s">
        <v>169</v>
      </c>
      <c r="J95" s="26" t="s">
        <v>169</v>
      </c>
      <c r="K95" s="41"/>
      <c r="L95" s="27" t="n">
        <v>4500</v>
      </c>
      <c r="M95" s="36" t="n">
        <f aca="false">IF($B95="","",IFERROR(INDEX(Rubric!$C$15:$C$24,MATCH(LOWER($B95),Rubric!$A$15:$A$24,0)),INDEX(Rubric!$C$15:$C$24,MATCH("other",Rubric!$A$15:$A$24,0))))</f>
        <v>11</v>
      </c>
      <c r="N95" s="37" t="n">
        <f aca="false">IF(OR($A95="",$C95=""),"",$C95*Rubric!$B$5+$D95*Rubric!$B$6+$E95*Rubric!$B$7+$F95*Rubric!$B$8+$G95*Rubric!$B$9+$H95*Rubric!$B$10)</f>
        <v>4.25</v>
      </c>
      <c r="O95" s="38" t="str">
        <f aca="false">IF($A95="","",IF(OR(UPPER($I95)="Y",UPPER($J95)="Y"),"FAIL","PASS"))</f>
        <v>PASS</v>
      </c>
      <c r="P95" s="39" t="n">
        <f aca="false">IF(OR($A95="",$L95=""),"",MAX(0,$L95-MAX($L95*Assumptions!$B$4,Assumptions!$B$5)))</f>
        <v>3600</v>
      </c>
      <c r="Q95" s="40" t="n">
        <f aca="false">IF($A95="","",Assumptions!$B$13)</f>
        <v>0.0960792032000001</v>
      </c>
      <c r="R95" s="39" t="n">
        <f aca="false">IF(OR($A95="",$M95=""),"",$M95*Assumptions!$B$7)</f>
        <v>55</v>
      </c>
      <c r="S95" s="39" t="n">
        <f aca="false">IF(OR($A95="",$P95="",$R95=""),"",MAX(0,$P95*$Q95-$R95))</f>
        <v>290.88513152</v>
      </c>
      <c r="T95" s="38" t="str">
        <f aca="false">IF($A95="","",IF($O95="FAIL","REJECT",IF($N95&gt;=4,IF(AND($K95&lt;&gt;"",$K95&gt;$S95),"BUY IF CHEAPER","BUY"),IF($N95&gt;=3.2,"WATCH","PASS"))))</f>
        <v>BUY</v>
      </c>
      <c r="U95" s="26" t="s">
        <v>170</v>
      </c>
      <c r="V95" s="33" t="s">
        <v>351</v>
      </c>
    </row>
    <row r="96" customFormat="false" ht="23.25" hidden="false" customHeight="true" outlineLevel="0" collapsed="false">
      <c r="A96" s="23" t="s">
        <v>352</v>
      </c>
      <c r="B96" s="34" t="str">
        <f aca="false">IF($A96="","",IF(ISERROR(FIND(".",$A96)),"",LOWER(MID($A96,FIND(CHAR(1),SUBSTITUTE($A96,".",CHAR(1),LEN($A96)-LEN(SUBSTITUTE($A96,".",""))))+1,LEN($A96)))))</f>
        <v>com</v>
      </c>
      <c r="C96" s="35" t="n">
        <f aca="false">IF($B96="","",IFERROR(INDEX(Rubric!$B$15:$B$24,MATCH(LOWER($B96),Rubric!$A$15:$A$24,0)),INDEX(Rubric!$B$15:$B$24,MATCH("other",Rubric!$A$15:$A$24,0))))</f>
        <v>5</v>
      </c>
      <c r="D96" s="26" t="n">
        <v>3</v>
      </c>
      <c r="E96" s="26" t="n">
        <v>2</v>
      </c>
      <c r="F96" s="26" t="n">
        <v>4</v>
      </c>
      <c r="G96" s="26" t="n">
        <v>5</v>
      </c>
      <c r="H96" s="26" t="n">
        <v>5</v>
      </c>
      <c r="I96" s="26" t="s">
        <v>169</v>
      </c>
      <c r="J96" s="26" t="s">
        <v>169</v>
      </c>
      <c r="K96" s="42" t="n">
        <v>14999</v>
      </c>
      <c r="L96" s="27" t="n">
        <v>2500</v>
      </c>
      <c r="M96" s="36" t="n">
        <f aca="false">IF($B96="","",IFERROR(INDEX(Rubric!$C$15:$C$24,MATCH(LOWER($B96),Rubric!$A$15:$A$24,0)),INDEX(Rubric!$C$15:$C$24,MATCH("other",Rubric!$A$15:$A$24,0))))</f>
        <v>11</v>
      </c>
      <c r="N96" s="37" t="n">
        <f aca="false">IF(OR($A96="",$C96=""),"",$C96*Rubric!$B$5+$D96*Rubric!$B$6+$E96*Rubric!$B$7+$F96*Rubric!$B$8+$G96*Rubric!$B$9+$H96*Rubric!$B$10)</f>
        <v>3.75</v>
      </c>
      <c r="O96" s="38" t="str">
        <f aca="false">IF($A96="","",IF(OR(UPPER($I96)="Y",UPPER($J96)="Y"),"FAIL","PASS"))</f>
        <v>PASS</v>
      </c>
      <c r="P96" s="39" t="n">
        <f aca="false">IF(OR($A96="",$L96=""),"",MAX(0,$L96-MAX($L96*Assumptions!$B$4,Assumptions!$B$5)))</f>
        <v>2000</v>
      </c>
      <c r="Q96" s="40" t="n">
        <f aca="false">IF($A96="","",Assumptions!$B$13)</f>
        <v>0.0960792032000001</v>
      </c>
      <c r="R96" s="39" t="n">
        <f aca="false">IF(OR($A96="",$M96=""),"",$M96*Assumptions!$B$7)</f>
        <v>55</v>
      </c>
      <c r="S96" s="39" t="n">
        <f aca="false">IF(OR($A96="",$P96="",$R96=""),"",MAX(0,$P96*$Q96-$R96))</f>
        <v>137.1584064</v>
      </c>
      <c r="T96" s="38" t="str">
        <f aca="false">IF($A96="","",IF($O96="FAIL","REJECT",IF($N96&gt;=4,IF(AND($K96&lt;&gt;"",$K96&gt;$S96),"BUY IF CHEAPER","BUY"),IF($N96&gt;=3.2,"WATCH","PASS"))))</f>
        <v>WATCH</v>
      </c>
      <c r="U96" s="26" t="s">
        <v>197</v>
      </c>
      <c r="V96" s="33" t="s">
        <v>353</v>
      </c>
    </row>
    <row r="97" customFormat="false" ht="15" hidden="false" customHeight="true" outlineLevel="0" collapsed="false">
      <c r="A97" s="23" t="s">
        <v>354</v>
      </c>
      <c r="B97" s="34" t="str">
        <f aca="false">IF($A97="","",IF(ISERROR(FIND(".",$A97)),"",LOWER(MID($A97,FIND(CHAR(1),SUBSTITUTE($A97,".",CHAR(1),LEN($A97)-LEN(SUBSTITUTE($A97,".",""))))+1,LEN($A97)))))</f>
        <v>com</v>
      </c>
      <c r="C97" s="35" t="n">
        <f aca="false">IF($B97="","",IFERROR(INDEX(Rubric!$B$15:$B$24,MATCH(LOWER($B97),Rubric!$A$15:$A$24,0)),INDEX(Rubric!$B$15:$B$24,MATCH("other",Rubric!$A$15:$A$24,0))))</f>
        <v>5</v>
      </c>
      <c r="D97" s="26" t="n">
        <v>3</v>
      </c>
      <c r="E97" s="26" t="n">
        <v>2</v>
      </c>
      <c r="F97" s="26" t="n">
        <v>4</v>
      </c>
      <c r="G97" s="26" t="n">
        <v>5</v>
      </c>
      <c r="H97" s="26" t="n">
        <v>5</v>
      </c>
      <c r="I97" s="26" t="s">
        <v>169</v>
      </c>
      <c r="J97" s="26" t="s">
        <v>169</v>
      </c>
      <c r="K97" s="41"/>
      <c r="L97" s="27" t="n">
        <v>2500</v>
      </c>
      <c r="M97" s="36" t="n">
        <f aca="false">IF($B97="","",IFERROR(INDEX(Rubric!$C$15:$C$24,MATCH(LOWER($B97),Rubric!$A$15:$A$24,0)),INDEX(Rubric!$C$15:$C$24,MATCH("other",Rubric!$A$15:$A$24,0))))</f>
        <v>11</v>
      </c>
      <c r="N97" s="37" t="n">
        <f aca="false">IF(OR($A97="",$C97=""),"",$C97*Rubric!$B$5+$D97*Rubric!$B$6+$E97*Rubric!$B$7+$F97*Rubric!$B$8+$G97*Rubric!$B$9+$H97*Rubric!$B$10)</f>
        <v>3.75</v>
      </c>
      <c r="O97" s="38" t="str">
        <f aca="false">IF($A97="","",IF(OR(UPPER($I97)="Y",UPPER($J97)="Y"),"FAIL","PASS"))</f>
        <v>PASS</v>
      </c>
      <c r="P97" s="39" t="n">
        <f aca="false">IF(OR($A97="",$L97=""),"",MAX(0,$L97-MAX($L97*Assumptions!$B$4,Assumptions!$B$5)))</f>
        <v>2000</v>
      </c>
      <c r="Q97" s="40" t="n">
        <f aca="false">IF($A97="","",Assumptions!$B$13)</f>
        <v>0.0960792032000001</v>
      </c>
      <c r="R97" s="39" t="n">
        <f aca="false">IF(OR($A97="",$M97=""),"",$M97*Assumptions!$B$7)</f>
        <v>55</v>
      </c>
      <c r="S97" s="39" t="n">
        <f aca="false">IF(OR($A97="",$P97="",$R97=""),"",MAX(0,$P97*$Q97-$R97))</f>
        <v>137.1584064</v>
      </c>
      <c r="T97" s="38" t="str">
        <f aca="false">IF($A97="","",IF($O97="FAIL","REJECT",IF($N97&gt;=4,IF(AND($K97&lt;&gt;"",$K97&gt;$S97),"BUY IF CHEAPER","BUY"),IF($N97&gt;=3.2,"WATCH","PASS"))))</f>
        <v>WATCH</v>
      </c>
      <c r="U97" s="26" t="s">
        <v>170</v>
      </c>
      <c r="V97" s="33" t="s">
        <v>355</v>
      </c>
    </row>
    <row r="98" customFormat="false" ht="15" hidden="false" customHeight="true" outlineLevel="0" collapsed="false">
      <c r="A98" s="23" t="s">
        <v>356</v>
      </c>
      <c r="B98" s="34" t="str">
        <f aca="false">IF($A98="","",IF(ISERROR(FIND(".",$A98)),"",LOWER(MID($A98,FIND(CHAR(1),SUBSTITUTE($A98,".",CHAR(1),LEN($A98)-LEN(SUBSTITUTE($A98,".",""))))+1,LEN($A98)))))</f>
        <v>com</v>
      </c>
      <c r="C98" s="35" t="n">
        <f aca="false">IF($B98="","",IFERROR(INDEX(Rubric!$B$15:$B$24,MATCH(LOWER($B98),Rubric!$A$15:$A$24,0)),INDEX(Rubric!$B$15:$B$24,MATCH("other",Rubric!$A$15:$A$24,0))))</f>
        <v>5</v>
      </c>
      <c r="D98" s="26" t="n">
        <v>4</v>
      </c>
      <c r="E98" s="26" t="n">
        <v>3</v>
      </c>
      <c r="F98" s="26" t="n">
        <v>5</v>
      </c>
      <c r="G98" s="26" t="n">
        <v>5</v>
      </c>
      <c r="H98" s="26" t="n">
        <v>3</v>
      </c>
      <c r="I98" s="26" t="s">
        <v>246</v>
      </c>
      <c r="J98" s="26" t="s">
        <v>169</v>
      </c>
      <c r="K98" s="41"/>
      <c r="L98" s="27" t="n">
        <v>6000</v>
      </c>
      <c r="M98" s="36" t="n">
        <f aca="false">IF($B98="","",IFERROR(INDEX(Rubric!$C$15:$C$24,MATCH(LOWER($B98),Rubric!$A$15:$A$24,0)),INDEX(Rubric!$C$15:$C$24,MATCH("other",Rubric!$A$15:$A$24,0))))</f>
        <v>11</v>
      </c>
      <c r="N98" s="37" t="n">
        <f aca="false">IF(OR($A98="",$C98=""),"",$C98*Rubric!$B$5+$D98*Rubric!$B$6+$E98*Rubric!$B$7+$F98*Rubric!$B$8+$G98*Rubric!$B$9+$H98*Rubric!$B$10)</f>
        <v>4.15</v>
      </c>
      <c r="O98" s="38" t="str">
        <f aca="false">IF($A98="","",IF(OR(UPPER($I98)="Y",UPPER($J98)="Y"),"FAIL","PASS"))</f>
        <v>FAIL</v>
      </c>
      <c r="P98" s="39" t="n">
        <f aca="false">IF(OR($A98="",$L98=""),"",MAX(0,$L98-MAX($L98*Assumptions!$B$4,Assumptions!$B$5)))</f>
        <v>4800</v>
      </c>
      <c r="Q98" s="40" t="n">
        <f aca="false">IF($A98="","",Assumptions!$B$13)</f>
        <v>0.0960792032000001</v>
      </c>
      <c r="R98" s="39" t="n">
        <f aca="false">IF(OR($A98="",$M98=""),"",$M98*Assumptions!$B$7)</f>
        <v>55</v>
      </c>
      <c r="S98" s="39" t="n">
        <f aca="false">IF(OR($A98="",$P98="",$R98=""),"",MAX(0,$P98*$Q98-$R98))</f>
        <v>406.18017536</v>
      </c>
      <c r="T98" s="38" t="str">
        <f aca="false">IF($A98="","",IF($O98="FAIL","REJECT",IF($N98&gt;=4,IF(AND($K98&lt;&gt;"",$K98&gt;$S98),"BUY IF CHEAPER","BUY"),IF($N98&gt;=3.2,"WATCH","PASS"))))</f>
        <v>REJECT</v>
      </c>
      <c r="U98" s="26" t="s">
        <v>170</v>
      </c>
      <c r="V98" s="33" t="s">
        <v>357</v>
      </c>
    </row>
    <row r="99" customFormat="false" ht="15" hidden="false" customHeight="true" outlineLevel="0" collapsed="false">
      <c r="A99" s="23" t="s">
        <v>358</v>
      </c>
      <c r="B99" s="34" t="str">
        <f aca="false">IF($A99="","",IF(ISERROR(FIND(".",$A99)),"",LOWER(MID($A99,FIND(CHAR(1),SUBSTITUTE($A99,".",CHAR(1),LEN($A99)-LEN(SUBSTITUTE($A99,".",""))))+1,LEN($A99)))))</f>
        <v>com</v>
      </c>
      <c r="C99" s="35" t="n">
        <f aca="false">IF($B99="","",IFERROR(INDEX(Rubric!$B$15:$B$24,MATCH(LOWER($B99),Rubric!$A$15:$A$24,0)),INDEX(Rubric!$B$15:$B$24,MATCH("other",Rubric!$A$15:$A$24,0))))</f>
        <v>5</v>
      </c>
      <c r="D99" s="26" t="n">
        <v>4</v>
      </c>
      <c r="E99" s="26" t="n">
        <v>3</v>
      </c>
      <c r="F99" s="26" t="n">
        <v>5</v>
      </c>
      <c r="G99" s="26" t="n">
        <v>5</v>
      </c>
      <c r="H99" s="26" t="n">
        <v>2</v>
      </c>
      <c r="I99" s="26" t="s">
        <v>246</v>
      </c>
      <c r="J99" s="26" t="s">
        <v>169</v>
      </c>
      <c r="K99" s="41"/>
      <c r="L99" s="27" t="n">
        <v>15000</v>
      </c>
      <c r="M99" s="36" t="n">
        <f aca="false">IF($B99="","",IFERROR(INDEX(Rubric!$C$15:$C$24,MATCH(LOWER($B99),Rubric!$A$15:$A$24,0)),INDEX(Rubric!$C$15:$C$24,MATCH("other",Rubric!$A$15:$A$24,0))))</f>
        <v>11</v>
      </c>
      <c r="N99" s="37" t="n">
        <f aca="false">IF(OR($A99="",$C99=""),"",$C99*Rubric!$B$5+$D99*Rubric!$B$6+$E99*Rubric!$B$7+$F99*Rubric!$B$8+$G99*Rubric!$B$9+$H99*Rubric!$B$10)</f>
        <v>4.05</v>
      </c>
      <c r="O99" s="38" t="str">
        <f aca="false">IF($A99="","",IF(OR(UPPER($I99)="Y",UPPER($J99)="Y"),"FAIL","PASS"))</f>
        <v>FAIL</v>
      </c>
      <c r="P99" s="39" t="n">
        <f aca="false">IF(OR($A99="",$L99=""),"",MAX(0,$L99-MAX($L99*Assumptions!$B$4,Assumptions!$B$5)))</f>
        <v>12000</v>
      </c>
      <c r="Q99" s="40" t="n">
        <f aca="false">IF($A99="","",Assumptions!$B$13)</f>
        <v>0.0960792032000001</v>
      </c>
      <c r="R99" s="39" t="n">
        <f aca="false">IF(OR($A99="",$M99=""),"",$M99*Assumptions!$B$7)</f>
        <v>55</v>
      </c>
      <c r="S99" s="39" t="n">
        <f aca="false">IF(OR($A99="",$P99="",$R99=""),"",MAX(0,$P99*$Q99-$R99))</f>
        <v>1097.9504384</v>
      </c>
      <c r="T99" s="38" t="str">
        <f aca="false">IF($A99="","",IF($O99="FAIL","REJECT",IF($N99&gt;=4,IF(AND($K99&lt;&gt;"",$K99&gt;$S99),"BUY IF CHEAPER","BUY"),IF($N99&gt;=3.2,"WATCH","PASS"))))</f>
        <v>REJECT</v>
      </c>
      <c r="U99" s="26" t="s">
        <v>170</v>
      </c>
      <c r="V99" s="33" t="s">
        <v>359</v>
      </c>
    </row>
    <row r="100" customFormat="false" ht="23.25" hidden="false" customHeight="true" outlineLevel="0" collapsed="false">
      <c r="A100" s="23" t="s">
        <v>360</v>
      </c>
      <c r="B100" s="34" t="str">
        <f aca="false">IF($A100="","",IF(ISERROR(FIND(".",$A100)),"",LOWER(MID($A100,FIND(CHAR(1),SUBSTITUTE($A100,".",CHAR(1),LEN($A100)-LEN(SUBSTITUTE($A100,".",""))))+1,LEN($A100)))))</f>
        <v>com</v>
      </c>
      <c r="C100" s="35" t="n">
        <f aca="false">IF($B100="","",IFERROR(INDEX(Rubric!$B$15:$B$24,MATCH(LOWER($B100),Rubric!$A$15:$A$24,0)),INDEX(Rubric!$B$15:$B$24,MATCH("other",Rubric!$A$15:$A$24,0))))</f>
        <v>5</v>
      </c>
      <c r="D100" s="26" t="n">
        <v>4</v>
      </c>
      <c r="E100" s="26" t="n">
        <v>3</v>
      </c>
      <c r="F100" s="26" t="n">
        <v>4</v>
      </c>
      <c r="G100" s="26" t="n">
        <v>4</v>
      </c>
      <c r="H100" s="26" t="n">
        <v>4</v>
      </c>
      <c r="I100" s="26" t="s">
        <v>169</v>
      </c>
      <c r="J100" s="26" t="s">
        <v>169</v>
      </c>
      <c r="K100" s="41"/>
      <c r="L100" s="27" t="n">
        <v>6000</v>
      </c>
      <c r="M100" s="36" t="n">
        <f aca="false">IF($B100="","",IFERROR(INDEX(Rubric!$C$15:$C$24,MATCH(LOWER($B100),Rubric!$A$15:$A$24,0)),INDEX(Rubric!$C$15:$C$24,MATCH("other",Rubric!$A$15:$A$24,0))))</f>
        <v>11</v>
      </c>
      <c r="N100" s="37" t="n">
        <f aca="false">IF(OR($A100="",$C100=""),"",$C100*Rubric!$B$5+$D100*Rubric!$B$6+$E100*Rubric!$B$7+$F100*Rubric!$B$8+$G100*Rubric!$B$9+$H100*Rubric!$B$10)</f>
        <v>4</v>
      </c>
      <c r="O100" s="38" t="str">
        <f aca="false">IF($A100="","",IF(OR(UPPER($I100)="Y",UPPER($J100)="Y"),"FAIL","PASS"))</f>
        <v>PASS</v>
      </c>
      <c r="P100" s="39" t="n">
        <f aca="false">IF(OR($A100="",$L100=""),"",MAX(0,$L100-MAX($L100*Assumptions!$B$4,Assumptions!$B$5)))</f>
        <v>4800</v>
      </c>
      <c r="Q100" s="40" t="n">
        <f aca="false">IF($A100="","",Assumptions!$B$13)</f>
        <v>0.0960792032000001</v>
      </c>
      <c r="R100" s="39" t="n">
        <f aca="false">IF(OR($A100="",$M100=""),"",$M100*Assumptions!$B$7)</f>
        <v>55</v>
      </c>
      <c r="S100" s="39" t="n">
        <f aca="false">IF(OR($A100="",$P100="",$R100=""),"",MAX(0,$P100*$Q100-$R100))</f>
        <v>406.18017536</v>
      </c>
      <c r="T100" s="38" t="str">
        <f aca="false">IF($A100="","",IF($O100="FAIL","REJECT",IF($N100&gt;=4,IF(AND($K100&lt;&gt;"",$K100&gt;$S100),"BUY IF CHEAPER","BUY"),IF($N100&gt;=3.2,"WATCH","PASS"))))</f>
        <v>BUY</v>
      </c>
      <c r="U100" s="26" t="s">
        <v>170</v>
      </c>
      <c r="V100" s="33" t="s">
        <v>361</v>
      </c>
    </row>
    <row r="101" customFormat="false" ht="23.25" hidden="false" customHeight="true" outlineLevel="0" collapsed="false">
      <c r="A101" s="23" t="s">
        <v>362</v>
      </c>
      <c r="B101" s="34" t="str">
        <f aca="false">IF($A101="","",IF(ISERROR(FIND(".",$A101)),"",LOWER(MID($A101,FIND(CHAR(1),SUBSTITUTE($A101,".",CHAR(1),LEN($A101)-LEN(SUBSTITUTE($A101,".",""))))+1,LEN($A101)))))</f>
        <v>com</v>
      </c>
      <c r="C101" s="35" t="n">
        <f aca="false">IF($B101="","",IFERROR(INDEX(Rubric!$B$15:$B$24,MATCH(LOWER($B101),Rubric!$A$15:$A$24,0)),INDEX(Rubric!$B$15:$B$24,MATCH("other",Rubric!$A$15:$A$24,0))))</f>
        <v>5</v>
      </c>
      <c r="D101" s="26" t="n">
        <v>4</v>
      </c>
      <c r="E101" s="26" t="n">
        <v>3</v>
      </c>
      <c r="F101" s="26" t="n">
        <v>5</v>
      </c>
      <c r="G101" s="26" t="n">
        <v>5</v>
      </c>
      <c r="H101" s="26" t="n">
        <v>2</v>
      </c>
      <c r="I101" s="26" t="s">
        <v>169</v>
      </c>
      <c r="J101" s="26" t="s">
        <v>169</v>
      </c>
      <c r="K101" s="41"/>
      <c r="L101" s="27" t="n">
        <v>12000</v>
      </c>
      <c r="M101" s="36" t="n">
        <f aca="false">IF($B101="","",IFERROR(INDEX(Rubric!$C$15:$C$24,MATCH(LOWER($B101),Rubric!$A$15:$A$24,0)),INDEX(Rubric!$C$15:$C$24,MATCH("other",Rubric!$A$15:$A$24,0))))</f>
        <v>11</v>
      </c>
      <c r="N101" s="37" t="n">
        <f aca="false">IF(OR($A101="",$C101=""),"",$C101*Rubric!$B$5+$D101*Rubric!$B$6+$E101*Rubric!$B$7+$F101*Rubric!$B$8+$G101*Rubric!$B$9+$H101*Rubric!$B$10)</f>
        <v>4.05</v>
      </c>
      <c r="O101" s="38" t="str">
        <f aca="false">IF($A101="","",IF(OR(UPPER($I101)="Y",UPPER($J101)="Y"),"FAIL","PASS"))</f>
        <v>PASS</v>
      </c>
      <c r="P101" s="39" t="n">
        <f aca="false">IF(OR($A101="",$L101=""),"",MAX(0,$L101-MAX($L101*Assumptions!$B$4,Assumptions!$B$5)))</f>
        <v>9600</v>
      </c>
      <c r="Q101" s="40" t="n">
        <f aca="false">IF($A101="","",Assumptions!$B$13)</f>
        <v>0.0960792032000001</v>
      </c>
      <c r="R101" s="39" t="n">
        <f aca="false">IF(OR($A101="",$M101=""),"",$M101*Assumptions!$B$7)</f>
        <v>55</v>
      </c>
      <c r="S101" s="39" t="n">
        <f aca="false">IF(OR($A101="",$P101="",$R101=""),"",MAX(0,$P101*$Q101-$R101))</f>
        <v>867.360350720001</v>
      </c>
      <c r="T101" s="38" t="str">
        <f aca="false">IF($A101="","",IF($O101="FAIL","REJECT",IF($N101&gt;=4,IF(AND($K101&lt;&gt;"",$K101&gt;$S101),"BUY IF CHEAPER","BUY"),IF($N101&gt;=3.2,"WATCH","PASS"))))</f>
        <v>BUY</v>
      </c>
      <c r="U101" s="26" t="s">
        <v>170</v>
      </c>
      <c r="V101" s="33" t="s">
        <v>363</v>
      </c>
    </row>
    <row r="102" customFormat="false" ht="15" hidden="false" customHeight="true" outlineLevel="0" collapsed="false">
      <c r="A102" s="23" t="s">
        <v>364</v>
      </c>
      <c r="B102" s="34" t="str">
        <f aca="false">IF($A102="","",IF(ISERROR(FIND(".",$A102)),"",LOWER(MID($A102,FIND(CHAR(1),SUBSTITUTE($A102,".",CHAR(1),LEN($A102)-LEN(SUBSTITUTE($A102,".",""))))+1,LEN($A102)))))</f>
        <v>com</v>
      </c>
      <c r="C102" s="35" t="n">
        <f aca="false">IF($B102="","",IFERROR(INDEX(Rubric!$B$15:$B$24,MATCH(LOWER($B102),Rubric!$A$15:$A$24,0)),INDEX(Rubric!$B$15:$B$24,MATCH("other",Rubric!$A$15:$A$24,0))))</f>
        <v>5</v>
      </c>
      <c r="D102" s="26" t="n">
        <v>4</v>
      </c>
      <c r="E102" s="26" t="n">
        <v>3</v>
      </c>
      <c r="F102" s="26" t="n">
        <v>5</v>
      </c>
      <c r="G102" s="26" t="n">
        <v>5</v>
      </c>
      <c r="H102" s="26" t="n">
        <v>2</v>
      </c>
      <c r="I102" s="26" t="s">
        <v>169</v>
      </c>
      <c r="J102" s="26" t="s">
        <v>169</v>
      </c>
      <c r="K102" s="42" t="n">
        <v>287500</v>
      </c>
      <c r="L102" s="27" t="n">
        <v>10000</v>
      </c>
      <c r="M102" s="36" t="n">
        <f aca="false">IF($B102="","",IFERROR(INDEX(Rubric!$C$15:$C$24,MATCH(LOWER($B102),Rubric!$A$15:$A$24,0)),INDEX(Rubric!$C$15:$C$24,MATCH("other",Rubric!$A$15:$A$24,0))))</f>
        <v>11</v>
      </c>
      <c r="N102" s="37" t="n">
        <f aca="false">IF(OR($A102="",$C102=""),"",$C102*Rubric!$B$5+$D102*Rubric!$B$6+$E102*Rubric!$B$7+$F102*Rubric!$B$8+$G102*Rubric!$B$9+$H102*Rubric!$B$10)</f>
        <v>4.05</v>
      </c>
      <c r="O102" s="38" t="str">
        <f aca="false">IF($A102="","",IF(OR(UPPER($I102)="Y",UPPER($J102)="Y"),"FAIL","PASS"))</f>
        <v>PASS</v>
      </c>
      <c r="P102" s="39" t="n">
        <f aca="false">IF(OR($A102="",$L102=""),"",MAX(0,$L102-MAX($L102*Assumptions!$B$4,Assumptions!$B$5)))</f>
        <v>8000</v>
      </c>
      <c r="Q102" s="40" t="n">
        <f aca="false">IF($A102="","",Assumptions!$B$13)</f>
        <v>0.0960792032000001</v>
      </c>
      <c r="R102" s="39" t="n">
        <f aca="false">IF(OR($A102="",$M102=""),"",$M102*Assumptions!$B$7)</f>
        <v>55</v>
      </c>
      <c r="S102" s="39" t="n">
        <f aca="false">IF(OR($A102="",$P102="",$R102=""),"",MAX(0,$P102*$Q102-$R102))</f>
        <v>713.633625600001</v>
      </c>
      <c r="T102" s="38" t="str">
        <f aca="false">IF($A102="","",IF($O102="FAIL","REJECT",IF($N102&gt;=4,IF(AND($K102&lt;&gt;"",$K102&gt;$S102),"BUY IF CHEAPER","BUY"),IF($N102&gt;=3.2,"WATCH","PASS"))))</f>
        <v>BUY IF CHEAPER</v>
      </c>
      <c r="U102" s="26" t="s">
        <v>197</v>
      </c>
      <c r="V102" s="33" t="s">
        <v>365</v>
      </c>
    </row>
    <row r="103" customFormat="false" ht="23.25" hidden="false" customHeight="true" outlineLevel="0" collapsed="false">
      <c r="A103" s="23" t="s">
        <v>366</v>
      </c>
      <c r="B103" s="34" t="str">
        <f aca="false">IF($A103="","",IF(ISERROR(FIND(".",$A103)),"",LOWER(MID($A103,FIND(CHAR(1),SUBSTITUTE($A103,".",CHAR(1),LEN($A103)-LEN(SUBSTITUTE($A103,".",""))))+1,LEN($A103)))))</f>
        <v>com</v>
      </c>
      <c r="C103" s="35" t="n">
        <f aca="false">IF($B103="","",IFERROR(INDEX(Rubric!$B$15:$B$24,MATCH(LOWER($B103),Rubric!$A$15:$A$24,0)),INDEX(Rubric!$B$15:$B$24,MATCH("other",Rubric!$A$15:$A$24,0))))</f>
        <v>5</v>
      </c>
      <c r="D103" s="26" t="n">
        <v>3</v>
      </c>
      <c r="E103" s="26" t="n">
        <v>3</v>
      </c>
      <c r="F103" s="26" t="n">
        <v>4</v>
      </c>
      <c r="G103" s="26" t="n">
        <v>4</v>
      </c>
      <c r="H103" s="26" t="n">
        <v>3</v>
      </c>
      <c r="I103" s="26" t="s">
        <v>169</v>
      </c>
      <c r="J103" s="26" t="s">
        <v>169</v>
      </c>
      <c r="K103" s="41"/>
      <c r="L103" s="27" t="n">
        <v>5000</v>
      </c>
      <c r="M103" s="36" t="n">
        <f aca="false">IF($B103="","",IFERROR(INDEX(Rubric!$C$15:$C$24,MATCH(LOWER($B103),Rubric!$A$15:$A$24,0)),INDEX(Rubric!$C$15:$C$24,MATCH("other",Rubric!$A$15:$A$24,0))))</f>
        <v>11</v>
      </c>
      <c r="N103" s="37" t="n">
        <f aca="false">IF(OR($A103="",$C103=""),"",$C103*Rubric!$B$5+$D103*Rubric!$B$6+$E103*Rubric!$B$7+$F103*Rubric!$B$8+$G103*Rubric!$B$9+$H103*Rubric!$B$10)</f>
        <v>3.65</v>
      </c>
      <c r="O103" s="38" t="str">
        <f aca="false">IF($A103="","",IF(OR(UPPER($I103)="Y",UPPER($J103)="Y"),"FAIL","PASS"))</f>
        <v>PASS</v>
      </c>
      <c r="P103" s="39" t="n">
        <f aca="false">IF(OR($A103="",$L103=""),"",MAX(0,$L103-MAX($L103*Assumptions!$B$4,Assumptions!$B$5)))</f>
        <v>4000</v>
      </c>
      <c r="Q103" s="40" t="n">
        <f aca="false">IF($A103="","",Assumptions!$B$13)</f>
        <v>0.0960792032000001</v>
      </c>
      <c r="R103" s="39" t="n">
        <f aca="false">IF(OR($A103="",$M103=""),"",$M103*Assumptions!$B$7)</f>
        <v>55</v>
      </c>
      <c r="S103" s="39" t="n">
        <f aca="false">IF(OR($A103="",$P103="",$R103=""),"",MAX(0,$P103*$Q103-$R103))</f>
        <v>329.3168128</v>
      </c>
      <c r="T103" s="38" t="str">
        <f aca="false">IF($A103="","",IF($O103="FAIL","REJECT",IF($N103&gt;=4,IF(AND($K103&lt;&gt;"",$K103&gt;$S103),"BUY IF CHEAPER","BUY"),IF($N103&gt;=3.2,"WATCH","PASS"))))</f>
        <v>WATCH</v>
      </c>
      <c r="U103" s="26" t="s">
        <v>170</v>
      </c>
      <c r="V103" s="33" t="s">
        <v>367</v>
      </c>
    </row>
    <row r="104" customFormat="false" ht="15" hidden="false" customHeight="true" outlineLevel="0" collapsed="false">
      <c r="A104" s="23" t="s">
        <v>368</v>
      </c>
      <c r="B104" s="34" t="str">
        <f aca="false">IF($A104="","",IF(ISERROR(FIND(".",$A104)),"",LOWER(MID($A104,FIND(CHAR(1),SUBSTITUTE($A104,".",CHAR(1),LEN($A104)-LEN(SUBSTITUTE($A104,".",""))))+1,LEN($A104)))))</f>
        <v>com</v>
      </c>
      <c r="C104" s="35" t="n">
        <f aca="false">IF($B104="","",IFERROR(INDEX(Rubric!$B$15:$B$24,MATCH(LOWER($B104),Rubric!$A$15:$A$24,0)),INDEX(Rubric!$B$15:$B$24,MATCH("other",Rubric!$A$15:$A$24,0))))</f>
        <v>5</v>
      </c>
      <c r="D104" s="26" t="n">
        <v>4</v>
      </c>
      <c r="E104" s="26" t="n">
        <v>3</v>
      </c>
      <c r="F104" s="26" t="n">
        <v>5</v>
      </c>
      <c r="G104" s="26" t="n">
        <v>5</v>
      </c>
      <c r="H104" s="26" t="n">
        <v>5</v>
      </c>
      <c r="I104" s="26" t="s">
        <v>169</v>
      </c>
      <c r="J104" s="26" t="s">
        <v>169</v>
      </c>
      <c r="K104" s="41"/>
      <c r="L104" s="27" t="n">
        <v>4000</v>
      </c>
      <c r="M104" s="36" t="n">
        <f aca="false">IF($B104="","",IFERROR(INDEX(Rubric!$C$15:$C$24,MATCH(LOWER($B104),Rubric!$A$15:$A$24,0)),INDEX(Rubric!$C$15:$C$24,MATCH("other",Rubric!$A$15:$A$24,0))))</f>
        <v>11</v>
      </c>
      <c r="N104" s="37" t="n">
        <f aca="false">IF(OR($A104="",$C104=""),"",$C104*Rubric!$B$5+$D104*Rubric!$B$6+$E104*Rubric!$B$7+$F104*Rubric!$B$8+$G104*Rubric!$B$9+$H104*Rubric!$B$10)</f>
        <v>4.35</v>
      </c>
      <c r="O104" s="38" t="str">
        <f aca="false">IF($A104="","",IF(OR(UPPER($I104)="Y",UPPER($J104)="Y"),"FAIL","PASS"))</f>
        <v>PASS</v>
      </c>
      <c r="P104" s="39" t="n">
        <f aca="false">IF(OR($A104="",$L104=""),"",MAX(0,$L104-MAX($L104*Assumptions!$B$4,Assumptions!$B$5)))</f>
        <v>3200</v>
      </c>
      <c r="Q104" s="40" t="n">
        <f aca="false">IF($A104="","",Assumptions!$B$13)</f>
        <v>0.0960792032000001</v>
      </c>
      <c r="R104" s="39" t="n">
        <f aca="false">IF(OR($A104="",$M104=""),"",$M104*Assumptions!$B$7)</f>
        <v>55</v>
      </c>
      <c r="S104" s="39" t="n">
        <f aca="false">IF(OR($A104="",$P104="",$R104=""),"",MAX(0,$P104*$Q104-$R104))</f>
        <v>252.45345024</v>
      </c>
      <c r="T104" s="38" t="str">
        <f aca="false">IF($A104="","",IF($O104="FAIL","REJECT",IF($N104&gt;=4,IF(AND($K104&lt;&gt;"",$K104&gt;$S104),"BUY IF CHEAPER","BUY"),IF($N104&gt;=3.2,"WATCH","PASS"))))</f>
        <v>BUY</v>
      </c>
      <c r="U104" s="26" t="s">
        <v>170</v>
      </c>
      <c r="V104" s="33" t="s">
        <v>369</v>
      </c>
    </row>
    <row r="105" customFormat="false" ht="15" hidden="false" customHeight="true" outlineLevel="0" collapsed="false">
      <c r="A105" s="23" t="s">
        <v>370</v>
      </c>
      <c r="B105" s="34" t="str">
        <f aca="false">IF($A105="","",IF(ISERROR(FIND(".",$A105)),"",LOWER(MID($A105,FIND(CHAR(1),SUBSTITUTE($A105,".",CHAR(1),LEN($A105)-LEN(SUBSTITUTE($A105,".",""))))+1,LEN($A105)))))</f>
        <v>com</v>
      </c>
      <c r="C105" s="35" t="n">
        <f aca="false">IF($B105="","",IFERROR(INDEX(Rubric!$B$15:$B$24,MATCH(LOWER($B105),Rubric!$A$15:$A$24,0)),INDEX(Rubric!$B$15:$B$24,MATCH("other",Rubric!$A$15:$A$24,0))))</f>
        <v>5</v>
      </c>
      <c r="D105" s="26" t="n">
        <v>4</v>
      </c>
      <c r="E105" s="26" t="n">
        <v>3</v>
      </c>
      <c r="F105" s="26" t="n">
        <v>5</v>
      </c>
      <c r="G105" s="26" t="n">
        <v>5</v>
      </c>
      <c r="H105" s="26" t="n">
        <v>5</v>
      </c>
      <c r="I105" s="26" t="s">
        <v>169</v>
      </c>
      <c r="J105" s="26" t="s">
        <v>169</v>
      </c>
      <c r="K105" s="41"/>
      <c r="L105" s="27" t="n">
        <v>3500</v>
      </c>
      <c r="M105" s="36" t="n">
        <f aca="false">IF($B105="","",IFERROR(INDEX(Rubric!$C$15:$C$24,MATCH(LOWER($B105),Rubric!$A$15:$A$24,0)),INDEX(Rubric!$C$15:$C$24,MATCH("other",Rubric!$A$15:$A$24,0))))</f>
        <v>11</v>
      </c>
      <c r="N105" s="37" t="n">
        <f aca="false">IF(OR($A105="",$C105=""),"",$C105*Rubric!$B$5+$D105*Rubric!$B$6+$E105*Rubric!$B$7+$F105*Rubric!$B$8+$G105*Rubric!$B$9+$H105*Rubric!$B$10)</f>
        <v>4.35</v>
      </c>
      <c r="O105" s="38" t="str">
        <f aca="false">IF($A105="","",IF(OR(UPPER($I105)="Y",UPPER($J105)="Y"),"FAIL","PASS"))</f>
        <v>PASS</v>
      </c>
      <c r="P105" s="39" t="n">
        <f aca="false">IF(OR($A105="",$L105=""),"",MAX(0,$L105-MAX($L105*Assumptions!$B$4,Assumptions!$B$5)))</f>
        <v>2800</v>
      </c>
      <c r="Q105" s="40" t="n">
        <f aca="false">IF($A105="","",Assumptions!$B$13)</f>
        <v>0.0960792032000001</v>
      </c>
      <c r="R105" s="39" t="n">
        <f aca="false">IF(OR($A105="",$M105=""),"",$M105*Assumptions!$B$7)</f>
        <v>55</v>
      </c>
      <c r="S105" s="39" t="n">
        <f aca="false">IF(OR($A105="",$P105="",$R105=""),"",MAX(0,$P105*$Q105-$R105))</f>
        <v>214.02176896</v>
      </c>
      <c r="T105" s="38" t="str">
        <f aca="false">IF($A105="","",IF($O105="FAIL","REJECT",IF($N105&gt;=4,IF(AND($K105&lt;&gt;"",$K105&gt;$S105),"BUY IF CHEAPER","BUY"),IF($N105&gt;=3.2,"WATCH","PASS"))))</f>
        <v>BUY</v>
      </c>
      <c r="U105" s="26" t="s">
        <v>170</v>
      </c>
      <c r="V105" s="33" t="s">
        <v>371</v>
      </c>
    </row>
    <row r="106" customFormat="false" ht="15" hidden="false" customHeight="true" outlineLevel="0" collapsed="false">
      <c r="A106" s="23" t="s">
        <v>372</v>
      </c>
      <c r="B106" s="34" t="str">
        <f aca="false">IF($A106="","",IF(ISERROR(FIND(".",$A106)),"",LOWER(MID($A106,FIND(CHAR(1),SUBSTITUTE($A106,".",CHAR(1),LEN($A106)-LEN(SUBSTITUTE($A106,".",""))))+1,LEN($A106)))))</f>
        <v>com</v>
      </c>
      <c r="C106" s="35" t="n">
        <f aca="false">IF($B106="","",IFERROR(INDEX(Rubric!$B$15:$B$24,MATCH(LOWER($B106),Rubric!$A$15:$A$24,0)),INDEX(Rubric!$B$15:$B$24,MATCH("other",Rubric!$A$15:$A$24,0))))</f>
        <v>5</v>
      </c>
      <c r="D106" s="26" t="n">
        <v>3</v>
      </c>
      <c r="E106" s="26" t="n">
        <v>2</v>
      </c>
      <c r="F106" s="26" t="n">
        <v>5</v>
      </c>
      <c r="G106" s="26" t="n">
        <v>5</v>
      </c>
      <c r="H106" s="26" t="n">
        <v>5</v>
      </c>
      <c r="I106" s="26" t="s">
        <v>169</v>
      </c>
      <c r="J106" s="26" t="s">
        <v>169</v>
      </c>
      <c r="K106" s="41"/>
      <c r="L106" s="27" t="n">
        <v>3000</v>
      </c>
      <c r="M106" s="36" t="n">
        <f aca="false">IF($B106="","",IFERROR(INDEX(Rubric!$C$15:$C$24,MATCH(LOWER($B106),Rubric!$A$15:$A$24,0)),INDEX(Rubric!$C$15:$C$24,MATCH("other",Rubric!$A$15:$A$24,0))))</f>
        <v>11</v>
      </c>
      <c r="N106" s="37" t="n">
        <f aca="false">IF(OR($A106="",$C106=""),"",$C106*Rubric!$B$5+$D106*Rubric!$B$6+$E106*Rubric!$B$7+$F106*Rubric!$B$8+$G106*Rubric!$B$9+$H106*Rubric!$B$10)</f>
        <v>3.9</v>
      </c>
      <c r="O106" s="38" t="str">
        <f aca="false">IF($A106="","",IF(OR(UPPER($I106)="Y",UPPER($J106)="Y"),"FAIL","PASS"))</f>
        <v>PASS</v>
      </c>
      <c r="P106" s="39" t="n">
        <f aca="false">IF(OR($A106="",$L106=""),"",MAX(0,$L106-MAX($L106*Assumptions!$B$4,Assumptions!$B$5)))</f>
        <v>2400</v>
      </c>
      <c r="Q106" s="40" t="n">
        <f aca="false">IF($A106="","",Assumptions!$B$13)</f>
        <v>0.0960792032000001</v>
      </c>
      <c r="R106" s="39" t="n">
        <f aca="false">IF(OR($A106="",$M106=""),"",$M106*Assumptions!$B$7)</f>
        <v>55</v>
      </c>
      <c r="S106" s="39" t="n">
        <f aca="false">IF(OR($A106="",$P106="",$R106=""),"",MAX(0,$P106*$Q106-$R106))</f>
        <v>175.59008768</v>
      </c>
      <c r="T106" s="38" t="str">
        <f aca="false">IF($A106="","",IF($O106="FAIL","REJECT",IF($N106&gt;=4,IF(AND($K106&lt;&gt;"",$K106&gt;$S106),"BUY IF CHEAPER","BUY"),IF($N106&gt;=3.2,"WATCH","PASS"))))</f>
        <v>WATCH</v>
      </c>
      <c r="U106" s="26" t="s">
        <v>170</v>
      </c>
      <c r="V106" s="33" t="s">
        <v>373</v>
      </c>
    </row>
    <row r="107" customFormat="false" ht="15" hidden="false" customHeight="true" outlineLevel="0" collapsed="false">
      <c r="A107" s="23" t="s">
        <v>374</v>
      </c>
      <c r="B107" s="34" t="str">
        <f aca="false">IF($A107="","",IF(ISERROR(FIND(".",$A107)),"",LOWER(MID($A107,FIND(CHAR(1),SUBSTITUTE($A107,".",CHAR(1),LEN($A107)-LEN(SUBSTITUTE($A107,".",""))))+1,LEN($A107)))))</f>
        <v>com</v>
      </c>
      <c r="C107" s="35" t="n">
        <f aca="false">IF($B107="","",IFERROR(INDEX(Rubric!$B$15:$B$24,MATCH(LOWER($B107),Rubric!$A$15:$A$24,0)),INDEX(Rubric!$B$15:$B$24,MATCH("other",Rubric!$A$15:$A$24,0))))</f>
        <v>5</v>
      </c>
      <c r="D107" s="26" t="n">
        <v>4</v>
      </c>
      <c r="E107" s="26" t="n">
        <v>3</v>
      </c>
      <c r="F107" s="26" t="n">
        <v>5</v>
      </c>
      <c r="G107" s="26" t="n">
        <v>4</v>
      </c>
      <c r="H107" s="26" t="n">
        <v>3</v>
      </c>
      <c r="I107" s="26" t="s">
        <v>169</v>
      </c>
      <c r="J107" s="26" t="s">
        <v>169</v>
      </c>
      <c r="K107" s="41"/>
      <c r="L107" s="27" t="n">
        <v>6000</v>
      </c>
      <c r="M107" s="36" t="n">
        <f aca="false">IF($B107="","",IFERROR(INDEX(Rubric!$C$15:$C$24,MATCH(LOWER($B107),Rubric!$A$15:$A$24,0)),INDEX(Rubric!$C$15:$C$24,MATCH("other",Rubric!$A$15:$A$24,0))))</f>
        <v>11</v>
      </c>
      <c r="N107" s="37" t="n">
        <f aca="false">IF(OR($A107="",$C107=""),"",$C107*Rubric!$B$5+$D107*Rubric!$B$6+$E107*Rubric!$B$7+$F107*Rubric!$B$8+$G107*Rubric!$B$9+$H107*Rubric!$B$10)</f>
        <v>4.05</v>
      </c>
      <c r="O107" s="38" t="str">
        <f aca="false">IF($A107="","",IF(OR(UPPER($I107)="Y",UPPER($J107)="Y"),"FAIL","PASS"))</f>
        <v>PASS</v>
      </c>
      <c r="P107" s="39" t="n">
        <f aca="false">IF(OR($A107="",$L107=""),"",MAX(0,$L107-MAX($L107*Assumptions!$B$4,Assumptions!$B$5)))</f>
        <v>4800</v>
      </c>
      <c r="Q107" s="40" t="n">
        <f aca="false">IF($A107="","",Assumptions!$B$13)</f>
        <v>0.0960792032000001</v>
      </c>
      <c r="R107" s="39" t="n">
        <f aca="false">IF(OR($A107="",$M107=""),"",$M107*Assumptions!$B$7)</f>
        <v>55</v>
      </c>
      <c r="S107" s="39" t="n">
        <f aca="false">IF(OR($A107="",$P107="",$R107=""),"",MAX(0,$P107*$Q107-$R107))</f>
        <v>406.18017536</v>
      </c>
      <c r="T107" s="38" t="str">
        <f aca="false">IF($A107="","",IF($O107="FAIL","REJECT",IF($N107&gt;=4,IF(AND($K107&lt;&gt;"",$K107&gt;$S107),"BUY IF CHEAPER","BUY"),IF($N107&gt;=3.2,"WATCH","PASS"))))</f>
        <v>BUY</v>
      </c>
      <c r="U107" s="26" t="s">
        <v>170</v>
      </c>
      <c r="V107" s="33" t="s">
        <v>375</v>
      </c>
    </row>
    <row r="108" customFormat="false" ht="15" hidden="false" customHeight="true" outlineLevel="0" collapsed="false">
      <c r="A108" s="23" t="s">
        <v>376</v>
      </c>
      <c r="B108" s="34" t="str">
        <f aca="false">IF($A108="","",IF(ISERROR(FIND(".",$A108)),"",LOWER(MID($A108,FIND(CHAR(1),SUBSTITUTE($A108,".",CHAR(1),LEN($A108)-LEN(SUBSTITUTE($A108,".",""))))+1,LEN($A108)))))</f>
        <v>com</v>
      </c>
      <c r="C108" s="35" t="n">
        <f aca="false">IF($B108="","",IFERROR(INDEX(Rubric!$B$15:$B$24,MATCH(LOWER($B108),Rubric!$A$15:$A$24,0)),INDEX(Rubric!$B$15:$B$24,MATCH("other",Rubric!$A$15:$A$24,0))))</f>
        <v>5</v>
      </c>
      <c r="D108" s="26" t="n">
        <v>3</v>
      </c>
      <c r="E108" s="26" t="n">
        <v>2</v>
      </c>
      <c r="F108" s="26" t="n">
        <v>3</v>
      </c>
      <c r="G108" s="26" t="n">
        <v>4</v>
      </c>
      <c r="H108" s="26" t="n">
        <v>4</v>
      </c>
      <c r="I108" s="26" t="s">
        <v>169</v>
      </c>
      <c r="J108" s="26" t="s">
        <v>169</v>
      </c>
      <c r="K108" s="41"/>
      <c r="L108" s="27" t="n">
        <v>2500</v>
      </c>
      <c r="M108" s="36" t="n">
        <f aca="false">IF($B108="","",IFERROR(INDEX(Rubric!$C$15:$C$24,MATCH(LOWER($B108),Rubric!$A$15:$A$24,0)),INDEX(Rubric!$C$15:$C$24,MATCH("other",Rubric!$A$15:$A$24,0))))</f>
        <v>11</v>
      </c>
      <c r="N108" s="37" t="n">
        <f aca="false">IF(OR($A108="",$C108=""),"",$C108*Rubric!$B$5+$D108*Rubric!$B$6+$E108*Rubric!$B$7+$F108*Rubric!$B$8+$G108*Rubric!$B$9+$H108*Rubric!$B$10)</f>
        <v>3.4</v>
      </c>
      <c r="O108" s="38" t="str">
        <f aca="false">IF($A108="","",IF(OR(UPPER($I108)="Y",UPPER($J108)="Y"),"FAIL","PASS"))</f>
        <v>PASS</v>
      </c>
      <c r="P108" s="39" t="n">
        <f aca="false">IF(OR($A108="",$L108=""),"",MAX(0,$L108-MAX($L108*Assumptions!$B$4,Assumptions!$B$5)))</f>
        <v>2000</v>
      </c>
      <c r="Q108" s="40" t="n">
        <f aca="false">IF($A108="","",Assumptions!$B$13)</f>
        <v>0.0960792032000001</v>
      </c>
      <c r="R108" s="39" t="n">
        <f aca="false">IF(OR($A108="",$M108=""),"",$M108*Assumptions!$B$7)</f>
        <v>55</v>
      </c>
      <c r="S108" s="39" t="n">
        <f aca="false">IF(OR($A108="",$P108="",$R108=""),"",MAX(0,$P108*$Q108-$R108))</f>
        <v>137.1584064</v>
      </c>
      <c r="T108" s="38" t="str">
        <f aca="false">IF($A108="","",IF($O108="FAIL","REJECT",IF($N108&gt;=4,IF(AND($K108&lt;&gt;"",$K108&gt;$S108),"BUY IF CHEAPER","BUY"),IF($N108&gt;=3.2,"WATCH","PASS"))))</f>
        <v>WATCH</v>
      </c>
      <c r="U108" s="26" t="s">
        <v>170</v>
      </c>
      <c r="V108" s="33" t="s">
        <v>377</v>
      </c>
    </row>
    <row r="109" customFormat="false" ht="23.25" hidden="false" customHeight="true" outlineLevel="0" collapsed="false">
      <c r="A109" s="23" t="s">
        <v>378</v>
      </c>
      <c r="B109" s="34" t="str">
        <f aca="false">IF($A109="","",IF(ISERROR(FIND(".",$A109)),"",LOWER(MID($A109,FIND(CHAR(1),SUBSTITUTE($A109,".",CHAR(1),LEN($A109)-LEN(SUBSTITUTE($A109,".",""))))+1,LEN($A109)))))</f>
        <v>com</v>
      </c>
      <c r="C109" s="35" t="n">
        <f aca="false">IF($B109="","",IFERROR(INDEX(Rubric!$B$15:$B$24,MATCH(LOWER($B109),Rubric!$A$15:$A$24,0)),INDEX(Rubric!$B$15:$B$24,MATCH("other",Rubric!$A$15:$A$24,0))))</f>
        <v>5</v>
      </c>
      <c r="D109" s="26" t="n">
        <v>4</v>
      </c>
      <c r="E109" s="26" t="n">
        <v>3</v>
      </c>
      <c r="F109" s="26" t="n">
        <v>5</v>
      </c>
      <c r="G109" s="26" t="n">
        <v>5</v>
      </c>
      <c r="H109" s="26" t="n">
        <v>2</v>
      </c>
      <c r="I109" s="26" t="s">
        <v>169</v>
      </c>
      <c r="J109" s="26" t="s">
        <v>169</v>
      </c>
      <c r="K109" s="41"/>
      <c r="L109" s="27" t="n">
        <v>8000</v>
      </c>
      <c r="M109" s="36" t="n">
        <f aca="false">IF($B109="","",IFERROR(INDEX(Rubric!$C$15:$C$24,MATCH(LOWER($B109),Rubric!$A$15:$A$24,0)),INDEX(Rubric!$C$15:$C$24,MATCH("other",Rubric!$A$15:$A$24,0))))</f>
        <v>11</v>
      </c>
      <c r="N109" s="37" t="n">
        <f aca="false">IF(OR($A109="",$C109=""),"",$C109*Rubric!$B$5+$D109*Rubric!$B$6+$E109*Rubric!$B$7+$F109*Rubric!$B$8+$G109*Rubric!$B$9+$H109*Rubric!$B$10)</f>
        <v>4.05</v>
      </c>
      <c r="O109" s="38" t="str">
        <f aca="false">IF($A109="","",IF(OR(UPPER($I109)="Y",UPPER($J109)="Y"),"FAIL","PASS"))</f>
        <v>PASS</v>
      </c>
      <c r="P109" s="39" t="n">
        <f aca="false">IF(OR($A109="",$L109=""),"",MAX(0,$L109-MAX($L109*Assumptions!$B$4,Assumptions!$B$5)))</f>
        <v>6400</v>
      </c>
      <c r="Q109" s="40" t="n">
        <f aca="false">IF($A109="","",Assumptions!$B$13)</f>
        <v>0.0960792032000001</v>
      </c>
      <c r="R109" s="39" t="n">
        <f aca="false">IF(OR($A109="",$M109=""),"",$M109*Assumptions!$B$7)</f>
        <v>55</v>
      </c>
      <c r="S109" s="39" t="n">
        <f aca="false">IF(OR($A109="",$P109="",$R109=""),"",MAX(0,$P109*$Q109-$R109))</f>
        <v>559.90690048</v>
      </c>
      <c r="T109" s="38" t="str">
        <f aca="false">IF($A109="","",IF($O109="FAIL","REJECT",IF($N109&gt;=4,IF(AND($K109&lt;&gt;"",$K109&gt;$S109),"BUY IF CHEAPER","BUY"),IF($N109&gt;=3.2,"WATCH","PASS"))))</f>
        <v>BUY</v>
      </c>
      <c r="U109" s="26" t="s">
        <v>170</v>
      </c>
      <c r="V109" s="33" t="s">
        <v>379</v>
      </c>
    </row>
    <row r="110" customFormat="false" ht="23.25" hidden="false" customHeight="true" outlineLevel="0" collapsed="false">
      <c r="A110" s="23" t="s">
        <v>380</v>
      </c>
      <c r="B110" s="34" t="str">
        <f aca="false">IF($A110="","",IF(ISERROR(FIND(".",$A110)),"",LOWER(MID($A110,FIND(CHAR(1),SUBSTITUTE($A110,".",CHAR(1),LEN($A110)-LEN(SUBSTITUTE($A110,".",""))))+1,LEN($A110)))))</f>
        <v>com</v>
      </c>
      <c r="C110" s="35" t="n">
        <f aca="false">IF($B110="","",IFERROR(INDEX(Rubric!$B$15:$B$24,MATCH(LOWER($B110),Rubric!$A$15:$A$24,0)),INDEX(Rubric!$B$15:$B$24,MATCH("other",Rubric!$A$15:$A$24,0))))</f>
        <v>5</v>
      </c>
      <c r="D110" s="26" t="n">
        <v>3</v>
      </c>
      <c r="E110" s="26" t="n">
        <v>2</v>
      </c>
      <c r="F110" s="26" t="n">
        <v>5</v>
      </c>
      <c r="G110" s="26" t="n">
        <v>4</v>
      </c>
      <c r="H110" s="26" t="n">
        <v>5</v>
      </c>
      <c r="I110" s="26" t="s">
        <v>169</v>
      </c>
      <c r="J110" s="26" t="s">
        <v>169</v>
      </c>
      <c r="K110" s="42" t="n">
        <v>2988</v>
      </c>
      <c r="L110" s="27" t="n">
        <v>2500</v>
      </c>
      <c r="M110" s="36" t="n">
        <f aca="false">IF($B110="","",IFERROR(INDEX(Rubric!$C$15:$C$24,MATCH(LOWER($B110),Rubric!$A$15:$A$24,0)),INDEX(Rubric!$C$15:$C$24,MATCH("other",Rubric!$A$15:$A$24,0))))</f>
        <v>11</v>
      </c>
      <c r="N110" s="37" t="n">
        <f aca="false">IF(OR($A110="",$C110=""),"",$C110*Rubric!$B$5+$D110*Rubric!$B$6+$E110*Rubric!$B$7+$F110*Rubric!$B$8+$G110*Rubric!$B$9+$H110*Rubric!$B$10)</f>
        <v>3.8</v>
      </c>
      <c r="O110" s="38" t="str">
        <f aca="false">IF($A110="","",IF(OR(UPPER($I110)="Y",UPPER($J110)="Y"),"FAIL","PASS"))</f>
        <v>PASS</v>
      </c>
      <c r="P110" s="39" t="n">
        <f aca="false">IF(OR($A110="",$L110=""),"",MAX(0,$L110-MAX($L110*Assumptions!$B$4,Assumptions!$B$5)))</f>
        <v>2000</v>
      </c>
      <c r="Q110" s="40" t="n">
        <f aca="false">IF($A110="","",Assumptions!$B$13)</f>
        <v>0.0960792032000001</v>
      </c>
      <c r="R110" s="39" t="n">
        <f aca="false">IF(OR($A110="",$M110=""),"",$M110*Assumptions!$B$7)</f>
        <v>55</v>
      </c>
      <c r="S110" s="39" t="n">
        <f aca="false">IF(OR($A110="",$P110="",$R110=""),"",MAX(0,$P110*$Q110-$R110))</f>
        <v>137.1584064</v>
      </c>
      <c r="T110" s="38" t="str">
        <f aca="false">IF($A110="","",IF($O110="FAIL","REJECT",IF($N110&gt;=4,IF(AND($K110&lt;&gt;"",$K110&gt;$S110),"BUY IF CHEAPER","BUY"),IF($N110&gt;=3.2,"WATCH","PASS"))))</f>
        <v>WATCH</v>
      </c>
      <c r="U110" s="26" t="s">
        <v>197</v>
      </c>
      <c r="V110" s="33" t="s">
        <v>381</v>
      </c>
    </row>
    <row r="111" customFormat="false" ht="23.25" hidden="false" customHeight="true" outlineLevel="0" collapsed="false">
      <c r="A111" s="23" t="s">
        <v>382</v>
      </c>
      <c r="B111" s="34" t="str">
        <f aca="false">IF($A111="","",IF(ISERROR(FIND(".",$A111)),"",LOWER(MID($A111,FIND(CHAR(1),SUBSTITUTE($A111,".",CHAR(1),LEN($A111)-LEN(SUBSTITUTE($A111,".",""))))+1,LEN($A111)))))</f>
        <v>com</v>
      </c>
      <c r="C111" s="35" t="n">
        <f aca="false">IF($B111="","",IFERROR(INDEX(Rubric!$B$15:$B$24,MATCH(LOWER($B111),Rubric!$A$15:$A$24,0)),INDEX(Rubric!$B$15:$B$24,MATCH("other",Rubric!$A$15:$A$24,0))))</f>
        <v>5</v>
      </c>
      <c r="D111" s="26" t="n">
        <v>3</v>
      </c>
      <c r="E111" s="26" t="n">
        <v>3</v>
      </c>
      <c r="F111" s="26" t="n">
        <v>5</v>
      </c>
      <c r="G111" s="26" t="n">
        <v>5</v>
      </c>
      <c r="H111" s="26" t="n">
        <v>2</v>
      </c>
      <c r="I111" s="26" t="s">
        <v>169</v>
      </c>
      <c r="J111" s="26" t="s">
        <v>169</v>
      </c>
      <c r="K111" s="41"/>
      <c r="L111" s="27" t="n">
        <v>9000</v>
      </c>
      <c r="M111" s="36" t="n">
        <f aca="false">IF($B111="","",IFERROR(INDEX(Rubric!$C$15:$C$24,MATCH(LOWER($B111),Rubric!$A$15:$A$24,0)),INDEX(Rubric!$C$15:$C$24,MATCH("other",Rubric!$A$15:$A$24,0))))</f>
        <v>11</v>
      </c>
      <c r="N111" s="37" t="n">
        <f aca="false">IF(OR($A111="",$C111=""),"",$C111*Rubric!$B$5+$D111*Rubric!$B$6+$E111*Rubric!$B$7+$F111*Rubric!$B$8+$G111*Rubric!$B$9+$H111*Rubric!$B$10)</f>
        <v>3.8</v>
      </c>
      <c r="O111" s="38" t="str">
        <f aca="false">IF($A111="","",IF(OR(UPPER($I111)="Y",UPPER($J111)="Y"),"FAIL","PASS"))</f>
        <v>PASS</v>
      </c>
      <c r="P111" s="39" t="n">
        <f aca="false">IF(OR($A111="",$L111=""),"",MAX(0,$L111-MAX($L111*Assumptions!$B$4,Assumptions!$B$5)))</f>
        <v>7200</v>
      </c>
      <c r="Q111" s="40" t="n">
        <f aca="false">IF($A111="","",Assumptions!$B$13)</f>
        <v>0.0960792032000001</v>
      </c>
      <c r="R111" s="39" t="n">
        <f aca="false">IF(OR($A111="",$M111=""),"",$M111*Assumptions!$B$7)</f>
        <v>55</v>
      </c>
      <c r="S111" s="39" t="n">
        <f aca="false">IF(OR($A111="",$P111="",$R111=""),"",MAX(0,$P111*$Q111-$R111))</f>
        <v>636.770263040001</v>
      </c>
      <c r="T111" s="38" t="str">
        <f aca="false">IF($A111="","",IF($O111="FAIL","REJECT",IF($N111&gt;=4,IF(AND($K111&lt;&gt;"",$K111&gt;$S111),"BUY IF CHEAPER","BUY"),IF($N111&gt;=3.2,"WATCH","PASS"))))</f>
        <v>WATCH</v>
      </c>
      <c r="U111" s="26" t="s">
        <v>170</v>
      </c>
      <c r="V111" s="33" t="s">
        <v>383</v>
      </c>
    </row>
    <row r="112" customFormat="false" ht="15" hidden="false" customHeight="true" outlineLevel="0" collapsed="false">
      <c r="A112" s="23" t="s">
        <v>384</v>
      </c>
      <c r="B112" s="34" t="str">
        <f aca="false">IF($A112="","",IF(ISERROR(FIND(".",$A112)),"",LOWER(MID($A112,FIND(CHAR(1),SUBSTITUTE($A112,".",CHAR(1),LEN($A112)-LEN(SUBSTITUTE($A112,".",""))))+1,LEN($A112)))))</f>
        <v>com</v>
      </c>
      <c r="C112" s="35" t="n">
        <f aca="false">IF($B112="","",IFERROR(INDEX(Rubric!$B$15:$B$24,MATCH(LOWER($B112),Rubric!$A$15:$A$24,0)),INDEX(Rubric!$B$15:$B$24,MATCH("other",Rubric!$A$15:$A$24,0))))</f>
        <v>5</v>
      </c>
      <c r="D112" s="26" t="n">
        <v>3</v>
      </c>
      <c r="E112" s="26" t="n">
        <v>2</v>
      </c>
      <c r="F112" s="26" t="n">
        <v>4</v>
      </c>
      <c r="G112" s="26" t="n">
        <v>4</v>
      </c>
      <c r="H112" s="26" t="n">
        <v>5</v>
      </c>
      <c r="I112" s="26" t="s">
        <v>169</v>
      </c>
      <c r="J112" s="26" t="s">
        <v>169</v>
      </c>
      <c r="K112" s="41"/>
      <c r="L112" s="27" t="n">
        <v>2000</v>
      </c>
      <c r="M112" s="36" t="n">
        <f aca="false">IF($B112="","",IFERROR(INDEX(Rubric!$C$15:$C$24,MATCH(LOWER($B112),Rubric!$A$15:$A$24,0)),INDEX(Rubric!$C$15:$C$24,MATCH("other",Rubric!$A$15:$A$24,0))))</f>
        <v>11</v>
      </c>
      <c r="N112" s="37" t="n">
        <f aca="false">IF(OR($A112="",$C112=""),"",$C112*Rubric!$B$5+$D112*Rubric!$B$6+$E112*Rubric!$B$7+$F112*Rubric!$B$8+$G112*Rubric!$B$9+$H112*Rubric!$B$10)</f>
        <v>3.65</v>
      </c>
      <c r="O112" s="38" t="str">
        <f aca="false">IF($A112="","",IF(OR(UPPER($I112)="Y",UPPER($J112)="Y"),"FAIL","PASS"))</f>
        <v>PASS</v>
      </c>
      <c r="P112" s="39" t="n">
        <f aca="false">IF(OR($A112="",$L112=""),"",MAX(0,$L112-MAX($L112*Assumptions!$B$4,Assumptions!$B$5)))</f>
        <v>1600</v>
      </c>
      <c r="Q112" s="40" t="n">
        <f aca="false">IF($A112="","",Assumptions!$B$13)</f>
        <v>0.0960792032000001</v>
      </c>
      <c r="R112" s="39" t="n">
        <f aca="false">IF(OR($A112="",$M112=""),"",$M112*Assumptions!$B$7)</f>
        <v>55</v>
      </c>
      <c r="S112" s="39" t="n">
        <f aca="false">IF(OR($A112="",$P112="",$R112=""),"",MAX(0,$P112*$Q112-$R112))</f>
        <v>98.7267251200001</v>
      </c>
      <c r="T112" s="38" t="str">
        <f aca="false">IF($A112="","",IF($O112="FAIL","REJECT",IF($N112&gt;=4,IF(AND($K112&lt;&gt;"",$K112&gt;$S112),"BUY IF CHEAPER","BUY"),IF($N112&gt;=3.2,"WATCH","PASS"))))</f>
        <v>WATCH</v>
      </c>
      <c r="U112" s="26" t="s">
        <v>170</v>
      </c>
      <c r="V112" s="33" t="s">
        <v>385</v>
      </c>
    </row>
    <row r="113" customFormat="false" ht="15" hidden="false" customHeight="true" outlineLevel="0" collapsed="false">
      <c r="A113" s="43"/>
      <c r="B113" s="34" t="str">
        <f aca="false">IF($A113="","",IF(ISERROR(FIND(".",$A113)),"",LOWER(MID($A113,FIND(CHAR(1),SUBSTITUTE($A113,".",CHAR(1),LEN($A113)-LEN(SUBSTITUTE($A113,".",""))))+1,LEN($A113)))))</f>
        <v/>
      </c>
      <c r="C113" s="35" t="str">
        <f aca="false">IF($B113="","",IFERROR(INDEX(Rubric!$B$15:$B$24,MATCH(LOWER($B113),Rubric!$A$15:$A$24,0)),INDEX(Rubric!$B$15:$B$24,MATCH("other",Rubric!$A$15:$A$24,0))))</f>
        <v/>
      </c>
      <c r="D113" s="26"/>
      <c r="E113" s="26"/>
      <c r="F113" s="26"/>
      <c r="G113" s="26"/>
      <c r="H113" s="26"/>
      <c r="I113" s="26"/>
      <c r="J113" s="26"/>
      <c r="K113" s="27"/>
      <c r="L113" s="27"/>
      <c r="M113" s="36" t="str">
        <f aca="false">IF($B113="","",IFERROR(INDEX(Rubric!$C$15:$C$24,MATCH(LOWER($B113),Rubric!$A$15:$A$24,0)),INDEX(Rubric!$C$15:$C$24,MATCH("other",Rubric!$A$15:$A$24,0))))</f>
        <v/>
      </c>
      <c r="N113" s="37" t="str">
        <f aca="false">IF(OR($A113="",$C113=""),"",$C113*Rubric!$B$5+$D113*Rubric!$B$6+$E113*Rubric!$B$7+$F113*Rubric!$B$8+$G113*Rubric!$B$9+$H113*Rubric!$B$10)</f>
        <v/>
      </c>
      <c r="O113" s="38" t="str">
        <f aca="false">IF($A113="","",IF(OR(UPPER($I113)="Y",UPPER($J113)="Y"),"FAIL","PASS"))</f>
        <v/>
      </c>
      <c r="P113" s="39" t="str">
        <f aca="false">IF(OR($A113="",$L113=""),"",MAX(0,$L113-MAX($L113*Assumptions!$B$4,Assumptions!$B$5)))</f>
        <v/>
      </c>
      <c r="Q113" s="40" t="str">
        <f aca="false">IF($A113="","",Assumptions!$B$13)</f>
        <v/>
      </c>
      <c r="R113" s="39" t="str">
        <f aca="false">IF(OR($A113="",$M113=""),"",$M113*Assumptions!$B$7)</f>
        <v/>
      </c>
      <c r="S113" s="39" t="str">
        <f aca="false">IF(OR($A113="",$P113="",$R113=""),"",MAX(0,$P113*$Q113-$R113))</f>
        <v/>
      </c>
      <c r="T113" s="38" t="str">
        <f aca="false">IF($A113="","",IF($O113="FAIL","REJECT",IF($N113&gt;=4,IF(AND($K113&lt;&gt;"",$K113&gt;$S113),"BUY IF CHEAPER","BUY"),IF($N113&gt;=3.2,"WATCH","PASS"))))</f>
        <v/>
      </c>
      <c r="U113" s="26"/>
      <c r="V113" s="33"/>
    </row>
    <row r="114" customFormat="false" ht="15" hidden="false" customHeight="true" outlineLevel="0" collapsed="false">
      <c r="A114" s="43"/>
      <c r="B114" s="34" t="str">
        <f aca="false">IF($A114="","",IF(ISERROR(FIND(".",$A114)),"",LOWER(MID($A114,FIND(CHAR(1),SUBSTITUTE($A114,".",CHAR(1),LEN($A114)-LEN(SUBSTITUTE($A114,".",""))))+1,LEN($A114)))))</f>
        <v/>
      </c>
      <c r="C114" s="35" t="str">
        <f aca="false">IF($B114="","",IFERROR(INDEX(Rubric!$B$15:$B$24,MATCH(LOWER($B114),Rubric!$A$15:$A$24,0)),INDEX(Rubric!$B$15:$B$24,MATCH("other",Rubric!$A$15:$A$24,0))))</f>
        <v/>
      </c>
      <c r="D114" s="26"/>
      <c r="E114" s="26"/>
      <c r="F114" s="26"/>
      <c r="G114" s="26"/>
      <c r="H114" s="26"/>
      <c r="I114" s="26"/>
      <c r="J114" s="26"/>
      <c r="K114" s="27"/>
      <c r="L114" s="27"/>
      <c r="M114" s="36" t="str">
        <f aca="false">IF($B114="","",IFERROR(INDEX(Rubric!$C$15:$C$24,MATCH(LOWER($B114),Rubric!$A$15:$A$24,0)),INDEX(Rubric!$C$15:$C$24,MATCH("other",Rubric!$A$15:$A$24,0))))</f>
        <v/>
      </c>
      <c r="N114" s="37" t="str">
        <f aca="false">IF(OR($A114="",$C114=""),"",$C114*Rubric!$B$5+$D114*Rubric!$B$6+$E114*Rubric!$B$7+$F114*Rubric!$B$8+$G114*Rubric!$B$9+$H114*Rubric!$B$10)</f>
        <v/>
      </c>
      <c r="O114" s="38" t="str">
        <f aca="false">IF($A114="","",IF(OR(UPPER($I114)="Y",UPPER($J114)="Y"),"FAIL","PASS"))</f>
        <v/>
      </c>
      <c r="P114" s="39" t="str">
        <f aca="false">IF(OR($A114="",$L114=""),"",MAX(0,$L114-MAX($L114*Assumptions!$B$4,Assumptions!$B$5)))</f>
        <v/>
      </c>
      <c r="Q114" s="40" t="str">
        <f aca="false">IF($A114="","",Assumptions!$B$13)</f>
        <v/>
      </c>
      <c r="R114" s="39" t="str">
        <f aca="false">IF(OR($A114="",$M114=""),"",$M114*Assumptions!$B$7)</f>
        <v/>
      </c>
      <c r="S114" s="39" t="str">
        <f aca="false">IF(OR($A114="",$P114="",$R114=""),"",MAX(0,$P114*$Q114-$R114))</f>
        <v/>
      </c>
      <c r="T114" s="38" t="str">
        <f aca="false">IF($A114="","",IF($O114="FAIL","REJECT",IF($N114&gt;=4,IF(AND($K114&lt;&gt;"",$K114&gt;$S114),"BUY IF CHEAPER","BUY"),IF($N114&gt;=3.2,"WATCH","PASS"))))</f>
        <v/>
      </c>
      <c r="U114" s="26"/>
      <c r="V114" s="33"/>
    </row>
    <row r="115" customFormat="false" ht="15" hidden="false" customHeight="true" outlineLevel="0" collapsed="false">
      <c r="A115" s="43"/>
      <c r="B115" s="34" t="str">
        <f aca="false">IF($A115="","",IF(ISERROR(FIND(".",$A115)),"",LOWER(MID($A115,FIND(CHAR(1),SUBSTITUTE($A115,".",CHAR(1),LEN($A115)-LEN(SUBSTITUTE($A115,".",""))))+1,LEN($A115)))))</f>
        <v/>
      </c>
      <c r="C115" s="35" t="str">
        <f aca="false">IF($B115="","",IFERROR(INDEX(Rubric!$B$15:$B$24,MATCH(LOWER($B115),Rubric!$A$15:$A$24,0)),INDEX(Rubric!$B$15:$B$24,MATCH("other",Rubric!$A$15:$A$24,0))))</f>
        <v/>
      </c>
      <c r="D115" s="26"/>
      <c r="E115" s="26"/>
      <c r="F115" s="26"/>
      <c r="G115" s="26"/>
      <c r="H115" s="26"/>
      <c r="I115" s="26"/>
      <c r="J115" s="26"/>
      <c r="K115" s="27"/>
      <c r="L115" s="27"/>
      <c r="M115" s="36" t="str">
        <f aca="false">IF($B115="","",IFERROR(INDEX(Rubric!$C$15:$C$24,MATCH(LOWER($B115),Rubric!$A$15:$A$24,0)),INDEX(Rubric!$C$15:$C$24,MATCH("other",Rubric!$A$15:$A$24,0))))</f>
        <v/>
      </c>
      <c r="N115" s="37" t="str">
        <f aca="false">IF(OR($A115="",$C115=""),"",$C115*Rubric!$B$5+$D115*Rubric!$B$6+$E115*Rubric!$B$7+$F115*Rubric!$B$8+$G115*Rubric!$B$9+$H115*Rubric!$B$10)</f>
        <v/>
      </c>
      <c r="O115" s="38" t="str">
        <f aca="false">IF($A115="","",IF(OR(UPPER($I115)="Y",UPPER($J115)="Y"),"FAIL","PASS"))</f>
        <v/>
      </c>
      <c r="P115" s="39" t="str">
        <f aca="false">IF(OR($A115="",$L115=""),"",MAX(0,$L115-MAX($L115*Assumptions!$B$4,Assumptions!$B$5)))</f>
        <v/>
      </c>
      <c r="Q115" s="40" t="str">
        <f aca="false">IF($A115="","",Assumptions!$B$13)</f>
        <v/>
      </c>
      <c r="R115" s="39" t="str">
        <f aca="false">IF(OR($A115="",$M115=""),"",$M115*Assumptions!$B$7)</f>
        <v/>
      </c>
      <c r="S115" s="39" t="str">
        <f aca="false">IF(OR($A115="",$P115="",$R115=""),"",MAX(0,$P115*$Q115-$R115))</f>
        <v/>
      </c>
      <c r="T115" s="38" t="str">
        <f aca="false">IF($A115="","",IF($O115="FAIL","REJECT",IF($N115&gt;=4,IF(AND($K115&lt;&gt;"",$K115&gt;$S115),"BUY IF CHEAPER","BUY"),IF($N115&gt;=3.2,"WATCH","PASS"))))</f>
        <v/>
      </c>
      <c r="U115" s="26"/>
      <c r="V115" s="33"/>
    </row>
    <row r="116" customFormat="false" ht="15" hidden="false" customHeight="true" outlineLevel="0" collapsed="false">
      <c r="A116" s="43"/>
      <c r="B116" s="34" t="str">
        <f aca="false">IF($A116="","",IF(ISERROR(FIND(".",$A116)),"",LOWER(MID($A116,FIND(CHAR(1),SUBSTITUTE($A116,".",CHAR(1),LEN($A116)-LEN(SUBSTITUTE($A116,".",""))))+1,LEN($A116)))))</f>
        <v/>
      </c>
      <c r="C116" s="35" t="str">
        <f aca="false">IF($B116="","",IFERROR(INDEX(Rubric!$B$15:$B$24,MATCH(LOWER($B116),Rubric!$A$15:$A$24,0)),INDEX(Rubric!$B$15:$B$24,MATCH("other",Rubric!$A$15:$A$24,0))))</f>
        <v/>
      </c>
      <c r="D116" s="26"/>
      <c r="E116" s="26"/>
      <c r="F116" s="26"/>
      <c r="G116" s="26"/>
      <c r="H116" s="26"/>
      <c r="I116" s="26"/>
      <c r="J116" s="26"/>
      <c r="K116" s="27"/>
      <c r="L116" s="27"/>
      <c r="M116" s="36" t="str">
        <f aca="false">IF($B116="","",IFERROR(INDEX(Rubric!$C$15:$C$24,MATCH(LOWER($B116),Rubric!$A$15:$A$24,0)),INDEX(Rubric!$C$15:$C$24,MATCH("other",Rubric!$A$15:$A$24,0))))</f>
        <v/>
      </c>
      <c r="N116" s="37" t="str">
        <f aca="false">IF(OR($A116="",$C116=""),"",$C116*Rubric!$B$5+$D116*Rubric!$B$6+$E116*Rubric!$B$7+$F116*Rubric!$B$8+$G116*Rubric!$B$9+$H116*Rubric!$B$10)</f>
        <v/>
      </c>
      <c r="O116" s="38" t="str">
        <f aca="false">IF($A116="","",IF(OR(UPPER($I116)="Y",UPPER($J116)="Y"),"FAIL","PASS"))</f>
        <v/>
      </c>
      <c r="P116" s="39" t="str">
        <f aca="false">IF(OR($A116="",$L116=""),"",MAX(0,$L116-MAX($L116*Assumptions!$B$4,Assumptions!$B$5)))</f>
        <v/>
      </c>
      <c r="Q116" s="40" t="str">
        <f aca="false">IF($A116="","",Assumptions!$B$13)</f>
        <v/>
      </c>
      <c r="R116" s="39" t="str">
        <f aca="false">IF(OR($A116="",$M116=""),"",$M116*Assumptions!$B$7)</f>
        <v/>
      </c>
      <c r="S116" s="39" t="str">
        <f aca="false">IF(OR($A116="",$P116="",$R116=""),"",MAX(0,$P116*$Q116-$R116))</f>
        <v/>
      </c>
      <c r="T116" s="38" t="str">
        <f aca="false">IF($A116="","",IF($O116="FAIL","REJECT",IF($N116&gt;=4,IF(AND($K116&lt;&gt;"",$K116&gt;$S116),"BUY IF CHEAPER","BUY"),IF($N116&gt;=3.2,"WATCH","PASS"))))</f>
        <v/>
      </c>
      <c r="U116" s="26"/>
      <c r="V116" s="33"/>
    </row>
    <row r="117" customFormat="false" ht="15" hidden="false" customHeight="true" outlineLevel="0" collapsed="false">
      <c r="A117" s="43"/>
      <c r="B117" s="34" t="str">
        <f aca="false">IF($A117="","",IF(ISERROR(FIND(".",$A117)),"",LOWER(MID($A117,FIND(CHAR(1),SUBSTITUTE($A117,".",CHAR(1),LEN($A117)-LEN(SUBSTITUTE($A117,".",""))))+1,LEN($A117)))))</f>
        <v/>
      </c>
      <c r="C117" s="35" t="str">
        <f aca="false">IF($B117="","",IFERROR(INDEX(Rubric!$B$15:$B$24,MATCH(LOWER($B117),Rubric!$A$15:$A$24,0)),INDEX(Rubric!$B$15:$B$24,MATCH("other",Rubric!$A$15:$A$24,0))))</f>
        <v/>
      </c>
      <c r="D117" s="26"/>
      <c r="E117" s="26"/>
      <c r="F117" s="26"/>
      <c r="G117" s="26"/>
      <c r="H117" s="26"/>
      <c r="I117" s="26"/>
      <c r="J117" s="26"/>
      <c r="K117" s="27"/>
      <c r="L117" s="27"/>
      <c r="M117" s="36" t="str">
        <f aca="false">IF($B117="","",IFERROR(INDEX(Rubric!$C$15:$C$24,MATCH(LOWER($B117),Rubric!$A$15:$A$24,0)),INDEX(Rubric!$C$15:$C$24,MATCH("other",Rubric!$A$15:$A$24,0))))</f>
        <v/>
      </c>
      <c r="N117" s="37" t="str">
        <f aca="false">IF(OR($A117="",$C117=""),"",$C117*Rubric!$B$5+$D117*Rubric!$B$6+$E117*Rubric!$B$7+$F117*Rubric!$B$8+$G117*Rubric!$B$9+$H117*Rubric!$B$10)</f>
        <v/>
      </c>
      <c r="O117" s="38" t="str">
        <f aca="false">IF($A117="","",IF(OR(UPPER($I117)="Y",UPPER($J117)="Y"),"FAIL","PASS"))</f>
        <v/>
      </c>
      <c r="P117" s="39" t="str">
        <f aca="false">IF(OR($A117="",$L117=""),"",MAX(0,$L117-MAX($L117*Assumptions!$B$4,Assumptions!$B$5)))</f>
        <v/>
      </c>
      <c r="Q117" s="40" t="str">
        <f aca="false">IF($A117="","",Assumptions!$B$13)</f>
        <v/>
      </c>
      <c r="R117" s="39" t="str">
        <f aca="false">IF(OR($A117="",$M117=""),"",$M117*Assumptions!$B$7)</f>
        <v/>
      </c>
      <c r="S117" s="39" t="str">
        <f aca="false">IF(OR($A117="",$P117="",$R117=""),"",MAX(0,$P117*$Q117-$R117))</f>
        <v/>
      </c>
      <c r="T117" s="38" t="str">
        <f aca="false">IF($A117="","",IF($O117="FAIL","REJECT",IF($N117&gt;=4,IF(AND($K117&lt;&gt;"",$K117&gt;$S117),"BUY IF CHEAPER","BUY"),IF($N117&gt;=3.2,"WATCH","PASS"))))</f>
        <v/>
      </c>
      <c r="U117" s="26"/>
      <c r="V117" s="33"/>
    </row>
    <row r="118" customFormat="false" ht="15" hidden="false" customHeight="true" outlineLevel="0" collapsed="false">
      <c r="A118" s="43"/>
      <c r="B118" s="34" t="str">
        <f aca="false">IF($A118="","",IF(ISERROR(FIND(".",$A118)),"",LOWER(MID($A118,FIND(CHAR(1),SUBSTITUTE($A118,".",CHAR(1),LEN($A118)-LEN(SUBSTITUTE($A118,".",""))))+1,LEN($A118)))))</f>
        <v/>
      </c>
      <c r="C118" s="35" t="str">
        <f aca="false">IF($B118="","",IFERROR(INDEX(Rubric!$B$15:$B$24,MATCH(LOWER($B118),Rubric!$A$15:$A$24,0)),INDEX(Rubric!$B$15:$B$24,MATCH("other",Rubric!$A$15:$A$24,0))))</f>
        <v/>
      </c>
      <c r="D118" s="26"/>
      <c r="E118" s="26"/>
      <c r="F118" s="26"/>
      <c r="G118" s="26"/>
      <c r="H118" s="26"/>
      <c r="I118" s="26"/>
      <c r="J118" s="26"/>
      <c r="K118" s="27"/>
      <c r="L118" s="27"/>
      <c r="M118" s="36" t="str">
        <f aca="false">IF($B118="","",IFERROR(INDEX(Rubric!$C$15:$C$24,MATCH(LOWER($B118),Rubric!$A$15:$A$24,0)),INDEX(Rubric!$C$15:$C$24,MATCH("other",Rubric!$A$15:$A$24,0))))</f>
        <v/>
      </c>
      <c r="N118" s="37" t="str">
        <f aca="false">IF(OR($A118="",$C118=""),"",$C118*Rubric!$B$5+$D118*Rubric!$B$6+$E118*Rubric!$B$7+$F118*Rubric!$B$8+$G118*Rubric!$B$9+$H118*Rubric!$B$10)</f>
        <v/>
      </c>
      <c r="O118" s="38" t="str">
        <f aca="false">IF($A118="","",IF(OR(UPPER($I118)="Y",UPPER($J118)="Y"),"FAIL","PASS"))</f>
        <v/>
      </c>
      <c r="P118" s="39" t="str">
        <f aca="false">IF(OR($A118="",$L118=""),"",MAX(0,$L118-MAX($L118*Assumptions!$B$4,Assumptions!$B$5)))</f>
        <v/>
      </c>
      <c r="Q118" s="40" t="str">
        <f aca="false">IF($A118="","",Assumptions!$B$13)</f>
        <v/>
      </c>
      <c r="R118" s="39" t="str">
        <f aca="false">IF(OR($A118="",$M118=""),"",$M118*Assumptions!$B$7)</f>
        <v/>
      </c>
      <c r="S118" s="39" t="str">
        <f aca="false">IF(OR($A118="",$P118="",$R118=""),"",MAX(0,$P118*$Q118-$R118))</f>
        <v/>
      </c>
      <c r="T118" s="38" t="str">
        <f aca="false">IF($A118="","",IF($O118="FAIL","REJECT",IF($N118&gt;=4,IF(AND($K118&lt;&gt;"",$K118&gt;$S118),"BUY IF CHEAPER","BUY"),IF($N118&gt;=3.2,"WATCH","PASS"))))</f>
        <v/>
      </c>
      <c r="U118" s="26"/>
      <c r="V118" s="33"/>
    </row>
    <row r="119" customFormat="false" ht="15" hidden="false" customHeight="true" outlineLevel="0" collapsed="false">
      <c r="A119" s="43"/>
      <c r="B119" s="34" t="str">
        <f aca="false">IF($A119="","",IF(ISERROR(FIND(".",$A119)),"",LOWER(MID($A119,FIND(CHAR(1),SUBSTITUTE($A119,".",CHAR(1),LEN($A119)-LEN(SUBSTITUTE($A119,".",""))))+1,LEN($A119)))))</f>
        <v/>
      </c>
      <c r="C119" s="35" t="str">
        <f aca="false">IF($B119="","",IFERROR(INDEX(Rubric!$B$15:$B$24,MATCH(LOWER($B119),Rubric!$A$15:$A$24,0)),INDEX(Rubric!$B$15:$B$24,MATCH("other",Rubric!$A$15:$A$24,0))))</f>
        <v/>
      </c>
      <c r="D119" s="26"/>
      <c r="E119" s="26"/>
      <c r="F119" s="26"/>
      <c r="G119" s="26"/>
      <c r="H119" s="26"/>
      <c r="I119" s="26"/>
      <c r="J119" s="26"/>
      <c r="K119" s="27"/>
      <c r="L119" s="27"/>
      <c r="M119" s="36" t="str">
        <f aca="false">IF($B119="","",IFERROR(INDEX(Rubric!$C$15:$C$24,MATCH(LOWER($B119),Rubric!$A$15:$A$24,0)),INDEX(Rubric!$C$15:$C$24,MATCH("other",Rubric!$A$15:$A$24,0))))</f>
        <v/>
      </c>
      <c r="N119" s="37" t="str">
        <f aca="false">IF(OR($A119="",$C119=""),"",$C119*Rubric!$B$5+$D119*Rubric!$B$6+$E119*Rubric!$B$7+$F119*Rubric!$B$8+$G119*Rubric!$B$9+$H119*Rubric!$B$10)</f>
        <v/>
      </c>
      <c r="O119" s="38" t="str">
        <f aca="false">IF($A119="","",IF(OR(UPPER($I119)="Y",UPPER($J119)="Y"),"FAIL","PASS"))</f>
        <v/>
      </c>
      <c r="P119" s="39" t="str">
        <f aca="false">IF(OR($A119="",$L119=""),"",MAX(0,$L119-MAX($L119*Assumptions!$B$4,Assumptions!$B$5)))</f>
        <v/>
      </c>
      <c r="Q119" s="40" t="str">
        <f aca="false">IF($A119="","",Assumptions!$B$13)</f>
        <v/>
      </c>
      <c r="R119" s="39" t="str">
        <f aca="false">IF(OR($A119="",$M119=""),"",$M119*Assumptions!$B$7)</f>
        <v/>
      </c>
      <c r="S119" s="39" t="str">
        <f aca="false">IF(OR($A119="",$P119="",$R119=""),"",MAX(0,$P119*$Q119-$R119))</f>
        <v/>
      </c>
      <c r="T119" s="38" t="str">
        <f aca="false">IF($A119="","",IF($O119="FAIL","REJECT",IF($N119&gt;=4,IF(AND($K119&lt;&gt;"",$K119&gt;$S119),"BUY IF CHEAPER","BUY"),IF($N119&gt;=3.2,"WATCH","PASS"))))</f>
        <v/>
      </c>
      <c r="U119" s="26"/>
      <c r="V119" s="33"/>
    </row>
    <row r="120" customFormat="false" ht="15" hidden="false" customHeight="true" outlineLevel="0" collapsed="false">
      <c r="A120" s="43"/>
      <c r="B120" s="34" t="str">
        <f aca="false">IF($A120="","",IF(ISERROR(FIND(".",$A120)),"",LOWER(MID($A120,FIND(CHAR(1),SUBSTITUTE($A120,".",CHAR(1),LEN($A120)-LEN(SUBSTITUTE($A120,".",""))))+1,LEN($A120)))))</f>
        <v/>
      </c>
      <c r="C120" s="35" t="str">
        <f aca="false">IF($B120="","",IFERROR(INDEX(Rubric!$B$15:$B$24,MATCH(LOWER($B120),Rubric!$A$15:$A$24,0)),INDEX(Rubric!$B$15:$B$24,MATCH("other",Rubric!$A$15:$A$24,0))))</f>
        <v/>
      </c>
      <c r="D120" s="26"/>
      <c r="E120" s="26"/>
      <c r="F120" s="26"/>
      <c r="G120" s="26"/>
      <c r="H120" s="26"/>
      <c r="I120" s="26"/>
      <c r="J120" s="26"/>
      <c r="K120" s="27"/>
      <c r="L120" s="27"/>
      <c r="M120" s="36" t="str">
        <f aca="false">IF($B120="","",IFERROR(INDEX(Rubric!$C$15:$C$24,MATCH(LOWER($B120),Rubric!$A$15:$A$24,0)),INDEX(Rubric!$C$15:$C$24,MATCH("other",Rubric!$A$15:$A$24,0))))</f>
        <v/>
      </c>
      <c r="N120" s="37" t="str">
        <f aca="false">IF(OR($A120="",$C120=""),"",$C120*Rubric!$B$5+$D120*Rubric!$B$6+$E120*Rubric!$B$7+$F120*Rubric!$B$8+$G120*Rubric!$B$9+$H120*Rubric!$B$10)</f>
        <v/>
      </c>
      <c r="O120" s="38" t="str">
        <f aca="false">IF($A120="","",IF(OR(UPPER($I120)="Y",UPPER($J120)="Y"),"FAIL","PASS"))</f>
        <v/>
      </c>
      <c r="P120" s="39" t="str">
        <f aca="false">IF(OR($A120="",$L120=""),"",MAX(0,$L120-MAX($L120*Assumptions!$B$4,Assumptions!$B$5)))</f>
        <v/>
      </c>
      <c r="Q120" s="40" t="str">
        <f aca="false">IF($A120="","",Assumptions!$B$13)</f>
        <v/>
      </c>
      <c r="R120" s="39" t="str">
        <f aca="false">IF(OR($A120="",$M120=""),"",$M120*Assumptions!$B$7)</f>
        <v/>
      </c>
      <c r="S120" s="39" t="str">
        <f aca="false">IF(OR($A120="",$P120="",$R120=""),"",MAX(0,$P120*$Q120-$R120))</f>
        <v/>
      </c>
      <c r="T120" s="38" t="str">
        <f aca="false">IF($A120="","",IF($O120="FAIL","REJECT",IF($N120&gt;=4,IF(AND($K120&lt;&gt;"",$K120&gt;$S120),"BUY IF CHEAPER","BUY"),IF($N120&gt;=3.2,"WATCH","PASS"))))</f>
        <v/>
      </c>
      <c r="U120" s="26"/>
      <c r="V120" s="33"/>
    </row>
    <row r="121" customFormat="false" ht="15" hidden="false" customHeight="true" outlineLevel="0" collapsed="false">
      <c r="A121" s="43"/>
      <c r="B121" s="34" t="str">
        <f aca="false">IF($A121="","",IF(ISERROR(FIND(".",$A121)),"",LOWER(MID($A121,FIND(CHAR(1),SUBSTITUTE($A121,".",CHAR(1),LEN($A121)-LEN(SUBSTITUTE($A121,".",""))))+1,LEN($A121)))))</f>
        <v/>
      </c>
      <c r="C121" s="35" t="str">
        <f aca="false">IF($B121="","",IFERROR(INDEX(Rubric!$B$15:$B$24,MATCH(LOWER($B121),Rubric!$A$15:$A$24,0)),INDEX(Rubric!$B$15:$B$24,MATCH("other",Rubric!$A$15:$A$24,0))))</f>
        <v/>
      </c>
      <c r="D121" s="26"/>
      <c r="E121" s="26"/>
      <c r="F121" s="26"/>
      <c r="G121" s="26"/>
      <c r="H121" s="26"/>
      <c r="I121" s="26"/>
      <c r="J121" s="26"/>
      <c r="K121" s="27"/>
      <c r="L121" s="27"/>
      <c r="M121" s="36" t="str">
        <f aca="false">IF($B121="","",IFERROR(INDEX(Rubric!$C$15:$C$24,MATCH(LOWER($B121),Rubric!$A$15:$A$24,0)),INDEX(Rubric!$C$15:$C$24,MATCH("other",Rubric!$A$15:$A$24,0))))</f>
        <v/>
      </c>
      <c r="N121" s="37" t="str">
        <f aca="false">IF(OR($A121="",$C121=""),"",$C121*Rubric!$B$5+$D121*Rubric!$B$6+$E121*Rubric!$B$7+$F121*Rubric!$B$8+$G121*Rubric!$B$9+$H121*Rubric!$B$10)</f>
        <v/>
      </c>
      <c r="O121" s="38" t="str">
        <f aca="false">IF($A121="","",IF(OR(UPPER($I121)="Y",UPPER($J121)="Y"),"FAIL","PASS"))</f>
        <v/>
      </c>
      <c r="P121" s="39" t="str">
        <f aca="false">IF(OR($A121="",$L121=""),"",MAX(0,$L121-MAX($L121*Assumptions!$B$4,Assumptions!$B$5)))</f>
        <v/>
      </c>
      <c r="Q121" s="40" t="str">
        <f aca="false">IF($A121="","",Assumptions!$B$13)</f>
        <v/>
      </c>
      <c r="R121" s="39" t="str">
        <f aca="false">IF(OR($A121="",$M121=""),"",$M121*Assumptions!$B$7)</f>
        <v/>
      </c>
      <c r="S121" s="39" t="str">
        <f aca="false">IF(OR($A121="",$P121="",$R121=""),"",MAX(0,$P121*$Q121-$R121))</f>
        <v/>
      </c>
      <c r="T121" s="38" t="str">
        <f aca="false">IF($A121="","",IF($O121="FAIL","REJECT",IF($N121&gt;=4,IF(AND($K121&lt;&gt;"",$K121&gt;$S121),"BUY IF CHEAPER","BUY"),IF($N121&gt;=3.2,"WATCH","PASS"))))</f>
        <v/>
      </c>
      <c r="U121" s="26"/>
      <c r="V121" s="33"/>
    </row>
    <row r="122" customFormat="false" ht="15" hidden="false" customHeight="true" outlineLevel="0" collapsed="false">
      <c r="A122" s="43"/>
      <c r="B122" s="34" t="str">
        <f aca="false">IF($A122="","",IF(ISERROR(FIND(".",$A122)),"",LOWER(MID($A122,FIND(CHAR(1),SUBSTITUTE($A122,".",CHAR(1),LEN($A122)-LEN(SUBSTITUTE($A122,".",""))))+1,LEN($A122)))))</f>
        <v/>
      </c>
      <c r="C122" s="35" t="str">
        <f aca="false">IF($B122="","",IFERROR(INDEX(Rubric!$B$15:$B$24,MATCH(LOWER($B122),Rubric!$A$15:$A$24,0)),INDEX(Rubric!$B$15:$B$24,MATCH("other",Rubric!$A$15:$A$24,0))))</f>
        <v/>
      </c>
      <c r="D122" s="26"/>
      <c r="E122" s="26"/>
      <c r="F122" s="26"/>
      <c r="G122" s="26"/>
      <c r="H122" s="26"/>
      <c r="I122" s="26"/>
      <c r="J122" s="26"/>
      <c r="K122" s="27"/>
      <c r="L122" s="27"/>
      <c r="M122" s="36" t="str">
        <f aca="false">IF($B122="","",IFERROR(INDEX(Rubric!$C$15:$C$24,MATCH(LOWER($B122),Rubric!$A$15:$A$24,0)),INDEX(Rubric!$C$15:$C$24,MATCH("other",Rubric!$A$15:$A$24,0))))</f>
        <v/>
      </c>
      <c r="N122" s="37" t="str">
        <f aca="false">IF(OR($A122="",$C122=""),"",$C122*Rubric!$B$5+$D122*Rubric!$B$6+$E122*Rubric!$B$7+$F122*Rubric!$B$8+$G122*Rubric!$B$9+$H122*Rubric!$B$10)</f>
        <v/>
      </c>
      <c r="O122" s="38" t="str">
        <f aca="false">IF($A122="","",IF(OR(UPPER($I122)="Y",UPPER($J122)="Y"),"FAIL","PASS"))</f>
        <v/>
      </c>
      <c r="P122" s="39" t="str">
        <f aca="false">IF(OR($A122="",$L122=""),"",MAX(0,$L122-MAX($L122*Assumptions!$B$4,Assumptions!$B$5)))</f>
        <v/>
      </c>
      <c r="Q122" s="40" t="str">
        <f aca="false">IF($A122="","",Assumptions!$B$13)</f>
        <v/>
      </c>
      <c r="R122" s="39" t="str">
        <f aca="false">IF(OR($A122="",$M122=""),"",$M122*Assumptions!$B$7)</f>
        <v/>
      </c>
      <c r="S122" s="39" t="str">
        <f aca="false">IF(OR($A122="",$P122="",$R122=""),"",MAX(0,$P122*$Q122-$R122))</f>
        <v/>
      </c>
      <c r="T122" s="38" t="str">
        <f aca="false">IF($A122="","",IF($O122="FAIL","REJECT",IF($N122&gt;=4,IF(AND($K122&lt;&gt;"",$K122&gt;$S122),"BUY IF CHEAPER","BUY"),IF($N122&gt;=3.2,"WATCH","PASS"))))</f>
        <v/>
      </c>
      <c r="U122" s="26"/>
      <c r="V122" s="33"/>
    </row>
    <row r="123" customFormat="false" ht="15" hidden="false" customHeight="true" outlineLevel="0" collapsed="false">
      <c r="A123" s="43"/>
      <c r="B123" s="34" t="str">
        <f aca="false">IF($A123="","",IF(ISERROR(FIND(".",$A123)),"",LOWER(MID($A123,FIND(CHAR(1),SUBSTITUTE($A123,".",CHAR(1),LEN($A123)-LEN(SUBSTITUTE($A123,".",""))))+1,LEN($A123)))))</f>
        <v/>
      </c>
      <c r="C123" s="35" t="str">
        <f aca="false">IF($B123="","",IFERROR(INDEX(Rubric!$B$15:$B$24,MATCH(LOWER($B123),Rubric!$A$15:$A$24,0)),INDEX(Rubric!$B$15:$B$24,MATCH("other",Rubric!$A$15:$A$24,0))))</f>
        <v/>
      </c>
      <c r="D123" s="26"/>
      <c r="E123" s="26"/>
      <c r="F123" s="26"/>
      <c r="G123" s="26"/>
      <c r="H123" s="26"/>
      <c r="I123" s="26"/>
      <c r="J123" s="26"/>
      <c r="K123" s="27"/>
      <c r="L123" s="27"/>
      <c r="M123" s="36" t="str">
        <f aca="false">IF($B123="","",IFERROR(INDEX(Rubric!$C$15:$C$24,MATCH(LOWER($B123),Rubric!$A$15:$A$24,0)),INDEX(Rubric!$C$15:$C$24,MATCH("other",Rubric!$A$15:$A$24,0))))</f>
        <v/>
      </c>
      <c r="N123" s="37" t="str">
        <f aca="false">IF(OR($A123="",$C123=""),"",$C123*Rubric!$B$5+$D123*Rubric!$B$6+$E123*Rubric!$B$7+$F123*Rubric!$B$8+$G123*Rubric!$B$9+$H123*Rubric!$B$10)</f>
        <v/>
      </c>
      <c r="O123" s="38" t="str">
        <f aca="false">IF($A123="","",IF(OR(UPPER($I123)="Y",UPPER($J123)="Y"),"FAIL","PASS"))</f>
        <v/>
      </c>
      <c r="P123" s="39" t="str">
        <f aca="false">IF(OR($A123="",$L123=""),"",MAX(0,$L123-MAX($L123*Assumptions!$B$4,Assumptions!$B$5)))</f>
        <v/>
      </c>
      <c r="Q123" s="40" t="str">
        <f aca="false">IF($A123="","",Assumptions!$B$13)</f>
        <v/>
      </c>
      <c r="R123" s="39" t="str">
        <f aca="false">IF(OR($A123="",$M123=""),"",$M123*Assumptions!$B$7)</f>
        <v/>
      </c>
      <c r="S123" s="39" t="str">
        <f aca="false">IF(OR($A123="",$P123="",$R123=""),"",MAX(0,$P123*$Q123-$R123))</f>
        <v/>
      </c>
      <c r="T123" s="38" t="str">
        <f aca="false">IF($A123="","",IF($O123="FAIL","REJECT",IF($N123&gt;=4,IF(AND($K123&lt;&gt;"",$K123&gt;$S123),"BUY IF CHEAPER","BUY"),IF($N123&gt;=3.2,"WATCH","PASS"))))</f>
        <v/>
      </c>
      <c r="U123" s="26"/>
      <c r="V123" s="33"/>
    </row>
    <row r="124" customFormat="false" ht="15" hidden="false" customHeight="true" outlineLevel="0" collapsed="false">
      <c r="A124" s="43"/>
      <c r="B124" s="34" t="str">
        <f aca="false">IF($A124="","",IF(ISERROR(FIND(".",$A124)),"",LOWER(MID($A124,FIND(CHAR(1),SUBSTITUTE($A124,".",CHAR(1),LEN($A124)-LEN(SUBSTITUTE($A124,".",""))))+1,LEN($A124)))))</f>
        <v/>
      </c>
      <c r="C124" s="35" t="str">
        <f aca="false">IF($B124="","",IFERROR(INDEX(Rubric!$B$15:$B$24,MATCH(LOWER($B124),Rubric!$A$15:$A$24,0)),INDEX(Rubric!$B$15:$B$24,MATCH("other",Rubric!$A$15:$A$24,0))))</f>
        <v/>
      </c>
      <c r="D124" s="26"/>
      <c r="E124" s="26"/>
      <c r="F124" s="26"/>
      <c r="G124" s="26"/>
      <c r="H124" s="26"/>
      <c r="I124" s="26"/>
      <c r="J124" s="26"/>
      <c r="K124" s="27"/>
      <c r="L124" s="27"/>
      <c r="M124" s="36" t="str">
        <f aca="false">IF($B124="","",IFERROR(INDEX(Rubric!$C$15:$C$24,MATCH(LOWER($B124),Rubric!$A$15:$A$24,0)),INDEX(Rubric!$C$15:$C$24,MATCH("other",Rubric!$A$15:$A$24,0))))</f>
        <v/>
      </c>
      <c r="N124" s="37" t="str">
        <f aca="false">IF(OR($A124="",$C124=""),"",$C124*Rubric!$B$5+$D124*Rubric!$B$6+$E124*Rubric!$B$7+$F124*Rubric!$B$8+$G124*Rubric!$B$9+$H124*Rubric!$B$10)</f>
        <v/>
      </c>
      <c r="O124" s="38" t="str">
        <f aca="false">IF($A124="","",IF(OR(UPPER($I124)="Y",UPPER($J124)="Y"),"FAIL","PASS"))</f>
        <v/>
      </c>
      <c r="P124" s="39" t="str">
        <f aca="false">IF(OR($A124="",$L124=""),"",MAX(0,$L124-MAX($L124*Assumptions!$B$4,Assumptions!$B$5)))</f>
        <v/>
      </c>
      <c r="Q124" s="40" t="str">
        <f aca="false">IF($A124="","",Assumptions!$B$13)</f>
        <v/>
      </c>
      <c r="R124" s="39" t="str">
        <f aca="false">IF(OR($A124="",$M124=""),"",$M124*Assumptions!$B$7)</f>
        <v/>
      </c>
      <c r="S124" s="39" t="str">
        <f aca="false">IF(OR($A124="",$P124="",$R124=""),"",MAX(0,$P124*$Q124-$R124))</f>
        <v/>
      </c>
      <c r="T124" s="38" t="str">
        <f aca="false">IF($A124="","",IF($O124="FAIL","REJECT",IF($N124&gt;=4,IF(AND($K124&lt;&gt;"",$K124&gt;$S124),"BUY IF CHEAPER","BUY"),IF($N124&gt;=3.2,"WATCH","PASS"))))</f>
        <v/>
      </c>
      <c r="U124" s="26"/>
      <c r="V124" s="33"/>
    </row>
    <row r="125" customFormat="false" ht="15" hidden="false" customHeight="true" outlineLevel="0" collapsed="false">
      <c r="A125" s="43"/>
      <c r="B125" s="34" t="str">
        <f aca="false">IF($A125="","",IF(ISERROR(FIND(".",$A125)),"",LOWER(MID($A125,FIND(CHAR(1),SUBSTITUTE($A125,".",CHAR(1),LEN($A125)-LEN(SUBSTITUTE($A125,".",""))))+1,LEN($A125)))))</f>
        <v/>
      </c>
      <c r="C125" s="35" t="str">
        <f aca="false">IF($B125="","",IFERROR(INDEX(Rubric!$B$15:$B$24,MATCH(LOWER($B125),Rubric!$A$15:$A$24,0)),INDEX(Rubric!$B$15:$B$24,MATCH("other",Rubric!$A$15:$A$24,0))))</f>
        <v/>
      </c>
      <c r="D125" s="26"/>
      <c r="E125" s="26"/>
      <c r="F125" s="26"/>
      <c r="G125" s="26"/>
      <c r="H125" s="26"/>
      <c r="I125" s="26"/>
      <c r="J125" s="26"/>
      <c r="K125" s="27"/>
      <c r="L125" s="27"/>
      <c r="M125" s="36" t="str">
        <f aca="false">IF($B125="","",IFERROR(INDEX(Rubric!$C$15:$C$24,MATCH(LOWER($B125),Rubric!$A$15:$A$24,0)),INDEX(Rubric!$C$15:$C$24,MATCH("other",Rubric!$A$15:$A$24,0))))</f>
        <v/>
      </c>
      <c r="N125" s="37" t="str">
        <f aca="false">IF(OR($A125="",$C125=""),"",$C125*Rubric!$B$5+$D125*Rubric!$B$6+$E125*Rubric!$B$7+$F125*Rubric!$B$8+$G125*Rubric!$B$9+$H125*Rubric!$B$10)</f>
        <v/>
      </c>
      <c r="O125" s="38" t="str">
        <f aca="false">IF($A125="","",IF(OR(UPPER($I125)="Y",UPPER($J125)="Y"),"FAIL","PASS"))</f>
        <v/>
      </c>
      <c r="P125" s="39" t="str">
        <f aca="false">IF(OR($A125="",$L125=""),"",MAX(0,$L125-MAX($L125*Assumptions!$B$4,Assumptions!$B$5)))</f>
        <v/>
      </c>
      <c r="Q125" s="40" t="str">
        <f aca="false">IF($A125="","",Assumptions!$B$13)</f>
        <v/>
      </c>
      <c r="R125" s="39" t="str">
        <f aca="false">IF(OR($A125="",$M125=""),"",$M125*Assumptions!$B$7)</f>
        <v/>
      </c>
      <c r="S125" s="39" t="str">
        <f aca="false">IF(OR($A125="",$P125="",$R125=""),"",MAX(0,$P125*$Q125-$R125))</f>
        <v/>
      </c>
      <c r="T125" s="38" t="str">
        <f aca="false">IF($A125="","",IF($O125="FAIL","REJECT",IF($N125&gt;=4,IF(AND($K125&lt;&gt;"",$K125&gt;$S125),"BUY IF CHEAPER","BUY"),IF($N125&gt;=3.2,"WATCH","PASS"))))</f>
        <v/>
      </c>
      <c r="U125" s="26"/>
      <c r="V125" s="33"/>
    </row>
    <row r="126" customFormat="false" ht="15" hidden="false" customHeight="true" outlineLevel="0" collapsed="false">
      <c r="A126" s="43"/>
      <c r="B126" s="34" t="str">
        <f aca="false">IF($A126="","",IF(ISERROR(FIND(".",$A126)),"",LOWER(MID($A126,FIND(CHAR(1),SUBSTITUTE($A126,".",CHAR(1),LEN($A126)-LEN(SUBSTITUTE($A126,".",""))))+1,LEN($A126)))))</f>
        <v/>
      </c>
      <c r="C126" s="35" t="str">
        <f aca="false">IF($B126="","",IFERROR(INDEX(Rubric!$B$15:$B$24,MATCH(LOWER($B126),Rubric!$A$15:$A$24,0)),INDEX(Rubric!$B$15:$B$24,MATCH("other",Rubric!$A$15:$A$24,0))))</f>
        <v/>
      </c>
      <c r="D126" s="26"/>
      <c r="E126" s="26"/>
      <c r="F126" s="26"/>
      <c r="G126" s="26"/>
      <c r="H126" s="26"/>
      <c r="I126" s="26"/>
      <c r="J126" s="26"/>
      <c r="K126" s="27"/>
      <c r="L126" s="27"/>
      <c r="M126" s="36" t="str">
        <f aca="false">IF($B126="","",IFERROR(INDEX(Rubric!$C$15:$C$24,MATCH(LOWER($B126),Rubric!$A$15:$A$24,0)),INDEX(Rubric!$C$15:$C$24,MATCH("other",Rubric!$A$15:$A$24,0))))</f>
        <v/>
      </c>
      <c r="N126" s="37" t="str">
        <f aca="false">IF(OR($A126="",$C126=""),"",$C126*Rubric!$B$5+$D126*Rubric!$B$6+$E126*Rubric!$B$7+$F126*Rubric!$B$8+$G126*Rubric!$B$9+$H126*Rubric!$B$10)</f>
        <v/>
      </c>
      <c r="O126" s="38" t="str">
        <f aca="false">IF($A126="","",IF(OR(UPPER($I126)="Y",UPPER($J126)="Y"),"FAIL","PASS"))</f>
        <v/>
      </c>
      <c r="P126" s="39" t="str">
        <f aca="false">IF(OR($A126="",$L126=""),"",MAX(0,$L126-MAX($L126*Assumptions!$B$4,Assumptions!$B$5)))</f>
        <v/>
      </c>
      <c r="Q126" s="40" t="str">
        <f aca="false">IF($A126="","",Assumptions!$B$13)</f>
        <v/>
      </c>
      <c r="R126" s="39" t="str">
        <f aca="false">IF(OR($A126="",$M126=""),"",$M126*Assumptions!$B$7)</f>
        <v/>
      </c>
      <c r="S126" s="39" t="str">
        <f aca="false">IF(OR($A126="",$P126="",$R126=""),"",MAX(0,$P126*$Q126-$R126))</f>
        <v/>
      </c>
      <c r="T126" s="38" t="str">
        <f aca="false">IF($A126="","",IF($O126="FAIL","REJECT",IF($N126&gt;=4,IF(AND($K126&lt;&gt;"",$K126&gt;$S126),"BUY IF CHEAPER","BUY"),IF($N126&gt;=3.2,"WATCH","PASS"))))</f>
        <v/>
      </c>
      <c r="U126" s="26"/>
      <c r="V126" s="33"/>
    </row>
    <row r="127" customFormat="false" ht="15" hidden="false" customHeight="true" outlineLevel="0" collapsed="false">
      <c r="A127" s="43"/>
      <c r="B127" s="34" t="str">
        <f aca="false">IF($A127="","",IF(ISERROR(FIND(".",$A127)),"",LOWER(MID($A127,FIND(CHAR(1),SUBSTITUTE($A127,".",CHAR(1),LEN($A127)-LEN(SUBSTITUTE($A127,".",""))))+1,LEN($A127)))))</f>
        <v/>
      </c>
      <c r="C127" s="35" t="str">
        <f aca="false">IF($B127="","",IFERROR(INDEX(Rubric!$B$15:$B$24,MATCH(LOWER($B127),Rubric!$A$15:$A$24,0)),INDEX(Rubric!$B$15:$B$24,MATCH("other",Rubric!$A$15:$A$24,0))))</f>
        <v/>
      </c>
      <c r="D127" s="26"/>
      <c r="E127" s="26"/>
      <c r="F127" s="26"/>
      <c r="G127" s="26"/>
      <c r="H127" s="26"/>
      <c r="I127" s="26"/>
      <c r="J127" s="26"/>
      <c r="K127" s="27"/>
      <c r="L127" s="27"/>
      <c r="M127" s="36" t="str">
        <f aca="false">IF($B127="","",IFERROR(INDEX(Rubric!$C$15:$C$24,MATCH(LOWER($B127),Rubric!$A$15:$A$24,0)),INDEX(Rubric!$C$15:$C$24,MATCH("other",Rubric!$A$15:$A$24,0))))</f>
        <v/>
      </c>
      <c r="N127" s="37" t="str">
        <f aca="false">IF(OR($A127="",$C127=""),"",$C127*Rubric!$B$5+$D127*Rubric!$B$6+$E127*Rubric!$B$7+$F127*Rubric!$B$8+$G127*Rubric!$B$9+$H127*Rubric!$B$10)</f>
        <v/>
      </c>
      <c r="O127" s="38" t="str">
        <f aca="false">IF($A127="","",IF(OR(UPPER($I127)="Y",UPPER($J127)="Y"),"FAIL","PASS"))</f>
        <v/>
      </c>
      <c r="P127" s="39" t="str">
        <f aca="false">IF(OR($A127="",$L127=""),"",MAX(0,$L127-MAX($L127*Assumptions!$B$4,Assumptions!$B$5)))</f>
        <v/>
      </c>
      <c r="Q127" s="40" t="str">
        <f aca="false">IF($A127="","",Assumptions!$B$13)</f>
        <v/>
      </c>
      <c r="R127" s="39" t="str">
        <f aca="false">IF(OR($A127="",$M127=""),"",$M127*Assumptions!$B$7)</f>
        <v/>
      </c>
      <c r="S127" s="39" t="str">
        <f aca="false">IF(OR($A127="",$P127="",$R127=""),"",MAX(0,$P127*$Q127-$R127))</f>
        <v/>
      </c>
      <c r="T127" s="38" t="str">
        <f aca="false">IF($A127="","",IF($O127="FAIL","REJECT",IF($N127&gt;=4,IF(AND($K127&lt;&gt;"",$K127&gt;$S127),"BUY IF CHEAPER","BUY"),IF($N127&gt;=3.2,"WATCH","PASS"))))</f>
        <v/>
      </c>
      <c r="U127" s="26"/>
      <c r="V127" s="33"/>
    </row>
    <row r="128" customFormat="false" ht="15" hidden="false" customHeight="true" outlineLevel="0" collapsed="false">
      <c r="A128" s="43"/>
      <c r="B128" s="34" t="str">
        <f aca="false">IF($A128="","",IF(ISERROR(FIND(".",$A128)),"",LOWER(MID($A128,FIND(CHAR(1),SUBSTITUTE($A128,".",CHAR(1),LEN($A128)-LEN(SUBSTITUTE($A128,".",""))))+1,LEN($A128)))))</f>
        <v/>
      </c>
      <c r="C128" s="35" t="str">
        <f aca="false">IF($B128="","",IFERROR(INDEX(Rubric!$B$15:$B$24,MATCH(LOWER($B128),Rubric!$A$15:$A$24,0)),INDEX(Rubric!$B$15:$B$24,MATCH("other",Rubric!$A$15:$A$24,0))))</f>
        <v/>
      </c>
      <c r="D128" s="26"/>
      <c r="E128" s="26"/>
      <c r="F128" s="26"/>
      <c r="G128" s="26"/>
      <c r="H128" s="26"/>
      <c r="I128" s="26"/>
      <c r="J128" s="26"/>
      <c r="K128" s="27"/>
      <c r="L128" s="27"/>
      <c r="M128" s="36" t="str">
        <f aca="false">IF($B128="","",IFERROR(INDEX(Rubric!$C$15:$C$24,MATCH(LOWER($B128),Rubric!$A$15:$A$24,0)),INDEX(Rubric!$C$15:$C$24,MATCH("other",Rubric!$A$15:$A$24,0))))</f>
        <v/>
      </c>
      <c r="N128" s="37" t="str">
        <f aca="false">IF(OR($A128="",$C128=""),"",$C128*Rubric!$B$5+$D128*Rubric!$B$6+$E128*Rubric!$B$7+$F128*Rubric!$B$8+$G128*Rubric!$B$9+$H128*Rubric!$B$10)</f>
        <v/>
      </c>
      <c r="O128" s="38" t="str">
        <f aca="false">IF($A128="","",IF(OR(UPPER($I128)="Y",UPPER($J128)="Y"),"FAIL","PASS"))</f>
        <v/>
      </c>
      <c r="P128" s="39" t="str">
        <f aca="false">IF(OR($A128="",$L128=""),"",MAX(0,$L128-MAX($L128*Assumptions!$B$4,Assumptions!$B$5)))</f>
        <v/>
      </c>
      <c r="Q128" s="40" t="str">
        <f aca="false">IF($A128="","",Assumptions!$B$13)</f>
        <v/>
      </c>
      <c r="R128" s="39" t="str">
        <f aca="false">IF(OR($A128="",$M128=""),"",$M128*Assumptions!$B$7)</f>
        <v/>
      </c>
      <c r="S128" s="39" t="str">
        <f aca="false">IF(OR($A128="",$P128="",$R128=""),"",MAX(0,$P128*$Q128-$R128))</f>
        <v/>
      </c>
      <c r="T128" s="38" t="str">
        <f aca="false">IF($A128="","",IF($O128="FAIL","REJECT",IF($N128&gt;=4,IF(AND($K128&lt;&gt;"",$K128&gt;$S128),"BUY IF CHEAPER","BUY"),IF($N128&gt;=3.2,"WATCH","PASS"))))</f>
        <v/>
      </c>
      <c r="U128" s="26"/>
      <c r="V128" s="33"/>
    </row>
    <row r="129" customFormat="false" ht="15" hidden="false" customHeight="true" outlineLevel="0" collapsed="false">
      <c r="A129" s="43"/>
      <c r="B129" s="34" t="str">
        <f aca="false">IF($A129="","",IF(ISERROR(FIND(".",$A129)),"",LOWER(MID($A129,FIND(CHAR(1),SUBSTITUTE($A129,".",CHAR(1),LEN($A129)-LEN(SUBSTITUTE($A129,".",""))))+1,LEN($A129)))))</f>
        <v/>
      </c>
      <c r="C129" s="35" t="str">
        <f aca="false">IF($B129="","",IFERROR(INDEX(Rubric!$B$15:$B$24,MATCH(LOWER($B129),Rubric!$A$15:$A$24,0)),INDEX(Rubric!$B$15:$B$24,MATCH("other",Rubric!$A$15:$A$24,0))))</f>
        <v/>
      </c>
      <c r="D129" s="26"/>
      <c r="E129" s="26"/>
      <c r="F129" s="26"/>
      <c r="G129" s="26"/>
      <c r="H129" s="26"/>
      <c r="I129" s="26"/>
      <c r="J129" s="26"/>
      <c r="K129" s="27"/>
      <c r="L129" s="27"/>
      <c r="M129" s="36" t="str">
        <f aca="false">IF($B129="","",IFERROR(INDEX(Rubric!$C$15:$C$24,MATCH(LOWER($B129),Rubric!$A$15:$A$24,0)),INDEX(Rubric!$C$15:$C$24,MATCH("other",Rubric!$A$15:$A$24,0))))</f>
        <v/>
      </c>
      <c r="N129" s="37" t="str">
        <f aca="false">IF(OR($A129="",$C129=""),"",$C129*Rubric!$B$5+$D129*Rubric!$B$6+$E129*Rubric!$B$7+$F129*Rubric!$B$8+$G129*Rubric!$B$9+$H129*Rubric!$B$10)</f>
        <v/>
      </c>
      <c r="O129" s="38" t="str">
        <f aca="false">IF($A129="","",IF(OR(UPPER($I129)="Y",UPPER($J129)="Y"),"FAIL","PASS"))</f>
        <v/>
      </c>
      <c r="P129" s="39" t="str">
        <f aca="false">IF(OR($A129="",$L129=""),"",MAX(0,$L129-MAX($L129*Assumptions!$B$4,Assumptions!$B$5)))</f>
        <v/>
      </c>
      <c r="Q129" s="40" t="str">
        <f aca="false">IF($A129="","",Assumptions!$B$13)</f>
        <v/>
      </c>
      <c r="R129" s="39" t="str">
        <f aca="false">IF(OR($A129="",$M129=""),"",$M129*Assumptions!$B$7)</f>
        <v/>
      </c>
      <c r="S129" s="39" t="str">
        <f aca="false">IF(OR($A129="",$P129="",$R129=""),"",MAX(0,$P129*$Q129-$R129))</f>
        <v/>
      </c>
      <c r="T129" s="38" t="str">
        <f aca="false">IF($A129="","",IF($O129="FAIL","REJECT",IF($N129&gt;=4,IF(AND($K129&lt;&gt;"",$K129&gt;$S129),"BUY IF CHEAPER","BUY"),IF($N129&gt;=3.2,"WATCH","PASS"))))</f>
        <v/>
      </c>
      <c r="U129" s="26"/>
      <c r="V129" s="33"/>
    </row>
    <row r="130" customFormat="false" ht="15" hidden="false" customHeight="true" outlineLevel="0" collapsed="false">
      <c r="A130" s="43"/>
      <c r="B130" s="34" t="str">
        <f aca="false">IF($A130="","",IF(ISERROR(FIND(".",$A130)),"",LOWER(MID($A130,FIND(CHAR(1),SUBSTITUTE($A130,".",CHAR(1),LEN($A130)-LEN(SUBSTITUTE($A130,".",""))))+1,LEN($A130)))))</f>
        <v/>
      </c>
      <c r="C130" s="35" t="str">
        <f aca="false">IF($B130="","",IFERROR(INDEX(Rubric!$B$15:$B$24,MATCH(LOWER($B130),Rubric!$A$15:$A$24,0)),INDEX(Rubric!$B$15:$B$24,MATCH("other",Rubric!$A$15:$A$24,0))))</f>
        <v/>
      </c>
      <c r="D130" s="26"/>
      <c r="E130" s="26"/>
      <c r="F130" s="26"/>
      <c r="G130" s="26"/>
      <c r="H130" s="26"/>
      <c r="I130" s="26"/>
      <c r="J130" s="26"/>
      <c r="K130" s="27"/>
      <c r="L130" s="27"/>
      <c r="M130" s="36" t="str">
        <f aca="false">IF($B130="","",IFERROR(INDEX(Rubric!$C$15:$C$24,MATCH(LOWER($B130),Rubric!$A$15:$A$24,0)),INDEX(Rubric!$C$15:$C$24,MATCH("other",Rubric!$A$15:$A$24,0))))</f>
        <v/>
      </c>
      <c r="N130" s="37" t="str">
        <f aca="false">IF(OR($A130="",$C130=""),"",$C130*Rubric!$B$5+$D130*Rubric!$B$6+$E130*Rubric!$B$7+$F130*Rubric!$B$8+$G130*Rubric!$B$9+$H130*Rubric!$B$10)</f>
        <v/>
      </c>
      <c r="O130" s="38" t="str">
        <f aca="false">IF($A130="","",IF(OR(UPPER($I130)="Y",UPPER($J130)="Y"),"FAIL","PASS"))</f>
        <v/>
      </c>
      <c r="P130" s="39" t="str">
        <f aca="false">IF(OR($A130="",$L130=""),"",MAX(0,$L130-MAX($L130*Assumptions!$B$4,Assumptions!$B$5)))</f>
        <v/>
      </c>
      <c r="Q130" s="40" t="str">
        <f aca="false">IF($A130="","",Assumptions!$B$13)</f>
        <v/>
      </c>
      <c r="R130" s="39" t="str">
        <f aca="false">IF(OR($A130="",$M130=""),"",$M130*Assumptions!$B$7)</f>
        <v/>
      </c>
      <c r="S130" s="39" t="str">
        <f aca="false">IF(OR($A130="",$P130="",$R130=""),"",MAX(0,$P130*$Q130-$R130))</f>
        <v/>
      </c>
      <c r="T130" s="38" t="str">
        <f aca="false">IF($A130="","",IF($O130="FAIL","REJECT",IF($N130&gt;=4,IF(AND($K130&lt;&gt;"",$K130&gt;$S130),"BUY IF CHEAPER","BUY"),IF($N130&gt;=3.2,"WATCH","PASS"))))</f>
        <v/>
      </c>
      <c r="U130" s="26"/>
      <c r="V130" s="33"/>
    </row>
    <row r="131" customFormat="false" ht="15" hidden="false" customHeight="true" outlineLevel="0" collapsed="false">
      <c r="A131" s="43"/>
      <c r="B131" s="34" t="str">
        <f aca="false">IF($A131="","",IF(ISERROR(FIND(".",$A131)),"",LOWER(MID($A131,FIND(CHAR(1),SUBSTITUTE($A131,".",CHAR(1),LEN($A131)-LEN(SUBSTITUTE($A131,".",""))))+1,LEN($A131)))))</f>
        <v/>
      </c>
      <c r="C131" s="35" t="str">
        <f aca="false">IF($B131="","",IFERROR(INDEX(Rubric!$B$15:$B$24,MATCH(LOWER($B131),Rubric!$A$15:$A$24,0)),INDEX(Rubric!$B$15:$B$24,MATCH("other",Rubric!$A$15:$A$24,0))))</f>
        <v/>
      </c>
      <c r="D131" s="26"/>
      <c r="E131" s="26"/>
      <c r="F131" s="26"/>
      <c r="G131" s="26"/>
      <c r="H131" s="26"/>
      <c r="I131" s="26"/>
      <c r="J131" s="26"/>
      <c r="K131" s="27"/>
      <c r="L131" s="27"/>
      <c r="M131" s="36" t="str">
        <f aca="false">IF($B131="","",IFERROR(INDEX(Rubric!$C$15:$C$24,MATCH(LOWER($B131),Rubric!$A$15:$A$24,0)),INDEX(Rubric!$C$15:$C$24,MATCH("other",Rubric!$A$15:$A$24,0))))</f>
        <v/>
      </c>
      <c r="N131" s="37" t="str">
        <f aca="false">IF(OR($A131="",$C131=""),"",$C131*Rubric!$B$5+$D131*Rubric!$B$6+$E131*Rubric!$B$7+$F131*Rubric!$B$8+$G131*Rubric!$B$9+$H131*Rubric!$B$10)</f>
        <v/>
      </c>
      <c r="O131" s="38" t="str">
        <f aca="false">IF($A131="","",IF(OR(UPPER($I131)="Y",UPPER($J131)="Y"),"FAIL","PASS"))</f>
        <v/>
      </c>
      <c r="P131" s="39" t="str">
        <f aca="false">IF(OR($A131="",$L131=""),"",MAX(0,$L131-MAX($L131*Assumptions!$B$4,Assumptions!$B$5)))</f>
        <v/>
      </c>
      <c r="Q131" s="40" t="str">
        <f aca="false">IF($A131="","",Assumptions!$B$13)</f>
        <v/>
      </c>
      <c r="R131" s="39" t="str">
        <f aca="false">IF(OR($A131="",$M131=""),"",$M131*Assumptions!$B$7)</f>
        <v/>
      </c>
      <c r="S131" s="39" t="str">
        <f aca="false">IF(OR($A131="",$P131="",$R131=""),"",MAX(0,$P131*$Q131-$R131))</f>
        <v/>
      </c>
      <c r="T131" s="38" t="str">
        <f aca="false">IF($A131="","",IF($O131="FAIL","REJECT",IF($N131&gt;=4,IF(AND($K131&lt;&gt;"",$K131&gt;$S131),"BUY IF CHEAPER","BUY"),IF($N131&gt;=3.2,"WATCH","PASS"))))</f>
        <v/>
      </c>
      <c r="U131" s="26"/>
      <c r="V131" s="33"/>
    </row>
    <row r="132" customFormat="false" ht="15" hidden="false" customHeight="true" outlineLevel="0" collapsed="false">
      <c r="A132" s="43"/>
      <c r="B132" s="34" t="str">
        <f aca="false">IF($A132="","",IF(ISERROR(FIND(".",$A132)),"",LOWER(MID($A132,FIND(CHAR(1),SUBSTITUTE($A132,".",CHAR(1),LEN($A132)-LEN(SUBSTITUTE($A132,".",""))))+1,LEN($A132)))))</f>
        <v/>
      </c>
      <c r="C132" s="35" t="str">
        <f aca="false">IF($B132="","",IFERROR(INDEX(Rubric!$B$15:$B$24,MATCH(LOWER($B132),Rubric!$A$15:$A$24,0)),INDEX(Rubric!$B$15:$B$24,MATCH("other",Rubric!$A$15:$A$24,0))))</f>
        <v/>
      </c>
      <c r="D132" s="26"/>
      <c r="E132" s="26"/>
      <c r="F132" s="26"/>
      <c r="G132" s="26"/>
      <c r="H132" s="26"/>
      <c r="I132" s="26"/>
      <c r="J132" s="26"/>
      <c r="K132" s="27"/>
      <c r="L132" s="27"/>
      <c r="M132" s="36" t="str">
        <f aca="false">IF($B132="","",IFERROR(INDEX(Rubric!$C$15:$C$24,MATCH(LOWER($B132),Rubric!$A$15:$A$24,0)),INDEX(Rubric!$C$15:$C$24,MATCH("other",Rubric!$A$15:$A$24,0))))</f>
        <v/>
      </c>
      <c r="N132" s="37" t="str">
        <f aca="false">IF(OR($A132="",$C132=""),"",$C132*Rubric!$B$5+$D132*Rubric!$B$6+$E132*Rubric!$B$7+$F132*Rubric!$B$8+$G132*Rubric!$B$9+$H132*Rubric!$B$10)</f>
        <v/>
      </c>
      <c r="O132" s="38" t="str">
        <f aca="false">IF($A132="","",IF(OR(UPPER($I132)="Y",UPPER($J132)="Y"),"FAIL","PASS"))</f>
        <v/>
      </c>
      <c r="P132" s="39" t="str">
        <f aca="false">IF(OR($A132="",$L132=""),"",MAX(0,$L132-MAX($L132*Assumptions!$B$4,Assumptions!$B$5)))</f>
        <v/>
      </c>
      <c r="Q132" s="40" t="str">
        <f aca="false">IF($A132="","",Assumptions!$B$13)</f>
        <v/>
      </c>
      <c r="R132" s="39" t="str">
        <f aca="false">IF(OR($A132="",$M132=""),"",$M132*Assumptions!$B$7)</f>
        <v/>
      </c>
      <c r="S132" s="39" t="str">
        <f aca="false">IF(OR($A132="",$P132="",$R132=""),"",MAX(0,$P132*$Q132-$R132))</f>
        <v/>
      </c>
      <c r="T132" s="38" t="str">
        <f aca="false">IF($A132="","",IF($O132="FAIL","REJECT",IF($N132&gt;=4,IF(AND($K132&lt;&gt;"",$K132&gt;$S132),"BUY IF CHEAPER","BUY"),IF($N132&gt;=3.2,"WATCH","PASS"))))</f>
        <v/>
      </c>
      <c r="U132" s="26"/>
      <c r="V132" s="33"/>
    </row>
    <row r="133" customFormat="false" ht="15" hidden="false" customHeight="true" outlineLevel="0" collapsed="false">
      <c r="A133" s="43"/>
      <c r="B133" s="34" t="str">
        <f aca="false">IF($A133="","",IF(ISERROR(FIND(".",$A133)),"",LOWER(MID($A133,FIND(CHAR(1),SUBSTITUTE($A133,".",CHAR(1),LEN($A133)-LEN(SUBSTITUTE($A133,".",""))))+1,LEN($A133)))))</f>
        <v/>
      </c>
      <c r="C133" s="35" t="str">
        <f aca="false">IF($B133="","",IFERROR(INDEX(Rubric!$B$15:$B$24,MATCH(LOWER($B133),Rubric!$A$15:$A$24,0)),INDEX(Rubric!$B$15:$B$24,MATCH("other",Rubric!$A$15:$A$24,0))))</f>
        <v/>
      </c>
      <c r="D133" s="26"/>
      <c r="E133" s="26"/>
      <c r="F133" s="26"/>
      <c r="G133" s="26"/>
      <c r="H133" s="26"/>
      <c r="I133" s="26"/>
      <c r="J133" s="26"/>
      <c r="K133" s="27"/>
      <c r="L133" s="27"/>
      <c r="M133" s="36" t="str">
        <f aca="false">IF($B133="","",IFERROR(INDEX(Rubric!$C$15:$C$24,MATCH(LOWER($B133),Rubric!$A$15:$A$24,0)),INDEX(Rubric!$C$15:$C$24,MATCH("other",Rubric!$A$15:$A$24,0))))</f>
        <v/>
      </c>
      <c r="N133" s="37" t="str">
        <f aca="false">IF(OR($A133="",$C133=""),"",$C133*Rubric!$B$5+$D133*Rubric!$B$6+$E133*Rubric!$B$7+$F133*Rubric!$B$8+$G133*Rubric!$B$9+$H133*Rubric!$B$10)</f>
        <v/>
      </c>
      <c r="O133" s="38" t="str">
        <f aca="false">IF($A133="","",IF(OR(UPPER($I133)="Y",UPPER($J133)="Y"),"FAIL","PASS"))</f>
        <v/>
      </c>
      <c r="P133" s="39" t="str">
        <f aca="false">IF(OR($A133="",$L133=""),"",MAX(0,$L133-MAX($L133*Assumptions!$B$4,Assumptions!$B$5)))</f>
        <v/>
      </c>
      <c r="Q133" s="40" t="str">
        <f aca="false">IF($A133="","",Assumptions!$B$13)</f>
        <v/>
      </c>
      <c r="R133" s="39" t="str">
        <f aca="false">IF(OR($A133="",$M133=""),"",$M133*Assumptions!$B$7)</f>
        <v/>
      </c>
      <c r="S133" s="39" t="str">
        <f aca="false">IF(OR($A133="",$P133="",$R133=""),"",MAX(0,$P133*$Q133-$R133))</f>
        <v/>
      </c>
      <c r="T133" s="38" t="str">
        <f aca="false">IF($A133="","",IF($O133="FAIL","REJECT",IF($N133&gt;=4,IF(AND($K133&lt;&gt;"",$K133&gt;$S133),"BUY IF CHEAPER","BUY"),IF($N133&gt;=3.2,"WATCH","PASS"))))</f>
        <v/>
      </c>
      <c r="U133" s="26"/>
      <c r="V133" s="33"/>
    </row>
    <row r="134" customFormat="false" ht="15" hidden="false" customHeight="true" outlineLevel="0" collapsed="false">
      <c r="A134" s="43"/>
      <c r="B134" s="34" t="str">
        <f aca="false">IF($A134="","",IF(ISERROR(FIND(".",$A134)),"",LOWER(MID($A134,FIND(CHAR(1),SUBSTITUTE($A134,".",CHAR(1),LEN($A134)-LEN(SUBSTITUTE($A134,".",""))))+1,LEN($A134)))))</f>
        <v/>
      </c>
      <c r="C134" s="35" t="str">
        <f aca="false">IF($B134="","",IFERROR(INDEX(Rubric!$B$15:$B$24,MATCH(LOWER($B134),Rubric!$A$15:$A$24,0)),INDEX(Rubric!$B$15:$B$24,MATCH("other",Rubric!$A$15:$A$24,0))))</f>
        <v/>
      </c>
      <c r="D134" s="26"/>
      <c r="E134" s="26"/>
      <c r="F134" s="26"/>
      <c r="G134" s="26"/>
      <c r="H134" s="26"/>
      <c r="I134" s="26"/>
      <c r="J134" s="26"/>
      <c r="K134" s="27"/>
      <c r="L134" s="27"/>
      <c r="M134" s="36" t="str">
        <f aca="false">IF($B134="","",IFERROR(INDEX(Rubric!$C$15:$C$24,MATCH(LOWER($B134),Rubric!$A$15:$A$24,0)),INDEX(Rubric!$C$15:$C$24,MATCH("other",Rubric!$A$15:$A$24,0))))</f>
        <v/>
      </c>
      <c r="N134" s="37" t="str">
        <f aca="false">IF(OR($A134="",$C134=""),"",$C134*Rubric!$B$5+$D134*Rubric!$B$6+$E134*Rubric!$B$7+$F134*Rubric!$B$8+$G134*Rubric!$B$9+$H134*Rubric!$B$10)</f>
        <v/>
      </c>
      <c r="O134" s="38" t="str">
        <f aca="false">IF($A134="","",IF(OR(UPPER($I134)="Y",UPPER($J134)="Y"),"FAIL","PASS"))</f>
        <v/>
      </c>
      <c r="P134" s="39" t="str">
        <f aca="false">IF(OR($A134="",$L134=""),"",MAX(0,$L134-MAX($L134*Assumptions!$B$4,Assumptions!$B$5)))</f>
        <v/>
      </c>
      <c r="Q134" s="40" t="str">
        <f aca="false">IF($A134="","",Assumptions!$B$13)</f>
        <v/>
      </c>
      <c r="R134" s="39" t="str">
        <f aca="false">IF(OR($A134="",$M134=""),"",$M134*Assumptions!$B$7)</f>
        <v/>
      </c>
      <c r="S134" s="39" t="str">
        <f aca="false">IF(OR($A134="",$P134="",$R134=""),"",MAX(0,$P134*$Q134-$R134))</f>
        <v/>
      </c>
      <c r="T134" s="38" t="str">
        <f aca="false">IF($A134="","",IF($O134="FAIL","REJECT",IF($N134&gt;=4,IF(AND($K134&lt;&gt;"",$K134&gt;$S134),"BUY IF CHEAPER","BUY"),IF($N134&gt;=3.2,"WATCH","PASS"))))</f>
        <v/>
      </c>
      <c r="U134" s="26"/>
      <c r="V134" s="33"/>
    </row>
    <row r="135" customFormat="false" ht="15" hidden="false" customHeight="true" outlineLevel="0" collapsed="false">
      <c r="A135" s="43"/>
      <c r="B135" s="34" t="str">
        <f aca="false">IF($A135="","",IF(ISERROR(FIND(".",$A135)),"",LOWER(MID($A135,FIND(CHAR(1),SUBSTITUTE($A135,".",CHAR(1),LEN($A135)-LEN(SUBSTITUTE($A135,".",""))))+1,LEN($A135)))))</f>
        <v/>
      </c>
      <c r="C135" s="35" t="str">
        <f aca="false">IF($B135="","",IFERROR(INDEX(Rubric!$B$15:$B$24,MATCH(LOWER($B135),Rubric!$A$15:$A$24,0)),INDEX(Rubric!$B$15:$B$24,MATCH("other",Rubric!$A$15:$A$24,0))))</f>
        <v/>
      </c>
      <c r="D135" s="26"/>
      <c r="E135" s="26"/>
      <c r="F135" s="26"/>
      <c r="G135" s="26"/>
      <c r="H135" s="26"/>
      <c r="I135" s="26"/>
      <c r="J135" s="26"/>
      <c r="K135" s="27"/>
      <c r="L135" s="27"/>
      <c r="M135" s="36" t="str">
        <f aca="false">IF($B135="","",IFERROR(INDEX(Rubric!$C$15:$C$24,MATCH(LOWER($B135),Rubric!$A$15:$A$24,0)),INDEX(Rubric!$C$15:$C$24,MATCH("other",Rubric!$A$15:$A$24,0))))</f>
        <v/>
      </c>
      <c r="N135" s="37" t="str">
        <f aca="false">IF(OR($A135="",$C135=""),"",$C135*Rubric!$B$5+$D135*Rubric!$B$6+$E135*Rubric!$B$7+$F135*Rubric!$B$8+$G135*Rubric!$B$9+$H135*Rubric!$B$10)</f>
        <v/>
      </c>
      <c r="O135" s="38" t="str">
        <f aca="false">IF($A135="","",IF(OR(UPPER($I135)="Y",UPPER($J135)="Y"),"FAIL","PASS"))</f>
        <v/>
      </c>
      <c r="P135" s="39" t="str">
        <f aca="false">IF(OR($A135="",$L135=""),"",MAX(0,$L135-MAX($L135*Assumptions!$B$4,Assumptions!$B$5)))</f>
        <v/>
      </c>
      <c r="Q135" s="40" t="str">
        <f aca="false">IF($A135="","",Assumptions!$B$13)</f>
        <v/>
      </c>
      <c r="R135" s="39" t="str">
        <f aca="false">IF(OR($A135="",$M135=""),"",$M135*Assumptions!$B$7)</f>
        <v/>
      </c>
      <c r="S135" s="39" t="str">
        <f aca="false">IF(OR($A135="",$P135="",$R135=""),"",MAX(0,$P135*$Q135-$R135))</f>
        <v/>
      </c>
      <c r="T135" s="38" t="str">
        <f aca="false">IF($A135="","",IF($O135="FAIL","REJECT",IF($N135&gt;=4,IF(AND($K135&lt;&gt;"",$K135&gt;$S135),"BUY IF CHEAPER","BUY"),IF($N135&gt;=3.2,"WATCH","PASS"))))</f>
        <v/>
      </c>
      <c r="U135" s="26"/>
      <c r="V135" s="33"/>
    </row>
    <row r="136" customFormat="false" ht="15" hidden="false" customHeight="true" outlineLevel="0" collapsed="false">
      <c r="A136" s="43"/>
      <c r="B136" s="34" t="str">
        <f aca="false">IF($A136="","",IF(ISERROR(FIND(".",$A136)),"",LOWER(MID($A136,FIND(CHAR(1),SUBSTITUTE($A136,".",CHAR(1),LEN($A136)-LEN(SUBSTITUTE($A136,".",""))))+1,LEN($A136)))))</f>
        <v/>
      </c>
      <c r="C136" s="35" t="str">
        <f aca="false">IF($B136="","",IFERROR(INDEX(Rubric!$B$15:$B$24,MATCH(LOWER($B136),Rubric!$A$15:$A$24,0)),INDEX(Rubric!$B$15:$B$24,MATCH("other",Rubric!$A$15:$A$24,0))))</f>
        <v/>
      </c>
      <c r="D136" s="26"/>
      <c r="E136" s="26"/>
      <c r="F136" s="26"/>
      <c r="G136" s="26"/>
      <c r="H136" s="26"/>
      <c r="I136" s="26"/>
      <c r="J136" s="26"/>
      <c r="K136" s="27"/>
      <c r="L136" s="27"/>
      <c r="M136" s="36" t="str">
        <f aca="false">IF($B136="","",IFERROR(INDEX(Rubric!$C$15:$C$24,MATCH(LOWER($B136),Rubric!$A$15:$A$24,0)),INDEX(Rubric!$C$15:$C$24,MATCH("other",Rubric!$A$15:$A$24,0))))</f>
        <v/>
      </c>
      <c r="N136" s="37" t="str">
        <f aca="false">IF(OR($A136="",$C136=""),"",$C136*Rubric!$B$5+$D136*Rubric!$B$6+$E136*Rubric!$B$7+$F136*Rubric!$B$8+$G136*Rubric!$B$9+$H136*Rubric!$B$10)</f>
        <v/>
      </c>
      <c r="O136" s="38" t="str">
        <f aca="false">IF($A136="","",IF(OR(UPPER($I136)="Y",UPPER($J136)="Y"),"FAIL","PASS"))</f>
        <v/>
      </c>
      <c r="P136" s="39" t="str">
        <f aca="false">IF(OR($A136="",$L136=""),"",MAX(0,$L136-MAX($L136*Assumptions!$B$4,Assumptions!$B$5)))</f>
        <v/>
      </c>
      <c r="Q136" s="40" t="str">
        <f aca="false">IF($A136="","",Assumptions!$B$13)</f>
        <v/>
      </c>
      <c r="R136" s="39" t="str">
        <f aca="false">IF(OR($A136="",$M136=""),"",$M136*Assumptions!$B$7)</f>
        <v/>
      </c>
      <c r="S136" s="39" t="str">
        <f aca="false">IF(OR($A136="",$P136="",$R136=""),"",MAX(0,$P136*$Q136-$R136))</f>
        <v/>
      </c>
      <c r="T136" s="38" t="str">
        <f aca="false">IF($A136="","",IF($O136="FAIL","REJECT",IF($N136&gt;=4,IF(AND($K136&lt;&gt;"",$K136&gt;$S136),"BUY IF CHEAPER","BUY"),IF($N136&gt;=3.2,"WATCH","PASS"))))</f>
        <v/>
      </c>
      <c r="U136" s="26"/>
      <c r="V136" s="33"/>
    </row>
    <row r="137" customFormat="false" ht="15" hidden="false" customHeight="true" outlineLevel="0" collapsed="false">
      <c r="A137" s="43"/>
      <c r="B137" s="34" t="str">
        <f aca="false">IF($A137="","",IF(ISERROR(FIND(".",$A137)),"",LOWER(MID($A137,FIND(CHAR(1),SUBSTITUTE($A137,".",CHAR(1),LEN($A137)-LEN(SUBSTITUTE($A137,".",""))))+1,LEN($A137)))))</f>
        <v/>
      </c>
      <c r="C137" s="35" t="str">
        <f aca="false">IF($B137="","",IFERROR(INDEX(Rubric!$B$15:$B$24,MATCH(LOWER($B137),Rubric!$A$15:$A$24,0)),INDEX(Rubric!$B$15:$B$24,MATCH("other",Rubric!$A$15:$A$24,0))))</f>
        <v/>
      </c>
      <c r="D137" s="26"/>
      <c r="E137" s="26"/>
      <c r="F137" s="26"/>
      <c r="G137" s="26"/>
      <c r="H137" s="26"/>
      <c r="I137" s="26"/>
      <c r="J137" s="26"/>
      <c r="K137" s="27"/>
      <c r="L137" s="27"/>
      <c r="M137" s="36" t="str">
        <f aca="false">IF($B137="","",IFERROR(INDEX(Rubric!$C$15:$C$24,MATCH(LOWER($B137),Rubric!$A$15:$A$24,0)),INDEX(Rubric!$C$15:$C$24,MATCH("other",Rubric!$A$15:$A$24,0))))</f>
        <v/>
      </c>
      <c r="N137" s="37" t="str">
        <f aca="false">IF(OR($A137="",$C137=""),"",$C137*Rubric!$B$5+$D137*Rubric!$B$6+$E137*Rubric!$B$7+$F137*Rubric!$B$8+$G137*Rubric!$B$9+$H137*Rubric!$B$10)</f>
        <v/>
      </c>
      <c r="O137" s="38" t="str">
        <f aca="false">IF($A137="","",IF(OR(UPPER($I137)="Y",UPPER($J137)="Y"),"FAIL","PASS"))</f>
        <v/>
      </c>
      <c r="P137" s="39" t="str">
        <f aca="false">IF(OR($A137="",$L137=""),"",MAX(0,$L137-MAX($L137*Assumptions!$B$4,Assumptions!$B$5)))</f>
        <v/>
      </c>
      <c r="Q137" s="40" t="str">
        <f aca="false">IF($A137="","",Assumptions!$B$13)</f>
        <v/>
      </c>
      <c r="R137" s="39" t="str">
        <f aca="false">IF(OR($A137="",$M137=""),"",$M137*Assumptions!$B$7)</f>
        <v/>
      </c>
      <c r="S137" s="39" t="str">
        <f aca="false">IF(OR($A137="",$P137="",$R137=""),"",MAX(0,$P137*$Q137-$R137))</f>
        <v/>
      </c>
      <c r="T137" s="38" t="str">
        <f aca="false">IF($A137="","",IF($O137="FAIL","REJECT",IF($N137&gt;=4,IF(AND($K137&lt;&gt;"",$K137&gt;$S137),"BUY IF CHEAPER","BUY"),IF($N137&gt;=3.2,"WATCH","PASS"))))</f>
        <v/>
      </c>
      <c r="U137" s="26"/>
      <c r="V137" s="33"/>
    </row>
    <row r="138" customFormat="false" ht="15" hidden="false" customHeight="true" outlineLevel="0" collapsed="false">
      <c r="A138" s="43"/>
      <c r="B138" s="34" t="str">
        <f aca="false">IF($A138="","",IF(ISERROR(FIND(".",$A138)),"",LOWER(MID($A138,FIND(CHAR(1),SUBSTITUTE($A138,".",CHAR(1),LEN($A138)-LEN(SUBSTITUTE($A138,".",""))))+1,LEN($A138)))))</f>
        <v/>
      </c>
      <c r="C138" s="35" t="str">
        <f aca="false">IF($B138="","",IFERROR(INDEX(Rubric!$B$15:$B$24,MATCH(LOWER($B138),Rubric!$A$15:$A$24,0)),INDEX(Rubric!$B$15:$B$24,MATCH("other",Rubric!$A$15:$A$24,0))))</f>
        <v/>
      </c>
      <c r="D138" s="26"/>
      <c r="E138" s="26"/>
      <c r="F138" s="26"/>
      <c r="G138" s="26"/>
      <c r="H138" s="26"/>
      <c r="I138" s="26"/>
      <c r="J138" s="26"/>
      <c r="K138" s="27"/>
      <c r="L138" s="27"/>
      <c r="M138" s="36" t="str">
        <f aca="false">IF($B138="","",IFERROR(INDEX(Rubric!$C$15:$C$24,MATCH(LOWER($B138),Rubric!$A$15:$A$24,0)),INDEX(Rubric!$C$15:$C$24,MATCH("other",Rubric!$A$15:$A$24,0))))</f>
        <v/>
      </c>
      <c r="N138" s="37" t="str">
        <f aca="false">IF(OR($A138="",$C138=""),"",$C138*Rubric!$B$5+$D138*Rubric!$B$6+$E138*Rubric!$B$7+$F138*Rubric!$B$8+$G138*Rubric!$B$9+$H138*Rubric!$B$10)</f>
        <v/>
      </c>
      <c r="O138" s="38" t="str">
        <f aca="false">IF($A138="","",IF(OR(UPPER($I138)="Y",UPPER($J138)="Y"),"FAIL","PASS"))</f>
        <v/>
      </c>
      <c r="P138" s="39" t="str">
        <f aca="false">IF(OR($A138="",$L138=""),"",MAX(0,$L138-MAX($L138*Assumptions!$B$4,Assumptions!$B$5)))</f>
        <v/>
      </c>
      <c r="Q138" s="40" t="str">
        <f aca="false">IF($A138="","",Assumptions!$B$13)</f>
        <v/>
      </c>
      <c r="R138" s="39" t="str">
        <f aca="false">IF(OR($A138="",$M138=""),"",$M138*Assumptions!$B$7)</f>
        <v/>
      </c>
      <c r="S138" s="39" t="str">
        <f aca="false">IF(OR($A138="",$P138="",$R138=""),"",MAX(0,$P138*$Q138-$R138))</f>
        <v/>
      </c>
      <c r="T138" s="38" t="str">
        <f aca="false">IF($A138="","",IF($O138="FAIL","REJECT",IF($N138&gt;=4,IF(AND($K138&lt;&gt;"",$K138&gt;$S138),"BUY IF CHEAPER","BUY"),IF($N138&gt;=3.2,"WATCH","PASS"))))</f>
        <v/>
      </c>
      <c r="U138" s="26"/>
      <c r="V138" s="33"/>
    </row>
    <row r="139" customFormat="false" ht="15" hidden="false" customHeight="true" outlineLevel="0" collapsed="false">
      <c r="A139" s="43"/>
      <c r="B139" s="34" t="str">
        <f aca="false">IF($A139="","",IF(ISERROR(FIND(".",$A139)),"",LOWER(MID($A139,FIND(CHAR(1),SUBSTITUTE($A139,".",CHAR(1),LEN($A139)-LEN(SUBSTITUTE($A139,".",""))))+1,LEN($A139)))))</f>
        <v/>
      </c>
      <c r="C139" s="35" t="str">
        <f aca="false">IF($B139="","",IFERROR(INDEX(Rubric!$B$15:$B$24,MATCH(LOWER($B139),Rubric!$A$15:$A$24,0)),INDEX(Rubric!$B$15:$B$24,MATCH("other",Rubric!$A$15:$A$24,0))))</f>
        <v/>
      </c>
      <c r="D139" s="26"/>
      <c r="E139" s="26"/>
      <c r="F139" s="26"/>
      <c r="G139" s="26"/>
      <c r="H139" s="26"/>
      <c r="I139" s="26"/>
      <c r="J139" s="26"/>
      <c r="K139" s="27"/>
      <c r="L139" s="27"/>
      <c r="M139" s="36" t="str">
        <f aca="false">IF($B139="","",IFERROR(INDEX(Rubric!$C$15:$C$24,MATCH(LOWER($B139),Rubric!$A$15:$A$24,0)),INDEX(Rubric!$C$15:$C$24,MATCH("other",Rubric!$A$15:$A$24,0))))</f>
        <v/>
      </c>
      <c r="N139" s="37" t="str">
        <f aca="false">IF(OR($A139="",$C139=""),"",$C139*Rubric!$B$5+$D139*Rubric!$B$6+$E139*Rubric!$B$7+$F139*Rubric!$B$8+$G139*Rubric!$B$9+$H139*Rubric!$B$10)</f>
        <v/>
      </c>
      <c r="O139" s="38" t="str">
        <f aca="false">IF($A139="","",IF(OR(UPPER($I139)="Y",UPPER($J139)="Y"),"FAIL","PASS"))</f>
        <v/>
      </c>
      <c r="P139" s="39" t="str">
        <f aca="false">IF(OR($A139="",$L139=""),"",MAX(0,$L139-MAX($L139*Assumptions!$B$4,Assumptions!$B$5)))</f>
        <v/>
      </c>
      <c r="Q139" s="40" t="str">
        <f aca="false">IF($A139="","",Assumptions!$B$13)</f>
        <v/>
      </c>
      <c r="R139" s="39" t="str">
        <f aca="false">IF(OR($A139="",$M139=""),"",$M139*Assumptions!$B$7)</f>
        <v/>
      </c>
      <c r="S139" s="39" t="str">
        <f aca="false">IF(OR($A139="",$P139="",$R139=""),"",MAX(0,$P139*$Q139-$R139))</f>
        <v/>
      </c>
      <c r="T139" s="38" t="str">
        <f aca="false">IF($A139="","",IF($O139="FAIL","REJECT",IF($N139&gt;=4,IF(AND($K139&lt;&gt;"",$K139&gt;$S139),"BUY IF CHEAPER","BUY"),IF($N139&gt;=3.2,"WATCH","PASS"))))</f>
        <v/>
      </c>
      <c r="U139" s="26"/>
      <c r="V139" s="33"/>
    </row>
    <row r="140" customFormat="false" ht="15" hidden="false" customHeight="true" outlineLevel="0" collapsed="false">
      <c r="A140" s="43"/>
      <c r="B140" s="34" t="str">
        <f aca="false">IF($A140="","",IF(ISERROR(FIND(".",$A140)),"",LOWER(MID($A140,FIND(CHAR(1),SUBSTITUTE($A140,".",CHAR(1),LEN($A140)-LEN(SUBSTITUTE($A140,".",""))))+1,LEN($A140)))))</f>
        <v/>
      </c>
      <c r="C140" s="35" t="str">
        <f aca="false">IF($B140="","",IFERROR(INDEX(Rubric!$B$15:$B$24,MATCH(LOWER($B140),Rubric!$A$15:$A$24,0)),INDEX(Rubric!$B$15:$B$24,MATCH("other",Rubric!$A$15:$A$24,0))))</f>
        <v/>
      </c>
      <c r="D140" s="26"/>
      <c r="E140" s="26"/>
      <c r="F140" s="26"/>
      <c r="G140" s="26"/>
      <c r="H140" s="26"/>
      <c r="I140" s="26"/>
      <c r="J140" s="26"/>
      <c r="K140" s="27"/>
      <c r="L140" s="27"/>
      <c r="M140" s="36" t="str">
        <f aca="false">IF($B140="","",IFERROR(INDEX(Rubric!$C$15:$C$24,MATCH(LOWER($B140),Rubric!$A$15:$A$24,0)),INDEX(Rubric!$C$15:$C$24,MATCH("other",Rubric!$A$15:$A$24,0))))</f>
        <v/>
      </c>
      <c r="N140" s="37" t="str">
        <f aca="false">IF(OR($A140="",$C140=""),"",$C140*Rubric!$B$5+$D140*Rubric!$B$6+$E140*Rubric!$B$7+$F140*Rubric!$B$8+$G140*Rubric!$B$9+$H140*Rubric!$B$10)</f>
        <v/>
      </c>
      <c r="O140" s="38" t="str">
        <f aca="false">IF($A140="","",IF(OR(UPPER($I140)="Y",UPPER($J140)="Y"),"FAIL","PASS"))</f>
        <v/>
      </c>
      <c r="P140" s="39" t="str">
        <f aca="false">IF(OR($A140="",$L140=""),"",MAX(0,$L140-MAX($L140*Assumptions!$B$4,Assumptions!$B$5)))</f>
        <v/>
      </c>
      <c r="Q140" s="40" t="str">
        <f aca="false">IF($A140="","",Assumptions!$B$13)</f>
        <v/>
      </c>
      <c r="R140" s="39" t="str">
        <f aca="false">IF(OR($A140="",$M140=""),"",$M140*Assumptions!$B$7)</f>
        <v/>
      </c>
      <c r="S140" s="39" t="str">
        <f aca="false">IF(OR($A140="",$P140="",$R140=""),"",MAX(0,$P140*$Q140-$R140))</f>
        <v/>
      </c>
      <c r="T140" s="38" t="str">
        <f aca="false">IF($A140="","",IF($O140="FAIL","REJECT",IF($N140&gt;=4,IF(AND($K140&lt;&gt;"",$K140&gt;$S140),"BUY IF CHEAPER","BUY"),IF($N140&gt;=3.2,"WATCH","PASS"))))</f>
        <v/>
      </c>
      <c r="U140" s="26"/>
      <c r="V140" s="33"/>
    </row>
    <row r="141" customFormat="false" ht="15" hidden="false" customHeight="true" outlineLevel="0" collapsed="false">
      <c r="A141" s="43"/>
      <c r="B141" s="34" t="str">
        <f aca="false">IF($A141="","",IF(ISERROR(FIND(".",$A141)),"",LOWER(MID($A141,FIND(CHAR(1),SUBSTITUTE($A141,".",CHAR(1),LEN($A141)-LEN(SUBSTITUTE($A141,".",""))))+1,LEN($A141)))))</f>
        <v/>
      </c>
      <c r="C141" s="35" t="str">
        <f aca="false">IF($B141="","",IFERROR(INDEX(Rubric!$B$15:$B$24,MATCH(LOWER($B141),Rubric!$A$15:$A$24,0)),INDEX(Rubric!$B$15:$B$24,MATCH("other",Rubric!$A$15:$A$24,0))))</f>
        <v/>
      </c>
      <c r="D141" s="26"/>
      <c r="E141" s="26"/>
      <c r="F141" s="26"/>
      <c r="G141" s="26"/>
      <c r="H141" s="26"/>
      <c r="I141" s="26"/>
      <c r="J141" s="26"/>
      <c r="K141" s="27"/>
      <c r="L141" s="27"/>
      <c r="M141" s="36" t="str">
        <f aca="false">IF($B141="","",IFERROR(INDEX(Rubric!$C$15:$C$24,MATCH(LOWER($B141),Rubric!$A$15:$A$24,0)),INDEX(Rubric!$C$15:$C$24,MATCH("other",Rubric!$A$15:$A$24,0))))</f>
        <v/>
      </c>
      <c r="N141" s="37" t="str">
        <f aca="false">IF(OR($A141="",$C141=""),"",$C141*Rubric!$B$5+$D141*Rubric!$B$6+$E141*Rubric!$B$7+$F141*Rubric!$B$8+$G141*Rubric!$B$9+$H141*Rubric!$B$10)</f>
        <v/>
      </c>
      <c r="O141" s="38" t="str">
        <f aca="false">IF($A141="","",IF(OR(UPPER($I141)="Y",UPPER($J141)="Y"),"FAIL","PASS"))</f>
        <v/>
      </c>
      <c r="P141" s="39" t="str">
        <f aca="false">IF(OR($A141="",$L141=""),"",MAX(0,$L141-MAX($L141*Assumptions!$B$4,Assumptions!$B$5)))</f>
        <v/>
      </c>
      <c r="Q141" s="40" t="str">
        <f aca="false">IF($A141="","",Assumptions!$B$13)</f>
        <v/>
      </c>
      <c r="R141" s="39" t="str">
        <f aca="false">IF(OR($A141="",$M141=""),"",$M141*Assumptions!$B$7)</f>
        <v/>
      </c>
      <c r="S141" s="39" t="str">
        <f aca="false">IF(OR($A141="",$P141="",$R141=""),"",MAX(0,$P141*$Q141-$R141))</f>
        <v/>
      </c>
      <c r="T141" s="38" t="str">
        <f aca="false">IF($A141="","",IF($O141="FAIL","REJECT",IF($N141&gt;=4,IF(AND($K141&lt;&gt;"",$K141&gt;$S141),"BUY IF CHEAPER","BUY"),IF($N141&gt;=3.2,"WATCH","PASS"))))</f>
        <v/>
      </c>
      <c r="U141" s="26"/>
      <c r="V141" s="33"/>
    </row>
    <row r="142" customFormat="false" ht="15" hidden="false" customHeight="true" outlineLevel="0" collapsed="false">
      <c r="A142" s="43"/>
      <c r="B142" s="34" t="str">
        <f aca="false">IF($A142="","",IF(ISERROR(FIND(".",$A142)),"",LOWER(MID($A142,FIND(CHAR(1),SUBSTITUTE($A142,".",CHAR(1),LEN($A142)-LEN(SUBSTITUTE($A142,".",""))))+1,LEN($A142)))))</f>
        <v/>
      </c>
      <c r="C142" s="35" t="str">
        <f aca="false">IF($B142="","",IFERROR(INDEX(Rubric!$B$15:$B$24,MATCH(LOWER($B142),Rubric!$A$15:$A$24,0)),INDEX(Rubric!$B$15:$B$24,MATCH("other",Rubric!$A$15:$A$24,0))))</f>
        <v/>
      </c>
      <c r="D142" s="26"/>
      <c r="E142" s="26"/>
      <c r="F142" s="26"/>
      <c r="G142" s="26"/>
      <c r="H142" s="26"/>
      <c r="I142" s="26"/>
      <c r="J142" s="26"/>
      <c r="K142" s="27"/>
      <c r="L142" s="27"/>
      <c r="M142" s="36" t="str">
        <f aca="false">IF($B142="","",IFERROR(INDEX(Rubric!$C$15:$C$24,MATCH(LOWER($B142),Rubric!$A$15:$A$24,0)),INDEX(Rubric!$C$15:$C$24,MATCH("other",Rubric!$A$15:$A$24,0))))</f>
        <v/>
      </c>
      <c r="N142" s="37" t="str">
        <f aca="false">IF(OR($A142="",$C142=""),"",$C142*Rubric!$B$5+$D142*Rubric!$B$6+$E142*Rubric!$B$7+$F142*Rubric!$B$8+$G142*Rubric!$B$9+$H142*Rubric!$B$10)</f>
        <v/>
      </c>
      <c r="O142" s="38" t="str">
        <f aca="false">IF($A142="","",IF(OR(UPPER($I142)="Y",UPPER($J142)="Y"),"FAIL","PASS"))</f>
        <v/>
      </c>
      <c r="P142" s="39" t="str">
        <f aca="false">IF(OR($A142="",$L142=""),"",MAX(0,$L142-MAX($L142*Assumptions!$B$4,Assumptions!$B$5)))</f>
        <v/>
      </c>
      <c r="Q142" s="40" t="str">
        <f aca="false">IF($A142="","",Assumptions!$B$13)</f>
        <v/>
      </c>
      <c r="R142" s="39" t="str">
        <f aca="false">IF(OR($A142="",$M142=""),"",$M142*Assumptions!$B$7)</f>
        <v/>
      </c>
      <c r="S142" s="39" t="str">
        <f aca="false">IF(OR($A142="",$P142="",$R142=""),"",MAX(0,$P142*$Q142-$R142))</f>
        <v/>
      </c>
      <c r="T142" s="38" t="str">
        <f aca="false">IF($A142="","",IF($O142="FAIL","REJECT",IF($N142&gt;=4,IF(AND($K142&lt;&gt;"",$K142&gt;$S142),"BUY IF CHEAPER","BUY"),IF($N142&gt;=3.2,"WATCH","PASS"))))</f>
        <v/>
      </c>
      <c r="U142" s="26"/>
      <c r="V142" s="33"/>
    </row>
    <row r="143" customFormat="false" ht="15" hidden="false" customHeight="true" outlineLevel="0" collapsed="false">
      <c r="A143" s="43"/>
      <c r="B143" s="34" t="str">
        <f aca="false">IF($A143="","",IF(ISERROR(FIND(".",$A143)),"",LOWER(MID($A143,FIND(CHAR(1),SUBSTITUTE($A143,".",CHAR(1),LEN($A143)-LEN(SUBSTITUTE($A143,".",""))))+1,LEN($A143)))))</f>
        <v/>
      </c>
      <c r="C143" s="35" t="str">
        <f aca="false">IF($B143="","",IFERROR(INDEX(Rubric!$B$15:$B$24,MATCH(LOWER($B143),Rubric!$A$15:$A$24,0)),INDEX(Rubric!$B$15:$B$24,MATCH("other",Rubric!$A$15:$A$24,0))))</f>
        <v/>
      </c>
      <c r="D143" s="26"/>
      <c r="E143" s="26"/>
      <c r="F143" s="26"/>
      <c r="G143" s="26"/>
      <c r="H143" s="26"/>
      <c r="I143" s="26"/>
      <c r="J143" s="26"/>
      <c r="K143" s="27"/>
      <c r="L143" s="27"/>
      <c r="M143" s="36" t="str">
        <f aca="false">IF($B143="","",IFERROR(INDEX(Rubric!$C$15:$C$24,MATCH(LOWER($B143),Rubric!$A$15:$A$24,0)),INDEX(Rubric!$C$15:$C$24,MATCH("other",Rubric!$A$15:$A$24,0))))</f>
        <v/>
      </c>
      <c r="N143" s="37" t="str">
        <f aca="false">IF(OR($A143="",$C143=""),"",$C143*Rubric!$B$5+$D143*Rubric!$B$6+$E143*Rubric!$B$7+$F143*Rubric!$B$8+$G143*Rubric!$B$9+$H143*Rubric!$B$10)</f>
        <v/>
      </c>
      <c r="O143" s="38" t="str">
        <f aca="false">IF($A143="","",IF(OR(UPPER($I143)="Y",UPPER($J143)="Y"),"FAIL","PASS"))</f>
        <v/>
      </c>
      <c r="P143" s="39" t="str">
        <f aca="false">IF(OR($A143="",$L143=""),"",MAX(0,$L143-MAX($L143*Assumptions!$B$4,Assumptions!$B$5)))</f>
        <v/>
      </c>
      <c r="Q143" s="40" t="str">
        <f aca="false">IF($A143="","",Assumptions!$B$13)</f>
        <v/>
      </c>
      <c r="R143" s="39" t="str">
        <f aca="false">IF(OR($A143="",$M143=""),"",$M143*Assumptions!$B$7)</f>
        <v/>
      </c>
      <c r="S143" s="39" t="str">
        <f aca="false">IF(OR($A143="",$P143="",$R143=""),"",MAX(0,$P143*$Q143-$R143))</f>
        <v/>
      </c>
      <c r="T143" s="38" t="str">
        <f aca="false">IF($A143="","",IF($O143="FAIL","REJECT",IF($N143&gt;=4,IF(AND($K143&lt;&gt;"",$K143&gt;$S143),"BUY IF CHEAPER","BUY"),IF($N143&gt;=3.2,"WATCH","PASS"))))</f>
        <v/>
      </c>
      <c r="U143" s="26"/>
      <c r="V143" s="33"/>
    </row>
    <row r="144" customFormat="false" ht="15" hidden="false" customHeight="true" outlineLevel="0" collapsed="false">
      <c r="A144" s="43"/>
      <c r="B144" s="34" t="str">
        <f aca="false">IF($A144="","",IF(ISERROR(FIND(".",$A144)),"",LOWER(MID($A144,FIND(CHAR(1),SUBSTITUTE($A144,".",CHAR(1),LEN($A144)-LEN(SUBSTITUTE($A144,".",""))))+1,LEN($A144)))))</f>
        <v/>
      </c>
      <c r="C144" s="35" t="str">
        <f aca="false">IF($B144="","",IFERROR(INDEX(Rubric!$B$15:$B$24,MATCH(LOWER($B144),Rubric!$A$15:$A$24,0)),INDEX(Rubric!$B$15:$B$24,MATCH("other",Rubric!$A$15:$A$24,0))))</f>
        <v/>
      </c>
      <c r="D144" s="26"/>
      <c r="E144" s="26"/>
      <c r="F144" s="26"/>
      <c r="G144" s="26"/>
      <c r="H144" s="26"/>
      <c r="I144" s="26"/>
      <c r="J144" s="26"/>
      <c r="K144" s="27"/>
      <c r="L144" s="27"/>
      <c r="M144" s="36" t="str">
        <f aca="false">IF($B144="","",IFERROR(INDEX(Rubric!$C$15:$C$24,MATCH(LOWER($B144),Rubric!$A$15:$A$24,0)),INDEX(Rubric!$C$15:$C$24,MATCH("other",Rubric!$A$15:$A$24,0))))</f>
        <v/>
      </c>
      <c r="N144" s="37" t="str">
        <f aca="false">IF(OR($A144="",$C144=""),"",$C144*Rubric!$B$5+$D144*Rubric!$B$6+$E144*Rubric!$B$7+$F144*Rubric!$B$8+$G144*Rubric!$B$9+$H144*Rubric!$B$10)</f>
        <v/>
      </c>
      <c r="O144" s="38" t="str">
        <f aca="false">IF($A144="","",IF(OR(UPPER($I144)="Y",UPPER($J144)="Y"),"FAIL","PASS"))</f>
        <v/>
      </c>
      <c r="P144" s="39" t="str">
        <f aca="false">IF(OR($A144="",$L144=""),"",MAX(0,$L144-MAX($L144*Assumptions!$B$4,Assumptions!$B$5)))</f>
        <v/>
      </c>
      <c r="Q144" s="40" t="str">
        <f aca="false">IF($A144="","",Assumptions!$B$13)</f>
        <v/>
      </c>
      <c r="R144" s="39" t="str">
        <f aca="false">IF(OR($A144="",$M144=""),"",$M144*Assumptions!$B$7)</f>
        <v/>
      </c>
      <c r="S144" s="39" t="str">
        <f aca="false">IF(OR($A144="",$P144="",$R144=""),"",MAX(0,$P144*$Q144-$R144))</f>
        <v/>
      </c>
      <c r="T144" s="38" t="str">
        <f aca="false">IF($A144="","",IF($O144="FAIL","REJECT",IF($N144&gt;=4,IF(AND($K144&lt;&gt;"",$K144&gt;$S144),"BUY IF CHEAPER","BUY"),IF($N144&gt;=3.2,"WATCH","PASS"))))</f>
        <v/>
      </c>
      <c r="U144" s="26"/>
      <c r="V144" s="33"/>
    </row>
    <row r="145" customFormat="false" ht="15" hidden="false" customHeight="true" outlineLevel="0" collapsed="false">
      <c r="A145" s="43"/>
      <c r="B145" s="34" t="str">
        <f aca="false">IF($A145="","",IF(ISERROR(FIND(".",$A145)),"",LOWER(MID($A145,FIND(CHAR(1),SUBSTITUTE($A145,".",CHAR(1),LEN($A145)-LEN(SUBSTITUTE($A145,".",""))))+1,LEN($A145)))))</f>
        <v/>
      </c>
      <c r="C145" s="35" t="str">
        <f aca="false">IF($B145="","",IFERROR(INDEX(Rubric!$B$15:$B$24,MATCH(LOWER($B145),Rubric!$A$15:$A$24,0)),INDEX(Rubric!$B$15:$B$24,MATCH("other",Rubric!$A$15:$A$24,0))))</f>
        <v/>
      </c>
      <c r="D145" s="26"/>
      <c r="E145" s="26"/>
      <c r="F145" s="26"/>
      <c r="G145" s="26"/>
      <c r="H145" s="26"/>
      <c r="I145" s="26"/>
      <c r="J145" s="26"/>
      <c r="K145" s="27"/>
      <c r="L145" s="27"/>
      <c r="M145" s="36" t="str">
        <f aca="false">IF($B145="","",IFERROR(INDEX(Rubric!$C$15:$C$24,MATCH(LOWER($B145),Rubric!$A$15:$A$24,0)),INDEX(Rubric!$C$15:$C$24,MATCH("other",Rubric!$A$15:$A$24,0))))</f>
        <v/>
      </c>
      <c r="N145" s="37" t="str">
        <f aca="false">IF(OR($A145="",$C145=""),"",$C145*Rubric!$B$5+$D145*Rubric!$B$6+$E145*Rubric!$B$7+$F145*Rubric!$B$8+$G145*Rubric!$B$9+$H145*Rubric!$B$10)</f>
        <v/>
      </c>
      <c r="O145" s="38" t="str">
        <f aca="false">IF($A145="","",IF(OR(UPPER($I145)="Y",UPPER($J145)="Y"),"FAIL","PASS"))</f>
        <v/>
      </c>
      <c r="P145" s="39" t="str">
        <f aca="false">IF(OR($A145="",$L145=""),"",MAX(0,$L145-MAX($L145*Assumptions!$B$4,Assumptions!$B$5)))</f>
        <v/>
      </c>
      <c r="Q145" s="40" t="str">
        <f aca="false">IF($A145="","",Assumptions!$B$13)</f>
        <v/>
      </c>
      <c r="R145" s="39" t="str">
        <f aca="false">IF(OR($A145="",$M145=""),"",$M145*Assumptions!$B$7)</f>
        <v/>
      </c>
      <c r="S145" s="39" t="str">
        <f aca="false">IF(OR($A145="",$P145="",$R145=""),"",MAX(0,$P145*$Q145-$R145))</f>
        <v/>
      </c>
      <c r="T145" s="38" t="str">
        <f aca="false">IF($A145="","",IF($O145="FAIL","REJECT",IF($N145&gt;=4,IF(AND($K145&lt;&gt;"",$K145&gt;$S145),"BUY IF CHEAPER","BUY"),IF($N145&gt;=3.2,"WATCH","PASS"))))</f>
        <v/>
      </c>
      <c r="U145" s="26"/>
      <c r="V145" s="33"/>
    </row>
    <row r="146" customFormat="false" ht="15" hidden="false" customHeight="true" outlineLevel="0" collapsed="false">
      <c r="A146" s="43"/>
      <c r="B146" s="34" t="str">
        <f aca="false">IF($A146="","",IF(ISERROR(FIND(".",$A146)),"",LOWER(MID($A146,FIND(CHAR(1),SUBSTITUTE($A146,".",CHAR(1),LEN($A146)-LEN(SUBSTITUTE($A146,".",""))))+1,LEN($A146)))))</f>
        <v/>
      </c>
      <c r="C146" s="35" t="str">
        <f aca="false">IF($B146="","",IFERROR(INDEX(Rubric!$B$15:$B$24,MATCH(LOWER($B146),Rubric!$A$15:$A$24,0)),INDEX(Rubric!$B$15:$B$24,MATCH("other",Rubric!$A$15:$A$24,0))))</f>
        <v/>
      </c>
      <c r="D146" s="26"/>
      <c r="E146" s="26"/>
      <c r="F146" s="26"/>
      <c r="G146" s="26"/>
      <c r="H146" s="26"/>
      <c r="I146" s="26"/>
      <c r="J146" s="26"/>
      <c r="K146" s="27"/>
      <c r="L146" s="27"/>
      <c r="M146" s="36" t="str">
        <f aca="false">IF($B146="","",IFERROR(INDEX(Rubric!$C$15:$C$24,MATCH(LOWER($B146),Rubric!$A$15:$A$24,0)),INDEX(Rubric!$C$15:$C$24,MATCH("other",Rubric!$A$15:$A$24,0))))</f>
        <v/>
      </c>
      <c r="N146" s="37" t="str">
        <f aca="false">IF(OR($A146="",$C146=""),"",$C146*Rubric!$B$5+$D146*Rubric!$B$6+$E146*Rubric!$B$7+$F146*Rubric!$B$8+$G146*Rubric!$B$9+$H146*Rubric!$B$10)</f>
        <v/>
      </c>
      <c r="O146" s="38" t="str">
        <f aca="false">IF($A146="","",IF(OR(UPPER($I146)="Y",UPPER($J146)="Y"),"FAIL","PASS"))</f>
        <v/>
      </c>
      <c r="P146" s="39" t="str">
        <f aca="false">IF(OR($A146="",$L146=""),"",MAX(0,$L146-MAX($L146*Assumptions!$B$4,Assumptions!$B$5)))</f>
        <v/>
      </c>
      <c r="Q146" s="40" t="str">
        <f aca="false">IF($A146="","",Assumptions!$B$13)</f>
        <v/>
      </c>
      <c r="R146" s="39" t="str">
        <f aca="false">IF(OR($A146="",$M146=""),"",$M146*Assumptions!$B$7)</f>
        <v/>
      </c>
      <c r="S146" s="39" t="str">
        <f aca="false">IF(OR($A146="",$P146="",$R146=""),"",MAX(0,$P146*$Q146-$R146))</f>
        <v/>
      </c>
      <c r="T146" s="38" t="str">
        <f aca="false">IF($A146="","",IF($O146="FAIL","REJECT",IF($N146&gt;=4,IF(AND($K146&lt;&gt;"",$K146&gt;$S146),"BUY IF CHEAPER","BUY"),IF($N146&gt;=3.2,"WATCH","PASS"))))</f>
        <v/>
      </c>
      <c r="U146" s="26"/>
      <c r="V146" s="33"/>
    </row>
    <row r="147" customFormat="false" ht="15" hidden="false" customHeight="true" outlineLevel="0" collapsed="false">
      <c r="A147" s="43"/>
      <c r="B147" s="34" t="str">
        <f aca="false">IF($A147="","",IF(ISERROR(FIND(".",$A147)),"",LOWER(MID($A147,FIND(CHAR(1),SUBSTITUTE($A147,".",CHAR(1),LEN($A147)-LEN(SUBSTITUTE($A147,".",""))))+1,LEN($A147)))))</f>
        <v/>
      </c>
      <c r="C147" s="35" t="str">
        <f aca="false">IF($B147="","",IFERROR(INDEX(Rubric!$B$15:$B$24,MATCH(LOWER($B147),Rubric!$A$15:$A$24,0)),INDEX(Rubric!$B$15:$B$24,MATCH("other",Rubric!$A$15:$A$24,0))))</f>
        <v/>
      </c>
      <c r="D147" s="26"/>
      <c r="E147" s="26"/>
      <c r="F147" s="26"/>
      <c r="G147" s="26"/>
      <c r="H147" s="26"/>
      <c r="I147" s="26"/>
      <c r="J147" s="26"/>
      <c r="K147" s="27"/>
      <c r="L147" s="27"/>
      <c r="M147" s="36" t="str">
        <f aca="false">IF($B147="","",IFERROR(INDEX(Rubric!$C$15:$C$24,MATCH(LOWER($B147),Rubric!$A$15:$A$24,0)),INDEX(Rubric!$C$15:$C$24,MATCH("other",Rubric!$A$15:$A$24,0))))</f>
        <v/>
      </c>
      <c r="N147" s="37" t="str">
        <f aca="false">IF(OR($A147="",$C147=""),"",$C147*Rubric!$B$5+$D147*Rubric!$B$6+$E147*Rubric!$B$7+$F147*Rubric!$B$8+$G147*Rubric!$B$9+$H147*Rubric!$B$10)</f>
        <v/>
      </c>
      <c r="O147" s="38" t="str">
        <f aca="false">IF($A147="","",IF(OR(UPPER($I147)="Y",UPPER($J147)="Y"),"FAIL","PASS"))</f>
        <v/>
      </c>
      <c r="P147" s="39" t="str">
        <f aca="false">IF(OR($A147="",$L147=""),"",MAX(0,$L147-MAX($L147*Assumptions!$B$4,Assumptions!$B$5)))</f>
        <v/>
      </c>
      <c r="Q147" s="40" t="str">
        <f aca="false">IF($A147="","",Assumptions!$B$13)</f>
        <v/>
      </c>
      <c r="R147" s="39" t="str">
        <f aca="false">IF(OR($A147="",$M147=""),"",$M147*Assumptions!$B$7)</f>
        <v/>
      </c>
      <c r="S147" s="39" t="str">
        <f aca="false">IF(OR($A147="",$P147="",$R147=""),"",MAX(0,$P147*$Q147-$R147))</f>
        <v/>
      </c>
      <c r="T147" s="38" t="str">
        <f aca="false">IF($A147="","",IF($O147="FAIL","REJECT",IF($N147&gt;=4,IF(AND($K147&lt;&gt;"",$K147&gt;$S147),"BUY IF CHEAPER","BUY"),IF($N147&gt;=3.2,"WATCH","PASS"))))</f>
        <v/>
      </c>
      <c r="U147" s="26"/>
      <c r="V147" s="33"/>
    </row>
    <row r="148" customFormat="false" ht="15" hidden="false" customHeight="true" outlineLevel="0" collapsed="false">
      <c r="A148" s="43"/>
      <c r="B148" s="34" t="str">
        <f aca="false">IF($A148="","",IF(ISERROR(FIND(".",$A148)),"",LOWER(MID($A148,FIND(CHAR(1),SUBSTITUTE($A148,".",CHAR(1),LEN($A148)-LEN(SUBSTITUTE($A148,".",""))))+1,LEN($A148)))))</f>
        <v/>
      </c>
      <c r="C148" s="35" t="str">
        <f aca="false">IF($B148="","",IFERROR(INDEX(Rubric!$B$15:$B$24,MATCH(LOWER($B148),Rubric!$A$15:$A$24,0)),INDEX(Rubric!$B$15:$B$24,MATCH("other",Rubric!$A$15:$A$24,0))))</f>
        <v/>
      </c>
      <c r="D148" s="26"/>
      <c r="E148" s="26"/>
      <c r="F148" s="26"/>
      <c r="G148" s="26"/>
      <c r="H148" s="26"/>
      <c r="I148" s="26"/>
      <c r="J148" s="26"/>
      <c r="K148" s="27"/>
      <c r="L148" s="27"/>
      <c r="M148" s="36" t="str">
        <f aca="false">IF($B148="","",IFERROR(INDEX(Rubric!$C$15:$C$24,MATCH(LOWER($B148),Rubric!$A$15:$A$24,0)),INDEX(Rubric!$C$15:$C$24,MATCH("other",Rubric!$A$15:$A$24,0))))</f>
        <v/>
      </c>
      <c r="N148" s="37" t="str">
        <f aca="false">IF(OR($A148="",$C148=""),"",$C148*Rubric!$B$5+$D148*Rubric!$B$6+$E148*Rubric!$B$7+$F148*Rubric!$B$8+$G148*Rubric!$B$9+$H148*Rubric!$B$10)</f>
        <v/>
      </c>
      <c r="O148" s="38" t="str">
        <f aca="false">IF($A148="","",IF(OR(UPPER($I148)="Y",UPPER($J148)="Y"),"FAIL","PASS"))</f>
        <v/>
      </c>
      <c r="P148" s="39" t="str">
        <f aca="false">IF(OR($A148="",$L148=""),"",MAX(0,$L148-MAX($L148*Assumptions!$B$4,Assumptions!$B$5)))</f>
        <v/>
      </c>
      <c r="Q148" s="40" t="str">
        <f aca="false">IF($A148="","",Assumptions!$B$13)</f>
        <v/>
      </c>
      <c r="R148" s="39" t="str">
        <f aca="false">IF(OR($A148="",$M148=""),"",$M148*Assumptions!$B$7)</f>
        <v/>
      </c>
      <c r="S148" s="39" t="str">
        <f aca="false">IF(OR($A148="",$P148="",$R148=""),"",MAX(0,$P148*$Q148-$R148))</f>
        <v/>
      </c>
      <c r="T148" s="38" t="str">
        <f aca="false">IF($A148="","",IF($O148="FAIL","REJECT",IF($N148&gt;=4,IF(AND($K148&lt;&gt;"",$K148&gt;$S148),"BUY IF CHEAPER","BUY"),IF($N148&gt;=3.2,"WATCH","PASS"))))</f>
        <v/>
      </c>
      <c r="U148" s="26"/>
      <c r="V148" s="33"/>
    </row>
    <row r="149" customFormat="false" ht="15" hidden="false" customHeight="true" outlineLevel="0" collapsed="false">
      <c r="A149" s="43"/>
      <c r="B149" s="34" t="str">
        <f aca="false">IF($A149="","",IF(ISERROR(FIND(".",$A149)),"",LOWER(MID($A149,FIND(CHAR(1),SUBSTITUTE($A149,".",CHAR(1),LEN($A149)-LEN(SUBSTITUTE($A149,".",""))))+1,LEN($A149)))))</f>
        <v/>
      </c>
      <c r="C149" s="35" t="str">
        <f aca="false">IF($B149="","",IFERROR(INDEX(Rubric!$B$15:$B$24,MATCH(LOWER($B149),Rubric!$A$15:$A$24,0)),INDEX(Rubric!$B$15:$B$24,MATCH("other",Rubric!$A$15:$A$24,0))))</f>
        <v/>
      </c>
      <c r="D149" s="26"/>
      <c r="E149" s="26"/>
      <c r="F149" s="26"/>
      <c r="G149" s="26"/>
      <c r="H149" s="26"/>
      <c r="I149" s="26"/>
      <c r="J149" s="26"/>
      <c r="K149" s="27"/>
      <c r="L149" s="27"/>
      <c r="M149" s="36" t="str">
        <f aca="false">IF($B149="","",IFERROR(INDEX(Rubric!$C$15:$C$24,MATCH(LOWER($B149),Rubric!$A$15:$A$24,0)),INDEX(Rubric!$C$15:$C$24,MATCH("other",Rubric!$A$15:$A$24,0))))</f>
        <v/>
      </c>
      <c r="N149" s="37" t="str">
        <f aca="false">IF(OR($A149="",$C149=""),"",$C149*Rubric!$B$5+$D149*Rubric!$B$6+$E149*Rubric!$B$7+$F149*Rubric!$B$8+$G149*Rubric!$B$9+$H149*Rubric!$B$10)</f>
        <v/>
      </c>
      <c r="O149" s="38" t="str">
        <f aca="false">IF($A149="","",IF(OR(UPPER($I149)="Y",UPPER($J149)="Y"),"FAIL","PASS"))</f>
        <v/>
      </c>
      <c r="P149" s="39" t="str">
        <f aca="false">IF(OR($A149="",$L149=""),"",MAX(0,$L149-MAX($L149*Assumptions!$B$4,Assumptions!$B$5)))</f>
        <v/>
      </c>
      <c r="Q149" s="40" t="str">
        <f aca="false">IF($A149="","",Assumptions!$B$13)</f>
        <v/>
      </c>
      <c r="R149" s="39" t="str">
        <f aca="false">IF(OR($A149="",$M149=""),"",$M149*Assumptions!$B$7)</f>
        <v/>
      </c>
      <c r="S149" s="39" t="str">
        <f aca="false">IF(OR($A149="",$P149="",$R149=""),"",MAX(0,$P149*$Q149-$R149))</f>
        <v/>
      </c>
      <c r="T149" s="38" t="str">
        <f aca="false">IF($A149="","",IF($O149="FAIL","REJECT",IF($N149&gt;=4,IF(AND($K149&lt;&gt;"",$K149&gt;$S149),"BUY IF CHEAPER","BUY"),IF($N149&gt;=3.2,"WATCH","PASS"))))</f>
        <v/>
      </c>
      <c r="U149" s="26"/>
      <c r="V149" s="33"/>
    </row>
    <row r="150" customFormat="false" ht="15" hidden="false" customHeight="true" outlineLevel="0" collapsed="false">
      <c r="A150" s="43"/>
      <c r="B150" s="34" t="str">
        <f aca="false">IF($A150="","",IF(ISERROR(FIND(".",$A150)),"",LOWER(MID($A150,FIND(CHAR(1),SUBSTITUTE($A150,".",CHAR(1),LEN($A150)-LEN(SUBSTITUTE($A150,".",""))))+1,LEN($A150)))))</f>
        <v/>
      </c>
      <c r="C150" s="35" t="str">
        <f aca="false">IF($B150="","",IFERROR(INDEX(Rubric!$B$15:$B$24,MATCH(LOWER($B150),Rubric!$A$15:$A$24,0)),INDEX(Rubric!$B$15:$B$24,MATCH("other",Rubric!$A$15:$A$24,0))))</f>
        <v/>
      </c>
      <c r="D150" s="26"/>
      <c r="E150" s="26"/>
      <c r="F150" s="26"/>
      <c r="G150" s="26"/>
      <c r="H150" s="26"/>
      <c r="I150" s="26"/>
      <c r="J150" s="26"/>
      <c r="K150" s="27"/>
      <c r="L150" s="27"/>
      <c r="M150" s="36" t="str">
        <f aca="false">IF($B150="","",IFERROR(INDEX(Rubric!$C$15:$C$24,MATCH(LOWER($B150),Rubric!$A$15:$A$24,0)),INDEX(Rubric!$C$15:$C$24,MATCH("other",Rubric!$A$15:$A$24,0))))</f>
        <v/>
      </c>
      <c r="N150" s="37" t="str">
        <f aca="false">IF(OR($A150="",$C150=""),"",$C150*Rubric!$B$5+$D150*Rubric!$B$6+$E150*Rubric!$B$7+$F150*Rubric!$B$8+$G150*Rubric!$B$9+$H150*Rubric!$B$10)</f>
        <v/>
      </c>
      <c r="O150" s="38" t="str">
        <f aca="false">IF($A150="","",IF(OR(UPPER($I150)="Y",UPPER($J150)="Y"),"FAIL","PASS"))</f>
        <v/>
      </c>
      <c r="P150" s="39" t="str">
        <f aca="false">IF(OR($A150="",$L150=""),"",MAX(0,$L150-MAX($L150*Assumptions!$B$4,Assumptions!$B$5)))</f>
        <v/>
      </c>
      <c r="Q150" s="40" t="str">
        <f aca="false">IF($A150="","",Assumptions!$B$13)</f>
        <v/>
      </c>
      <c r="R150" s="39" t="str">
        <f aca="false">IF(OR($A150="",$M150=""),"",$M150*Assumptions!$B$7)</f>
        <v/>
      </c>
      <c r="S150" s="39" t="str">
        <f aca="false">IF(OR($A150="",$P150="",$R150=""),"",MAX(0,$P150*$Q150-$R150))</f>
        <v/>
      </c>
      <c r="T150" s="38" t="str">
        <f aca="false">IF($A150="","",IF($O150="FAIL","REJECT",IF($N150&gt;=4,IF(AND($K150&lt;&gt;"",$K150&gt;$S150),"BUY IF CHEAPER","BUY"),IF($N150&gt;=3.2,"WATCH","PASS"))))</f>
        <v/>
      </c>
      <c r="U150" s="26"/>
      <c r="V150" s="33"/>
    </row>
    <row r="151" customFormat="false" ht="15" hidden="false" customHeight="true" outlineLevel="0" collapsed="false">
      <c r="A151" s="43"/>
      <c r="B151" s="34" t="str">
        <f aca="false">IF($A151="","",IF(ISERROR(FIND(".",$A151)),"",LOWER(MID($A151,FIND(CHAR(1),SUBSTITUTE($A151,".",CHAR(1),LEN($A151)-LEN(SUBSTITUTE($A151,".",""))))+1,LEN($A151)))))</f>
        <v/>
      </c>
      <c r="C151" s="35" t="str">
        <f aca="false">IF($B151="","",IFERROR(INDEX(Rubric!$B$15:$B$24,MATCH(LOWER($B151),Rubric!$A$15:$A$24,0)),INDEX(Rubric!$B$15:$B$24,MATCH("other",Rubric!$A$15:$A$24,0))))</f>
        <v/>
      </c>
      <c r="D151" s="26"/>
      <c r="E151" s="26"/>
      <c r="F151" s="26"/>
      <c r="G151" s="26"/>
      <c r="H151" s="26"/>
      <c r="I151" s="26"/>
      <c r="J151" s="26"/>
      <c r="K151" s="27"/>
      <c r="L151" s="27"/>
      <c r="M151" s="36" t="str">
        <f aca="false">IF($B151="","",IFERROR(INDEX(Rubric!$C$15:$C$24,MATCH(LOWER($B151),Rubric!$A$15:$A$24,0)),INDEX(Rubric!$C$15:$C$24,MATCH("other",Rubric!$A$15:$A$24,0))))</f>
        <v/>
      </c>
      <c r="N151" s="37" t="str">
        <f aca="false">IF(OR($A151="",$C151=""),"",$C151*Rubric!$B$5+$D151*Rubric!$B$6+$E151*Rubric!$B$7+$F151*Rubric!$B$8+$G151*Rubric!$B$9+$H151*Rubric!$B$10)</f>
        <v/>
      </c>
      <c r="O151" s="38" t="str">
        <f aca="false">IF($A151="","",IF(OR(UPPER($I151)="Y",UPPER($J151)="Y"),"FAIL","PASS"))</f>
        <v/>
      </c>
      <c r="P151" s="39" t="str">
        <f aca="false">IF(OR($A151="",$L151=""),"",MAX(0,$L151-MAX($L151*Assumptions!$B$4,Assumptions!$B$5)))</f>
        <v/>
      </c>
      <c r="Q151" s="40" t="str">
        <f aca="false">IF($A151="","",Assumptions!$B$13)</f>
        <v/>
      </c>
      <c r="R151" s="39" t="str">
        <f aca="false">IF(OR($A151="",$M151=""),"",$M151*Assumptions!$B$7)</f>
        <v/>
      </c>
      <c r="S151" s="39" t="str">
        <f aca="false">IF(OR($A151="",$P151="",$R151=""),"",MAX(0,$P151*$Q151-$R151))</f>
        <v/>
      </c>
      <c r="T151" s="38" t="str">
        <f aca="false">IF($A151="","",IF($O151="FAIL","REJECT",IF($N151&gt;=4,IF(AND($K151&lt;&gt;"",$K151&gt;$S151),"BUY IF CHEAPER","BUY"),IF($N151&gt;=3.2,"WATCH","PASS"))))</f>
        <v/>
      </c>
      <c r="U151" s="26"/>
      <c r="V151" s="33"/>
    </row>
    <row r="152" customFormat="false" ht="15" hidden="false" customHeight="true" outlineLevel="0" collapsed="false">
      <c r="A152" s="43"/>
      <c r="B152" s="34" t="str">
        <f aca="false">IF($A152="","",IF(ISERROR(FIND(".",$A152)),"",LOWER(MID($A152,FIND(CHAR(1),SUBSTITUTE($A152,".",CHAR(1),LEN($A152)-LEN(SUBSTITUTE($A152,".",""))))+1,LEN($A152)))))</f>
        <v/>
      </c>
      <c r="C152" s="35" t="str">
        <f aca="false">IF($B152="","",IFERROR(INDEX(Rubric!$B$15:$B$24,MATCH(LOWER($B152),Rubric!$A$15:$A$24,0)),INDEX(Rubric!$B$15:$B$24,MATCH("other",Rubric!$A$15:$A$24,0))))</f>
        <v/>
      </c>
      <c r="D152" s="26"/>
      <c r="E152" s="26"/>
      <c r="F152" s="26"/>
      <c r="G152" s="26"/>
      <c r="H152" s="26"/>
      <c r="I152" s="26"/>
      <c r="J152" s="26"/>
      <c r="K152" s="27"/>
      <c r="L152" s="27"/>
      <c r="M152" s="36" t="str">
        <f aca="false">IF($B152="","",IFERROR(INDEX(Rubric!$C$15:$C$24,MATCH(LOWER($B152),Rubric!$A$15:$A$24,0)),INDEX(Rubric!$C$15:$C$24,MATCH("other",Rubric!$A$15:$A$24,0))))</f>
        <v/>
      </c>
      <c r="N152" s="37" t="str">
        <f aca="false">IF(OR($A152="",$C152=""),"",$C152*Rubric!$B$5+$D152*Rubric!$B$6+$E152*Rubric!$B$7+$F152*Rubric!$B$8+$G152*Rubric!$B$9+$H152*Rubric!$B$10)</f>
        <v/>
      </c>
      <c r="O152" s="38" t="str">
        <f aca="false">IF($A152="","",IF(OR(UPPER($I152)="Y",UPPER($J152)="Y"),"FAIL","PASS"))</f>
        <v/>
      </c>
      <c r="P152" s="39" t="str">
        <f aca="false">IF(OR($A152="",$L152=""),"",MAX(0,$L152-MAX($L152*Assumptions!$B$4,Assumptions!$B$5)))</f>
        <v/>
      </c>
      <c r="Q152" s="40" t="str">
        <f aca="false">IF($A152="","",Assumptions!$B$13)</f>
        <v/>
      </c>
      <c r="R152" s="39" t="str">
        <f aca="false">IF(OR($A152="",$M152=""),"",$M152*Assumptions!$B$7)</f>
        <v/>
      </c>
      <c r="S152" s="39" t="str">
        <f aca="false">IF(OR($A152="",$P152="",$R152=""),"",MAX(0,$P152*$Q152-$R152))</f>
        <v/>
      </c>
      <c r="T152" s="38" t="str">
        <f aca="false">IF($A152="","",IF($O152="FAIL","REJECT",IF($N152&gt;=4,IF(AND($K152&lt;&gt;"",$K152&gt;$S152),"BUY IF CHEAPER","BUY"),IF($N152&gt;=3.2,"WATCH","PASS"))))</f>
        <v/>
      </c>
      <c r="U152" s="26"/>
      <c r="V152" s="33"/>
    </row>
    <row r="153" customFormat="false" ht="15" hidden="false" customHeight="true" outlineLevel="0" collapsed="false">
      <c r="A153" s="43"/>
      <c r="B153" s="34" t="str">
        <f aca="false">IF($A153="","",IF(ISERROR(FIND(".",$A153)),"",LOWER(MID($A153,FIND(CHAR(1),SUBSTITUTE($A153,".",CHAR(1),LEN($A153)-LEN(SUBSTITUTE($A153,".",""))))+1,LEN($A153)))))</f>
        <v/>
      </c>
      <c r="C153" s="35" t="str">
        <f aca="false">IF($B153="","",IFERROR(INDEX(Rubric!$B$15:$B$24,MATCH(LOWER($B153),Rubric!$A$15:$A$24,0)),INDEX(Rubric!$B$15:$B$24,MATCH("other",Rubric!$A$15:$A$24,0))))</f>
        <v/>
      </c>
      <c r="D153" s="26"/>
      <c r="E153" s="26"/>
      <c r="F153" s="26"/>
      <c r="G153" s="26"/>
      <c r="H153" s="26"/>
      <c r="I153" s="26"/>
      <c r="J153" s="26"/>
      <c r="K153" s="27"/>
      <c r="L153" s="27"/>
      <c r="M153" s="36" t="str">
        <f aca="false">IF($B153="","",IFERROR(INDEX(Rubric!$C$15:$C$24,MATCH(LOWER($B153),Rubric!$A$15:$A$24,0)),INDEX(Rubric!$C$15:$C$24,MATCH("other",Rubric!$A$15:$A$24,0))))</f>
        <v/>
      </c>
      <c r="N153" s="37" t="str">
        <f aca="false">IF(OR($A153="",$C153=""),"",$C153*Rubric!$B$5+$D153*Rubric!$B$6+$E153*Rubric!$B$7+$F153*Rubric!$B$8+$G153*Rubric!$B$9+$H153*Rubric!$B$10)</f>
        <v/>
      </c>
      <c r="O153" s="38" t="str">
        <f aca="false">IF($A153="","",IF(OR(UPPER($I153)="Y",UPPER($J153)="Y"),"FAIL","PASS"))</f>
        <v/>
      </c>
      <c r="P153" s="39" t="str">
        <f aca="false">IF(OR($A153="",$L153=""),"",MAX(0,$L153-MAX($L153*Assumptions!$B$4,Assumptions!$B$5)))</f>
        <v/>
      </c>
      <c r="Q153" s="40" t="str">
        <f aca="false">IF($A153="","",Assumptions!$B$13)</f>
        <v/>
      </c>
      <c r="R153" s="39" t="str">
        <f aca="false">IF(OR($A153="",$M153=""),"",$M153*Assumptions!$B$7)</f>
        <v/>
      </c>
      <c r="S153" s="39" t="str">
        <f aca="false">IF(OR($A153="",$P153="",$R153=""),"",MAX(0,$P153*$Q153-$R153))</f>
        <v/>
      </c>
      <c r="T153" s="38" t="str">
        <f aca="false">IF($A153="","",IF($O153="FAIL","REJECT",IF($N153&gt;=4,IF(AND($K153&lt;&gt;"",$K153&gt;$S153),"BUY IF CHEAPER","BUY"),IF($N153&gt;=3.2,"WATCH","PASS"))))</f>
        <v/>
      </c>
      <c r="U153" s="26"/>
      <c r="V153" s="33"/>
    </row>
    <row r="154" customFormat="false" ht="15" hidden="false" customHeight="true" outlineLevel="0" collapsed="false">
      <c r="A154" s="43"/>
      <c r="B154" s="34" t="str">
        <f aca="false">IF($A154="","",IF(ISERROR(FIND(".",$A154)),"",LOWER(MID($A154,FIND(CHAR(1),SUBSTITUTE($A154,".",CHAR(1),LEN($A154)-LEN(SUBSTITUTE($A154,".",""))))+1,LEN($A154)))))</f>
        <v/>
      </c>
      <c r="C154" s="35" t="str">
        <f aca="false">IF($B154="","",IFERROR(INDEX(Rubric!$B$15:$B$24,MATCH(LOWER($B154),Rubric!$A$15:$A$24,0)),INDEX(Rubric!$B$15:$B$24,MATCH("other",Rubric!$A$15:$A$24,0))))</f>
        <v/>
      </c>
      <c r="D154" s="26"/>
      <c r="E154" s="26"/>
      <c r="F154" s="26"/>
      <c r="G154" s="26"/>
      <c r="H154" s="26"/>
      <c r="I154" s="26"/>
      <c r="J154" s="26"/>
      <c r="K154" s="27"/>
      <c r="L154" s="27"/>
      <c r="M154" s="36" t="str">
        <f aca="false">IF($B154="","",IFERROR(INDEX(Rubric!$C$15:$C$24,MATCH(LOWER($B154),Rubric!$A$15:$A$24,0)),INDEX(Rubric!$C$15:$C$24,MATCH("other",Rubric!$A$15:$A$24,0))))</f>
        <v/>
      </c>
      <c r="N154" s="37" t="str">
        <f aca="false">IF(OR($A154="",$C154=""),"",$C154*Rubric!$B$5+$D154*Rubric!$B$6+$E154*Rubric!$B$7+$F154*Rubric!$B$8+$G154*Rubric!$B$9+$H154*Rubric!$B$10)</f>
        <v/>
      </c>
      <c r="O154" s="38" t="str">
        <f aca="false">IF($A154="","",IF(OR(UPPER($I154)="Y",UPPER($J154)="Y"),"FAIL","PASS"))</f>
        <v/>
      </c>
      <c r="P154" s="39" t="str">
        <f aca="false">IF(OR($A154="",$L154=""),"",MAX(0,$L154-MAX($L154*Assumptions!$B$4,Assumptions!$B$5)))</f>
        <v/>
      </c>
      <c r="Q154" s="40" t="str">
        <f aca="false">IF($A154="","",Assumptions!$B$13)</f>
        <v/>
      </c>
      <c r="R154" s="39" t="str">
        <f aca="false">IF(OR($A154="",$M154=""),"",$M154*Assumptions!$B$7)</f>
        <v/>
      </c>
      <c r="S154" s="39" t="str">
        <f aca="false">IF(OR($A154="",$P154="",$R154=""),"",MAX(0,$P154*$Q154-$R154))</f>
        <v/>
      </c>
      <c r="T154" s="38" t="str">
        <f aca="false">IF($A154="","",IF($O154="FAIL","REJECT",IF($N154&gt;=4,IF(AND($K154&lt;&gt;"",$K154&gt;$S154),"BUY IF CHEAPER","BUY"),IF($N154&gt;=3.2,"WATCH","PASS"))))</f>
        <v/>
      </c>
      <c r="U154" s="26"/>
      <c r="V154" s="33"/>
    </row>
    <row r="155" customFormat="false" ht="15" hidden="false" customHeight="true" outlineLevel="0" collapsed="false">
      <c r="A155" s="43"/>
      <c r="B155" s="34" t="str">
        <f aca="false">IF($A155="","",IF(ISERROR(FIND(".",$A155)),"",LOWER(MID($A155,FIND(CHAR(1),SUBSTITUTE($A155,".",CHAR(1),LEN($A155)-LEN(SUBSTITUTE($A155,".",""))))+1,LEN($A155)))))</f>
        <v/>
      </c>
      <c r="C155" s="35" t="str">
        <f aca="false">IF($B155="","",IFERROR(INDEX(Rubric!$B$15:$B$24,MATCH(LOWER($B155),Rubric!$A$15:$A$24,0)),INDEX(Rubric!$B$15:$B$24,MATCH("other",Rubric!$A$15:$A$24,0))))</f>
        <v/>
      </c>
      <c r="D155" s="26"/>
      <c r="E155" s="26"/>
      <c r="F155" s="26"/>
      <c r="G155" s="26"/>
      <c r="H155" s="26"/>
      <c r="I155" s="26"/>
      <c r="J155" s="26"/>
      <c r="K155" s="27"/>
      <c r="L155" s="27"/>
      <c r="M155" s="36" t="str">
        <f aca="false">IF($B155="","",IFERROR(INDEX(Rubric!$C$15:$C$24,MATCH(LOWER($B155),Rubric!$A$15:$A$24,0)),INDEX(Rubric!$C$15:$C$24,MATCH("other",Rubric!$A$15:$A$24,0))))</f>
        <v/>
      </c>
      <c r="N155" s="37" t="str">
        <f aca="false">IF(OR($A155="",$C155=""),"",$C155*Rubric!$B$5+$D155*Rubric!$B$6+$E155*Rubric!$B$7+$F155*Rubric!$B$8+$G155*Rubric!$B$9+$H155*Rubric!$B$10)</f>
        <v/>
      </c>
      <c r="O155" s="38" t="str">
        <f aca="false">IF($A155="","",IF(OR(UPPER($I155)="Y",UPPER($J155)="Y"),"FAIL","PASS"))</f>
        <v/>
      </c>
      <c r="P155" s="39" t="str">
        <f aca="false">IF(OR($A155="",$L155=""),"",MAX(0,$L155-MAX($L155*Assumptions!$B$4,Assumptions!$B$5)))</f>
        <v/>
      </c>
      <c r="Q155" s="40" t="str">
        <f aca="false">IF($A155="","",Assumptions!$B$13)</f>
        <v/>
      </c>
      <c r="R155" s="39" t="str">
        <f aca="false">IF(OR($A155="",$M155=""),"",$M155*Assumptions!$B$7)</f>
        <v/>
      </c>
      <c r="S155" s="39" t="str">
        <f aca="false">IF(OR($A155="",$P155="",$R155=""),"",MAX(0,$P155*$Q155-$R155))</f>
        <v/>
      </c>
      <c r="T155" s="38" t="str">
        <f aca="false">IF($A155="","",IF($O155="FAIL","REJECT",IF($N155&gt;=4,IF(AND($K155&lt;&gt;"",$K155&gt;$S155),"BUY IF CHEAPER","BUY"),IF($N155&gt;=3.2,"WATCH","PASS"))))</f>
        <v/>
      </c>
      <c r="U155" s="26"/>
      <c r="V155" s="33"/>
    </row>
    <row r="156" customFormat="false" ht="15" hidden="false" customHeight="true" outlineLevel="0" collapsed="false">
      <c r="A156" s="43"/>
      <c r="B156" s="34" t="str">
        <f aca="false">IF($A156="","",IF(ISERROR(FIND(".",$A156)),"",LOWER(MID($A156,FIND(CHAR(1),SUBSTITUTE($A156,".",CHAR(1),LEN($A156)-LEN(SUBSTITUTE($A156,".",""))))+1,LEN($A156)))))</f>
        <v/>
      </c>
      <c r="C156" s="35" t="str">
        <f aca="false">IF($B156="","",IFERROR(INDEX(Rubric!$B$15:$B$24,MATCH(LOWER($B156),Rubric!$A$15:$A$24,0)),INDEX(Rubric!$B$15:$B$24,MATCH("other",Rubric!$A$15:$A$24,0))))</f>
        <v/>
      </c>
      <c r="D156" s="26"/>
      <c r="E156" s="26"/>
      <c r="F156" s="26"/>
      <c r="G156" s="26"/>
      <c r="H156" s="26"/>
      <c r="I156" s="26"/>
      <c r="J156" s="26"/>
      <c r="K156" s="27"/>
      <c r="L156" s="27"/>
      <c r="M156" s="36" t="str">
        <f aca="false">IF($B156="","",IFERROR(INDEX(Rubric!$C$15:$C$24,MATCH(LOWER($B156),Rubric!$A$15:$A$24,0)),INDEX(Rubric!$C$15:$C$24,MATCH("other",Rubric!$A$15:$A$24,0))))</f>
        <v/>
      </c>
      <c r="N156" s="37" t="str">
        <f aca="false">IF(OR($A156="",$C156=""),"",$C156*Rubric!$B$5+$D156*Rubric!$B$6+$E156*Rubric!$B$7+$F156*Rubric!$B$8+$G156*Rubric!$B$9+$H156*Rubric!$B$10)</f>
        <v/>
      </c>
      <c r="O156" s="38" t="str">
        <f aca="false">IF($A156="","",IF(OR(UPPER($I156)="Y",UPPER($J156)="Y"),"FAIL","PASS"))</f>
        <v/>
      </c>
      <c r="P156" s="39" t="str">
        <f aca="false">IF(OR($A156="",$L156=""),"",MAX(0,$L156-MAX($L156*Assumptions!$B$4,Assumptions!$B$5)))</f>
        <v/>
      </c>
      <c r="Q156" s="40" t="str">
        <f aca="false">IF($A156="","",Assumptions!$B$13)</f>
        <v/>
      </c>
      <c r="R156" s="39" t="str">
        <f aca="false">IF(OR($A156="",$M156=""),"",$M156*Assumptions!$B$7)</f>
        <v/>
      </c>
      <c r="S156" s="39" t="str">
        <f aca="false">IF(OR($A156="",$P156="",$R156=""),"",MAX(0,$P156*$Q156-$R156))</f>
        <v/>
      </c>
      <c r="T156" s="38" t="str">
        <f aca="false">IF($A156="","",IF($O156="FAIL","REJECT",IF($N156&gt;=4,IF(AND($K156&lt;&gt;"",$K156&gt;$S156),"BUY IF CHEAPER","BUY"),IF($N156&gt;=3.2,"WATCH","PASS"))))</f>
        <v/>
      </c>
      <c r="U156" s="26"/>
      <c r="V156" s="33"/>
    </row>
    <row r="157" customFormat="false" ht="15" hidden="false" customHeight="true" outlineLevel="0" collapsed="false">
      <c r="A157" s="43"/>
      <c r="B157" s="34" t="str">
        <f aca="false">IF($A157="","",IF(ISERROR(FIND(".",$A157)),"",LOWER(MID($A157,FIND(CHAR(1),SUBSTITUTE($A157,".",CHAR(1),LEN($A157)-LEN(SUBSTITUTE($A157,".",""))))+1,LEN($A157)))))</f>
        <v/>
      </c>
      <c r="C157" s="35" t="str">
        <f aca="false">IF($B157="","",IFERROR(INDEX(Rubric!$B$15:$B$24,MATCH(LOWER($B157),Rubric!$A$15:$A$24,0)),INDEX(Rubric!$B$15:$B$24,MATCH("other",Rubric!$A$15:$A$24,0))))</f>
        <v/>
      </c>
      <c r="D157" s="26"/>
      <c r="E157" s="26"/>
      <c r="F157" s="26"/>
      <c r="G157" s="26"/>
      <c r="H157" s="26"/>
      <c r="I157" s="26"/>
      <c r="J157" s="26"/>
      <c r="K157" s="27"/>
      <c r="L157" s="27"/>
      <c r="M157" s="36" t="str">
        <f aca="false">IF($B157="","",IFERROR(INDEX(Rubric!$C$15:$C$24,MATCH(LOWER($B157),Rubric!$A$15:$A$24,0)),INDEX(Rubric!$C$15:$C$24,MATCH("other",Rubric!$A$15:$A$24,0))))</f>
        <v/>
      </c>
      <c r="N157" s="37" t="str">
        <f aca="false">IF(OR($A157="",$C157=""),"",$C157*Rubric!$B$5+$D157*Rubric!$B$6+$E157*Rubric!$B$7+$F157*Rubric!$B$8+$G157*Rubric!$B$9+$H157*Rubric!$B$10)</f>
        <v/>
      </c>
      <c r="O157" s="38" t="str">
        <f aca="false">IF($A157="","",IF(OR(UPPER($I157)="Y",UPPER($J157)="Y"),"FAIL","PASS"))</f>
        <v/>
      </c>
      <c r="P157" s="39" t="str">
        <f aca="false">IF(OR($A157="",$L157=""),"",MAX(0,$L157-MAX($L157*Assumptions!$B$4,Assumptions!$B$5)))</f>
        <v/>
      </c>
      <c r="Q157" s="40" t="str">
        <f aca="false">IF($A157="","",Assumptions!$B$13)</f>
        <v/>
      </c>
      <c r="R157" s="39" t="str">
        <f aca="false">IF(OR($A157="",$M157=""),"",$M157*Assumptions!$B$7)</f>
        <v/>
      </c>
      <c r="S157" s="39" t="str">
        <f aca="false">IF(OR($A157="",$P157="",$R157=""),"",MAX(0,$P157*$Q157-$R157))</f>
        <v/>
      </c>
      <c r="T157" s="38" t="str">
        <f aca="false">IF($A157="","",IF($O157="FAIL","REJECT",IF($N157&gt;=4,IF(AND($K157&lt;&gt;"",$K157&gt;$S157),"BUY IF CHEAPER","BUY"),IF($N157&gt;=3.2,"WATCH","PASS"))))</f>
        <v/>
      </c>
      <c r="U157" s="26"/>
      <c r="V157" s="33"/>
    </row>
    <row r="158" customFormat="false" ht="15" hidden="false" customHeight="true" outlineLevel="0" collapsed="false">
      <c r="A158" s="43"/>
      <c r="B158" s="34" t="str">
        <f aca="false">IF($A158="","",IF(ISERROR(FIND(".",$A158)),"",LOWER(MID($A158,FIND(CHAR(1),SUBSTITUTE($A158,".",CHAR(1),LEN($A158)-LEN(SUBSTITUTE($A158,".",""))))+1,LEN($A158)))))</f>
        <v/>
      </c>
      <c r="C158" s="35" t="str">
        <f aca="false">IF($B158="","",IFERROR(INDEX(Rubric!$B$15:$B$24,MATCH(LOWER($B158),Rubric!$A$15:$A$24,0)),INDEX(Rubric!$B$15:$B$24,MATCH("other",Rubric!$A$15:$A$24,0))))</f>
        <v/>
      </c>
      <c r="D158" s="26"/>
      <c r="E158" s="26"/>
      <c r="F158" s="26"/>
      <c r="G158" s="26"/>
      <c r="H158" s="26"/>
      <c r="I158" s="26"/>
      <c r="J158" s="26"/>
      <c r="K158" s="27"/>
      <c r="L158" s="27"/>
      <c r="M158" s="36" t="str">
        <f aca="false">IF($B158="","",IFERROR(INDEX(Rubric!$C$15:$C$24,MATCH(LOWER($B158),Rubric!$A$15:$A$24,0)),INDEX(Rubric!$C$15:$C$24,MATCH("other",Rubric!$A$15:$A$24,0))))</f>
        <v/>
      </c>
      <c r="N158" s="37" t="str">
        <f aca="false">IF(OR($A158="",$C158=""),"",$C158*Rubric!$B$5+$D158*Rubric!$B$6+$E158*Rubric!$B$7+$F158*Rubric!$B$8+$G158*Rubric!$B$9+$H158*Rubric!$B$10)</f>
        <v/>
      </c>
      <c r="O158" s="38" t="str">
        <f aca="false">IF($A158="","",IF(OR(UPPER($I158)="Y",UPPER($J158)="Y"),"FAIL","PASS"))</f>
        <v/>
      </c>
      <c r="P158" s="39" t="str">
        <f aca="false">IF(OR($A158="",$L158=""),"",MAX(0,$L158-MAX($L158*Assumptions!$B$4,Assumptions!$B$5)))</f>
        <v/>
      </c>
      <c r="Q158" s="40" t="str">
        <f aca="false">IF($A158="","",Assumptions!$B$13)</f>
        <v/>
      </c>
      <c r="R158" s="39" t="str">
        <f aca="false">IF(OR($A158="",$M158=""),"",$M158*Assumptions!$B$7)</f>
        <v/>
      </c>
      <c r="S158" s="39" t="str">
        <f aca="false">IF(OR($A158="",$P158="",$R158=""),"",MAX(0,$P158*$Q158-$R158))</f>
        <v/>
      </c>
      <c r="T158" s="38" t="str">
        <f aca="false">IF($A158="","",IF($O158="FAIL","REJECT",IF($N158&gt;=4,IF(AND($K158&lt;&gt;"",$K158&gt;$S158),"BUY IF CHEAPER","BUY"),IF($N158&gt;=3.2,"WATCH","PASS"))))</f>
        <v/>
      </c>
      <c r="U158" s="26"/>
      <c r="V158" s="33"/>
    </row>
    <row r="159" customFormat="false" ht="15" hidden="false" customHeight="true" outlineLevel="0" collapsed="false">
      <c r="A159" s="43"/>
      <c r="B159" s="34" t="str">
        <f aca="false">IF($A159="","",IF(ISERROR(FIND(".",$A159)),"",LOWER(MID($A159,FIND(CHAR(1),SUBSTITUTE($A159,".",CHAR(1),LEN($A159)-LEN(SUBSTITUTE($A159,".",""))))+1,LEN($A159)))))</f>
        <v/>
      </c>
      <c r="C159" s="35" t="str">
        <f aca="false">IF($B159="","",IFERROR(INDEX(Rubric!$B$15:$B$24,MATCH(LOWER($B159),Rubric!$A$15:$A$24,0)),INDEX(Rubric!$B$15:$B$24,MATCH("other",Rubric!$A$15:$A$24,0))))</f>
        <v/>
      </c>
      <c r="D159" s="26"/>
      <c r="E159" s="26"/>
      <c r="F159" s="26"/>
      <c r="G159" s="26"/>
      <c r="H159" s="26"/>
      <c r="I159" s="26"/>
      <c r="J159" s="26"/>
      <c r="K159" s="27"/>
      <c r="L159" s="27"/>
      <c r="M159" s="36" t="str">
        <f aca="false">IF($B159="","",IFERROR(INDEX(Rubric!$C$15:$C$24,MATCH(LOWER($B159),Rubric!$A$15:$A$24,0)),INDEX(Rubric!$C$15:$C$24,MATCH("other",Rubric!$A$15:$A$24,0))))</f>
        <v/>
      </c>
      <c r="N159" s="37" t="str">
        <f aca="false">IF(OR($A159="",$C159=""),"",$C159*Rubric!$B$5+$D159*Rubric!$B$6+$E159*Rubric!$B$7+$F159*Rubric!$B$8+$G159*Rubric!$B$9+$H159*Rubric!$B$10)</f>
        <v/>
      </c>
      <c r="O159" s="38" t="str">
        <f aca="false">IF($A159="","",IF(OR(UPPER($I159)="Y",UPPER($J159)="Y"),"FAIL","PASS"))</f>
        <v/>
      </c>
      <c r="P159" s="39" t="str">
        <f aca="false">IF(OR($A159="",$L159=""),"",MAX(0,$L159-MAX($L159*Assumptions!$B$4,Assumptions!$B$5)))</f>
        <v/>
      </c>
      <c r="Q159" s="40" t="str">
        <f aca="false">IF($A159="","",Assumptions!$B$13)</f>
        <v/>
      </c>
      <c r="R159" s="39" t="str">
        <f aca="false">IF(OR($A159="",$M159=""),"",$M159*Assumptions!$B$7)</f>
        <v/>
      </c>
      <c r="S159" s="39" t="str">
        <f aca="false">IF(OR($A159="",$P159="",$R159=""),"",MAX(0,$P159*$Q159-$R159))</f>
        <v/>
      </c>
      <c r="T159" s="38" t="str">
        <f aca="false">IF($A159="","",IF($O159="FAIL","REJECT",IF($N159&gt;=4,IF(AND($K159&lt;&gt;"",$K159&gt;$S159),"BUY IF CHEAPER","BUY"),IF($N159&gt;=3.2,"WATCH","PASS"))))</f>
        <v/>
      </c>
      <c r="U159" s="26"/>
      <c r="V159" s="33"/>
    </row>
    <row r="160" customFormat="false" ht="15" hidden="false" customHeight="true" outlineLevel="0" collapsed="false">
      <c r="A160" s="43"/>
      <c r="B160" s="34" t="str">
        <f aca="false">IF($A160="","",IF(ISERROR(FIND(".",$A160)),"",LOWER(MID($A160,FIND(CHAR(1),SUBSTITUTE($A160,".",CHAR(1),LEN($A160)-LEN(SUBSTITUTE($A160,".",""))))+1,LEN($A160)))))</f>
        <v/>
      </c>
      <c r="C160" s="35" t="str">
        <f aca="false">IF($B160="","",IFERROR(INDEX(Rubric!$B$15:$B$24,MATCH(LOWER($B160),Rubric!$A$15:$A$24,0)),INDEX(Rubric!$B$15:$B$24,MATCH("other",Rubric!$A$15:$A$24,0))))</f>
        <v/>
      </c>
      <c r="D160" s="26"/>
      <c r="E160" s="26"/>
      <c r="F160" s="26"/>
      <c r="G160" s="26"/>
      <c r="H160" s="26"/>
      <c r="I160" s="26"/>
      <c r="J160" s="26"/>
      <c r="K160" s="27"/>
      <c r="L160" s="27"/>
      <c r="M160" s="36" t="str">
        <f aca="false">IF($B160="","",IFERROR(INDEX(Rubric!$C$15:$C$24,MATCH(LOWER($B160),Rubric!$A$15:$A$24,0)),INDEX(Rubric!$C$15:$C$24,MATCH("other",Rubric!$A$15:$A$24,0))))</f>
        <v/>
      </c>
      <c r="N160" s="37" t="str">
        <f aca="false">IF(OR($A160="",$C160=""),"",$C160*Rubric!$B$5+$D160*Rubric!$B$6+$E160*Rubric!$B$7+$F160*Rubric!$B$8+$G160*Rubric!$B$9+$H160*Rubric!$B$10)</f>
        <v/>
      </c>
      <c r="O160" s="38" t="str">
        <f aca="false">IF($A160="","",IF(OR(UPPER($I160)="Y",UPPER($J160)="Y"),"FAIL","PASS"))</f>
        <v/>
      </c>
      <c r="P160" s="39" t="str">
        <f aca="false">IF(OR($A160="",$L160=""),"",MAX(0,$L160-MAX($L160*Assumptions!$B$4,Assumptions!$B$5)))</f>
        <v/>
      </c>
      <c r="Q160" s="40" t="str">
        <f aca="false">IF($A160="","",Assumptions!$B$13)</f>
        <v/>
      </c>
      <c r="R160" s="39" t="str">
        <f aca="false">IF(OR($A160="",$M160=""),"",$M160*Assumptions!$B$7)</f>
        <v/>
      </c>
      <c r="S160" s="39" t="str">
        <f aca="false">IF(OR($A160="",$P160="",$R160=""),"",MAX(0,$P160*$Q160-$R160))</f>
        <v/>
      </c>
      <c r="T160" s="38" t="str">
        <f aca="false">IF($A160="","",IF($O160="FAIL","REJECT",IF($N160&gt;=4,IF(AND($K160&lt;&gt;"",$K160&gt;$S160),"BUY IF CHEAPER","BUY"),IF($N160&gt;=3.2,"WATCH","PASS"))))</f>
        <v/>
      </c>
      <c r="U160" s="26"/>
      <c r="V160" s="33"/>
    </row>
    <row r="161" customFormat="false" ht="15" hidden="false" customHeight="true" outlineLevel="0" collapsed="false">
      <c r="A161" s="43"/>
      <c r="B161" s="34" t="str">
        <f aca="false">IF($A161="","",IF(ISERROR(FIND(".",$A161)),"",LOWER(MID($A161,FIND(CHAR(1),SUBSTITUTE($A161,".",CHAR(1),LEN($A161)-LEN(SUBSTITUTE($A161,".",""))))+1,LEN($A161)))))</f>
        <v/>
      </c>
      <c r="C161" s="35" t="str">
        <f aca="false">IF($B161="","",IFERROR(INDEX(Rubric!$B$15:$B$24,MATCH(LOWER($B161),Rubric!$A$15:$A$24,0)),INDEX(Rubric!$B$15:$B$24,MATCH("other",Rubric!$A$15:$A$24,0))))</f>
        <v/>
      </c>
      <c r="D161" s="26"/>
      <c r="E161" s="26"/>
      <c r="F161" s="26"/>
      <c r="G161" s="26"/>
      <c r="H161" s="26"/>
      <c r="I161" s="26"/>
      <c r="J161" s="26"/>
      <c r="K161" s="27"/>
      <c r="L161" s="27"/>
      <c r="M161" s="36" t="str">
        <f aca="false">IF($B161="","",IFERROR(INDEX(Rubric!$C$15:$C$24,MATCH(LOWER($B161),Rubric!$A$15:$A$24,0)),INDEX(Rubric!$C$15:$C$24,MATCH("other",Rubric!$A$15:$A$24,0))))</f>
        <v/>
      </c>
      <c r="N161" s="37" t="str">
        <f aca="false">IF(OR($A161="",$C161=""),"",$C161*Rubric!$B$5+$D161*Rubric!$B$6+$E161*Rubric!$B$7+$F161*Rubric!$B$8+$G161*Rubric!$B$9+$H161*Rubric!$B$10)</f>
        <v/>
      </c>
      <c r="O161" s="38" t="str">
        <f aca="false">IF($A161="","",IF(OR(UPPER($I161)="Y",UPPER($J161)="Y"),"FAIL","PASS"))</f>
        <v/>
      </c>
      <c r="P161" s="39" t="str">
        <f aca="false">IF(OR($A161="",$L161=""),"",MAX(0,$L161-MAX($L161*Assumptions!$B$4,Assumptions!$B$5)))</f>
        <v/>
      </c>
      <c r="Q161" s="40" t="str">
        <f aca="false">IF($A161="","",Assumptions!$B$13)</f>
        <v/>
      </c>
      <c r="R161" s="39" t="str">
        <f aca="false">IF(OR($A161="",$M161=""),"",$M161*Assumptions!$B$7)</f>
        <v/>
      </c>
      <c r="S161" s="39" t="str">
        <f aca="false">IF(OR($A161="",$P161="",$R161=""),"",MAX(0,$P161*$Q161-$R161))</f>
        <v/>
      </c>
      <c r="T161" s="38" t="str">
        <f aca="false">IF($A161="","",IF($O161="FAIL","REJECT",IF($N161&gt;=4,IF(AND($K161&lt;&gt;"",$K161&gt;$S161),"BUY IF CHEAPER","BUY"),IF($N161&gt;=3.2,"WATCH","PASS"))))</f>
        <v/>
      </c>
      <c r="U161" s="26"/>
      <c r="V161" s="33"/>
    </row>
    <row r="162" customFormat="false" ht="15" hidden="false" customHeight="true" outlineLevel="0" collapsed="false">
      <c r="A162" s="43"/>
      <c r="B162" s="34" t="str">
        <f aca="false">IF($A162="","",IF(ISERROR(FIND(".",$A162)),"",LOWER(MID($A162,FIND(CHAR(1),SUBSTITUTE($A162,".",CHAR(1),LEN($A162)-LEN(SUBSTITUTE($A162,".",""))))+1,LEN($A162)))))</f>
        <v/>
      </c>
      <c r="C162" s="35" t="str">
        <f aca="false">IF($B162="","",IFERROR(INDEX(Rubric!$B$15:$B$24,MATCH(LOWER($B162),Rubric!$A$15:$A$24,0)),INDEX(Rubric!$B$15:$B$24,MATCH("other",Rubric!$A$15:$A$24,0))))</f>
        <v/>
      </c>
      <c r="D162" s="26"/>
      <c r="E162" s="26"/>
      <c r="F162" s="26"/>
      <c r="G162" s="26"/>
      <c r="H162" s="26"/>
      <c r="I162" s="26"/>
      <c r="J162" s="26"/>
      <c r="K162" s="27"/>
      <c r="L162" s="27"/>
      <c r="M162" s="36" t="str">
        <f aca="false">IF($B162="","",IFERROR(INDEX(Rubric!$C$15:$C$24,MATCH(LOWER($B162),Rubric!$A$15:$A$24,0)),INDEX(Rubric!$C$15:$C$24,MATCH("other",Rubric!$A$15:$A$24,0))))</f>
        <v/>
      </c>
      <c r="N162" s="37" t="str">
        <f aca="false">IF(OR($A162="",$C162=""),"",$C162*Rubric!$B$5+$D162*Rubric!$B$6+$E162*Rubric!$B$7+$F162*Rubric!$B$8+$G162*Rubric!$B$9+$H162*Rubric!$B$10)</f>
        <v/>
      </c>
      <c r="O162" s="38" t="str">
        <f aca="false">IF($A162="","",IF(OR(UPPER($I162)="Y",UPPER($J162)="Y"),"FAIL","PASS"))</f>
        <v/>
      </c>
      <c r="P162" s="39" t="str">
        <f aca="false">IF(OR($A162="",$L162=""),"",MAX(0,$L162-MAX($L162*Assumptions!$B$4,Assumptions!$B$5)))</f>
        <v/>
      </c>
      <c r="Q162" s="40" t="str">
        <f aca="false">IF($A162="","",Assumptions!$B$13)</f>
        <v/>
      </c>
      <c r="R162" s="39" t="str">
        <f aca="false">IF(OR($A162="",$M162=""),"",$M162*Assumptions!$B$7)</f>
        <v/>
      </c>
      <c r="S162" s="39" t="str">
        <f aca="false">IF(OR($A162="",$P162="",$R162=""),"",MAX(0,$P162*$Q162-$R162))</f>
        <v/>
      </c>
      <c r="T162" s="38" t="str">
        <f aca="false">IF($A162="","",IF($O162="FAIL","REJECT",IF($N162&gt;=4,IF(AND($K162&lt;&gt;"",$K162&gt;$S162),"BUY IF CHEAPER","BUY"),IF($N162&gt;=3.2,"WATCH","PASS"))))</f>
        <v/>
      </c>
      <c r="U162" s="26"/>
      <c r="V162" s="33"/>
    </row>
    <row r="163" customFormat="false" ht="15" hidden="false" customHeight="true" outlineLevel="0" collapsed="false">
      <c r="A163" s="43"/>
      <c r="B163" s="34" t="str">
        <f aca="false">IF($A163="","",IF(ISERROR(FIND(".",$A163)),"",LOWER(MID($A163,FIND(CHAR(1),SUBSTITUTE($A163,".",CHAR(1),LEN($A163)-LEN(SUBSTITUTE($A163,".",""))))+1,LEN($A163)))))</f>
        <v/>
      </c>
      <c r="C163" s="35" t="str">
        <f aca="false">IF($B163="","",IFERROR(INDEX(Rubric!$B$15:$B$24,MATCH(LOWER($B163),Rubric!$A$15:$A$24,0)),INDEX(Rubric!$B$15:$B$24,MATCH("other",Rubric!$A$15:$A$24,0))))</f>
        <v/>
      </c>
      <c r="D163" s="26"/>
      <c r="E163" s="26"/>
      <c r="F163" s="26"/>
      <c r="G163" s="26"/>
      <c r="H163" s="26"/>
      <c r="I163" s="26"/>
      <c r="J163" s="26"/>
      <c r="K163" s="27"/>
      <c r="L163" s="27"/>
      <c r="M163" s="36" t="str">
        <f aca="false">IF($B163="","",IFERROR(INDEX(Rubric!$C$15:$C$24,MATCH(LOWER($B163),Rubric!$A$15:$A$24,0)),INDEX(Rubric!$C$15:$C$24,MATCH("other",Rubric!$A$15:$A$24,0))))</f>
        <v/>
      </c>
      <c r="N163" s="37" t="str">
        <f aca="false">IF(OR($A163="",$C163=""),"",$C163*Rubric!$B$5+$D163*Rubric!$B$6+$E163*Rubric!$B$7+$F163*Rubric!$B$8+$G163*Rubric!$B$9+$H163*Rubric!$B$10)</f>
        <v/>
      </c>
      <c r="O163" s="38" t="str">
        <f aca="false">IF($A163="","",IF(OR(UPPER($I163)="Y",UPPER($J163)="Y"),"FAIL","PASS"))</f>
        <v/>
      </c>
      <c r="P163" s="39" t="str">
        <f aca="false">IF(OR($A163="",$L163=""),"",MAX(0,$L163-MAX($L163*Assumptions!$B$4,Assumptions!$B$5)))</f>
        <v/>
      </c>
      <c r="Q163" s="40" t="str">
        <f aca="false">IF($A163="","",Assumptions!$B$13)</f>
        <v/>
      </c>
      <c r="R163" s="39" t="str">
        <f aca="false">IF(OR($A163="",$M163=""),"",$M163*Assumptions!$B$7)</f>
        <v/>
      </c>
      <c r="S163" s="39" t="str">
        <f aca="false">IF(OR($A163="",$P163="",$R163=""),"",MAX(0,$P163*$Q163-$R163))</f>
        <v/>
      </c>
      <c r="T163" s="38" t="str">
        <f aca="false">IF($A163="","",IF($O163="FAIL","REJECT",IF($N163&gt;=4,IF(AND($K163&lt;&gt;"",$K163&gt;$S163),"BUY IF CHEAPER","BUY"),IF($N163&gt;=3.2,"WATCH","PASS"))))</f>
        <v/>
      </c>
      <c r="U163" s="26"/>
      <c r="V163" s="33"/>
    </row>
    <row r="164" customFormat="false" ht="15" hidden="false" customHeight="true" outlineLevel="0" collapsed="false">
      <c r="A164" s="43"/>
      <c r="B164" s="34" t="str">
        <f aca="false">IF($A164="","",IF(ISERROR(FIND(".",$A164)),"",LOWER(MID($A164,FIND(CHAR(1),SUBSTITUTE($A164,".",CHAR(1),LEN($A164)-LEN(SUBSTITUTE($A164,".",""))))+1,LEN($A164)))))</f>
        <v/>
      </c>
      <c r="C164" s="35" t="str">
        <f aca="false">IF($B164="","",IFERROR(INDEX(Rubric!$B$15:$B$24,MATCH(LOWER($B164),Rubric!$A$15:$A$24,0)),INDEX(Rubric!$B$15:$B$24,MATCH("other",Rubric!$A$15:$A$24,0))))</f>
        <v/>
      </c>
      <c r="D164" s="26"/>
      <c r="E164" s="26"/>
      <c r="F164" s="26"/>
      <c r="G164" s="26"/>
      <c r="H164" s="26"/>
      <c r="I164" s="26"/>
      <c r="J164" s="26"/>
      <c r="K164" s="27"/>
      <c r="L164" s="27"/>
      <c r="M164" s="36" t="str">
        <f aca="false">IF($B164="","",IFERROR(INDEX(Rubric!$C$15:$C$24,MATCH(LOWER($B164),Rubric!$A$15:$A$24,0)),INDEX(Rubric!$C$15:$C$24,MATCH("other",Rubric!$A$15:$A$24,0))))</f>
        <v/>
      </c>
      <c r="N164" s="37" t="str">
        <f aca="false">IF(OR($A164="",$C164=""),"",$C164*Rubric!$B$5+$D164*Rubric!$B$6+$E164*Rubric!$B$7+$F164*Rubric!$B$8+$G164*Rubric!$B$9+$H164*Rubric!$B$10)</f>
        <v/>
      </c>
      <c r="O164" s="38" t="str">
        <f aca="false">IF($A164="","",IF(OR(UPPER($I164)="Y",UPPER($J164)="Y"),"FAIL","PASS"))</f>
        <v/>
      </c>
      <c r="P164" s="39" t="str">
        <f aca="false">IF(OR($A164="",$L164=""),"",MAX(0,$L164-MAX($L164*Assumptions!$B$4,Assumptions!$B$5)))</f>
        <v/>
      </c>
      <c r="Q164" s="40" t="str">
        <f aca="false">IF($A164="","",Assumptions!$B$13)</f>
        <v/>
      </c>
      <c r="R164" s="39" t="str">
        <f aca="false">IF(OR($A164="",$M164=""),"",$M164*Assumptions!$B$7)</f>
        <v/>
      </c>
      <c r="S164" s="39" t="str">
        <f aca="false">IF(OR($A164="",$P164="",$R164=""),"",MAX(0,$P164*$Q164-$R164))</f>
        <v/>
      </c>
      <c r="T164" s="38" t="str">
        <f aca="false">IF($A164="","",IF($O164="FAIL","REJECT",IF($N164&gt;=4,IF(AND($K164&lt;&gt;"",$K164&gt;$S164),"BUY IF CHEAPER","BUY"),IF($N164&gt;=3.2,"WATCH","PASS"))))</f>
        <v/>
      </c>
      <c r="U164" s="26"/>
      <c r="V164" s="33"/>
    </row>
    <row r="165" customFormat="false" ht="15" hidden="false" customHeight="true" outlineLevel="0" collapsed="false">
      <c r="A165" s="43"/>
      <c r="B165" s="34" t="str">
        <f aca="false">IF($A165="","",IF(ISERROR(FIND(".",$A165)),"",LOWER(MID($A165,FIND(CHAR(1),SUBSTITUTE($A165,".",CHAR(1),LEN($A165)-LEN(SUBSTITUTE($A165,".",""))))+1,LEN($A165)))))</f>
        <v/>
      </c>
      <c r="C165" s="35" t="str">
        <f aca="false">IF($B165="","",IFERROR(INDEX(Rubric!$B$15:$B$24,MATCH(LOWER($B165),Rubric!$A$15:$A$24,0)),INDEX(Rubric!$B$15:$B$24,MATCH("other",Rubric!$A$15:$A$24,0))))</f>
        <v/>
      </c>
      <c r="D165" s="26"/>
      <c r="E165" s="26"/>
      <c r="F165" s="26"/>
      <c r="G165" s="26"/>
      <c r="H165" s="26"/>
      <c r="I165" s="26"/>
      <c r="J165" s="26"/>
      <c r="K165" s="27"/>
      <c r="L165" s="27"/>
      <c r="M165" s="36" t="str">
        <f aca="false">IF($B165="","",IFERROR(INDEX(Rubric!$C$15:$C$24,MATCH(LOWER($B165),Rubric!$A$15:$A$24,0)),INDEX(Rubric!$C$15:$C$24,MATCH("other",Rubric!$A$15:$A$24,0))))</f>
        <v/>
      </c>
      <c r="N165" s="37" t="str">
        <f aca="false">IF(OR($A165="",$C165=""),"",$C165*Rubric!$B$5+$D165*Rubric!$B$6+$E165*Rubric!$B$7+$F165*Rubric!$B$8+$G165*Rubric!$B$9+$H165*Rubric!$B$10)</f>
        <v/>
      </c>
      <c r="O165" s="38" t="str">
        <f aca="false">IF($A165="","",IF(OR(UPPER($I165)="Y",UPPER($J165)="Y"),"FAIL","PASS"))</f>
        <v/>
      </c>
      <c r="P165" s="39" t="str">
        <f aca="false">IF(OR($A165="",$L165=""),"",MAX(0,$L165-MAX($L165*Assumptions!$B$4,Assumptions!$B$5)))</f>
        <v/>
      </c>
      <c r="Q165" s="40" t="str">
        <f aca="false">IF($A165="","",Assumptions!$B$13)</f>
        <v/>
      </c>
      <c r="R165" s="39" t="str">
        <f aca="false">IF(OR($A165="",$M165=""),"",$M165*Assumptions!$B$7)</f>
        <v/>
      </c>
      <c r="S165" s="39" t="str">
        <f aca="false">IF(OR($A165="",$P165="",$R165=""),"",MAX(0,$P165*$Q165-$R165))</f>
        <v/>
      </c>
      <c r="T165" s="38" t="str">
        <f aca="false">IF($A165="","",IF($O165="FAIL","REJECT",IF($N165&gt;=4,IF(AND($K165&lt;&gt;"",$K165&gt;$S165),"BUY IF CHEAPER","BUY"),IF($N165&gt;=3.2,"WATCH","PASS"))))</f>
        <v/>
      </c>
      <c r="U165" s="26"/>
      <c r="V165" s="33"/>
    </row>
    <row r="166" customFormat="false" ht="15" hidden="false" customHeight="true" outlineLevel="0" collapsed="false">
      <c r="A166" s="43"/>
      <c r="B166" s="34" t="str">
        <f aca="false">IF($A166="","",IF(ISERROR(FIND(".",$A166)),"",LOWER(MID($A166,FIND(CHAR(1),SUBSTITUTE($A166,".",CHAR(1),LEN($A166)-LEN(SUBSTITUTE($A166,".",""))))+1,LEN($A166)))))</f>
        <v/>
      </c>
      <c r="C166" s="35" t="str">
        <f aca="false">IF($B166="","",IFERROR(INDEX(Rubric!$B$15:$B$24,MATCH(LOWER($B166),Rubric!$A$15:$A$24,0)),INDEX(Rubric!$B$15:$B$24,MATCH("other",Rubric!$A$15:$A$24,0))))</f>
        <v/>
      </c>
      <c r="D166" s="26"/>
      <c r="E166" s="26"/>
      <c r="F166" s="26"/>
      <c r="G166" s="26"/>
      <c r="H166" s="26"/>
      <c r="I166" s="26"/>
      <c r="J166" s="26"/>
      <c r="K166" s="27"/>
      <c r="L166" s="27"/>
      <c r="M166" s="36" t="str">
        <f aca="false">IF($B166="","",IFERROR(INDEX(Rubric!$C$15:$C$24,MATCH(LOWER($B166),Rubric!$A$15:$A$24,0)),INDEX(Rubric!$C$15:$C$24,MATCH("other",Rubric!$A$15:$A$24,0))))</f>
        <v/>
      </c>
      <c r="N166" s="37" t="str">
        <f aca="false">IF(OR($A166="",$C166=""),"",$C166*Rubric!$B$5+$D166*Rubric!$B$6+$E166*Rubric!$B$7+$F166*Rubric!$B$8+$G166*Rubric!$B$9+$H166*Rubric!$B$10)</f>
        <v/>
      </c>
      <c r="O166" s="38" t="str">
        <f aca="false">IF($A166="","",IF(OR(UPPER($I166)="Y",UPPER($J166)="Y"),"FAIL","PASS"))</f>
        <v/>
      </c>
      <c r="P166" s="39" t="str">
        <f aca="false">IF(OR($A166="",$L166=""),"",MAX(0,$L166-MAX($L166*Assumptions!$B$4,Assumptions!$B$5)))</f>
        <v/>
      </c>
      <c r="Q166" s="40" t="str">
        <f aca="false">IF($A166="","",Assumptions!$B$13)</f>
        <v/>
      </c>
      <c r="R166" s="39" t="str">
        <f aca="false">IF(OR($A166="",$M166=""),"",$M166*Assumptions!$B$7)</f>
        <v/>
      </c>
      <c r="S166" s="39" t="str">
        <f aca="false">IF(OR($A166="",$P166="",$R166=""),"",MAX(0,$P166*$Q166-$R166))</f>
        <v/>
      </c>
      <c r="T166" s="38" t="str">
        <f aca="false">IF($A166="","",IF($O166="FAIL","REJECT",IF($N166&gt;=4,IF(AND($K166&lt;&gt;"",$K166&gt;$S166),"BUY IF CHEAPER","BUY"),IF($N166&gt;=3.2,"WATCH","PASS"))))</f>
        <v/>
      </c>
      <c r="U166" s="26"/>
      <c r="V166" s="33"/>
    </row>
    <row r="167" customFormat="false" ht="15" hidden="false" customHeight="true" outlineLevel="0" collapsed="false">
      <c r="A167" s="43"/>
      <c r="B167" s="34" t="str">
        <f aca="false">IF($A167="","",IF(ISERROR(FIND(".",$A167)),"",LOWER(MID($A167,FIND(CHAR(1),SUBSTITUTE($A167,".",CHAR(1),LEN($A167)-LEN(SUBSTITUTE($A167,".",""))))+1,LEN($A167)))))</f>
        <v/>
      </c>
      <c r="C167" s="35" t="str">
        <f aca="false">IF($B167="","",IFERROR(INDEX(Rubric!$B$15:$B$24,MATCH(LOWER($B167),Rubric!$A$15:$A$24,0)),INDEX(Rubric!$B$15:$B$24,MATCH("other",Rubric!$A$15:$A$24,0))))</f>
        <v/>
      </c>
      <c r="D167" s="26"/>
      <c r="E167" s="26"/>
      <c r="F167" s="26"/>
      <c r="G167" s="26"/>
      <c r="H167" s="26"/>
      <c r="I167" s="26"/>
      <c r="J167" s="26"/>
      <c r="K167" s="27"/>
      <c r="L167" s="27"/>
      <c r="M167" s="36" t="str">
        <f aca="false">IF($B167="","",IFERROR(INDEX(Rubric!$C$15:$C$24,MATCH(LOWER($B167),Rubric!$A$15:$A$24,0)),INDEX(Rubric!$C$15:$C$24,MATCH("other",Rubric!$A$15:$A$24,0))))</f>
        <v/>
      </c>
      <c r="N167" s="37" t="str">
        <f aca="false">IF(OR($A167="",$C167=""),"",$C167*Rubric!$B$5+$D167*Rubric!$B$6+$E167*Rubric!$B$7+$F167*Rubric!$B$8+$G167*Rubric!$B$9+$H167*Rubric!$B$10)</f>
        <v/>
      </c>
      <c r="O167" s="38" t="str">
        <f aca="false">IF($A167="","",IF(OR(UPPER($I167)="Y",UPPER($J167)="Y"),"FAIL","PASS"))</f>
        <v/>
      </c>
      <c r="P167" s="39" t="str">
        <f aca="false">IF(OR($A167="",$L167=""),"",MAX(0,$L167-MAX($L167*Assumptions!$B$4,Assumptions!$B$5)))</f>
        <v/>
      </c>
      <c r="Q167" s="40" t="str">
        <f aca="false">IF($A167="","",Assumptions!$B$13)</f>
        <v/>
      </c>
      <c r="R167" s="39" t="str">
        <f aca="false">IF(OR($A167="",$M167=""),"",$M167*Assumptions!$B$7)</f>
        <v/>
      </c>
      <c r="S167" s="39" t="str">
        <f aca="false">IF(OR($A167="",$P167="",$R167=""),"",MAX(0,$P167*$Q167-$R167))</f>
        <v/>
      </c>
      <c r="T167" s="38" t="str">
        <f aca="false">IF($A167="","",IF($O167="FAIL","REJECT",IF($N167&gt;=4,IF(AND($K167&lt;&gt;"",$K167&gt;$S167),"BUY IF CHEAPER","BUY"),IF($N167&gt;=3.2,"WATCH","PASS"))))</f>
        <v/>
      </c>
      <c r="U167" s="26"/>
      <c r="V167" s="33"/>
    </row>
    <row r="168" customFormat="false" ht="15" hidden="false" customHeight="true" outlineLevel="0" collapsed="false">
      <c r="A168" s="43"/>
      <c r="B168" s="34" t="str">
        <f aca="false">IF($A168="","",IF(ISERROR(FIND(".",$A168)),"",LOWER(MID($A168,FIND(CHAR(1),SUBSTITUTE($A168,".",CHAR(1),LEN($A168)-LEN(SUBSTITUTE($A168,".",""))))+1,LEN($A168)))))</f>
        <v/>
      </c>
      <c r="C168" s="35" t="str">
        <f aca="false">IF($B168="","",IFERROR(INDEX(Rubric!$B$15:$B$24,MATCH(LOWER($B168),Rubric!$A$15:$A$24,0)),INDEX(Rubric!$B$15:$B$24,MATCH("other",Rubric!$A$15:$A$24,0))))</f>
        <v/>
      </c>
      <c r="D168" s="26"/>
      <c r="E168" s="26"/>
      <c r="F168" s="26"/>
      <c r="G168" s="26"/>
      <c r="H168" s="26"/>
      <c r="I168" s="26"/>
      <c r="J168" s="26"/>
      <c r="K168" s="27"/>
      <c r="L168" s="27"/>
      <c r="M168" s="36" t="str">
        <f aca="false">IF($B168="","",IFERROR(INDEX(Rubric!$C$15:$C$24,MATCH(LOWER($B168),Rubric!$A$15:$A$24,0)),INDEX(Rubric!$C$15:$C$24,MATCH("other",Rubric!$A$15:$A$24,0))))</f>
        <v/>
      </c>
      <c r="N168" s="37" t="str">
        <f aca="false">IF(OR($A168="",$C168=""),"",$C168*Rubric!$B$5+$D168*Rubric!$B$6+$E168*Rubric!$B$7+$F168*Rubric!$B$8+$G168*Rubric!$B$9+$H168*Rubric!$B$10)</f>
        <v/>
      </c>
      <c r="O168" s="38" t="str">
        <f aca="false">IF($A168="","",IF(OR(UPPER($I168)="Y",UPPER($J168)="Y"),"FAIL","PASS"))</f>
        <v/>
      </c>
      <c r="P168" s="39" t="str">
        <f aca="false">IF(OR($A168="",$L168=""),"",MAX(0,$L168-MAX($L168*Assumptions!$B$4,Assumptions!$B$5)))</f>
        <v/>
      </c>
      <c r="Q168" s="40" t="str">
        <f aca="false">IF($A168="","",Assumptions!$B$13)</f>
        <v/>
      </c>
      <c r="R168" s="39" t="str">
        <f aca="false">IF(OR($A168="",$M168=""),"",$M168*Assumptions!$B$7)</f>
        <v/>
      </c>
      <c r="S168" s="39" t="str">
        <f aca="false">IF(OR($A168="",$P168="",$R168=""),"",MAX(0,$P168*$Q168-$R168))</f>
        <v/>
      </c>
      <c r="T168" s="38" t="str">
        <f aca="false">IF($A168="","",IF($O168="FAIL","REJECT",IF($N168&gt;=4,IF(AND($K168&lt;&gt;"",$K168&gt;$S168),"BUY IF CHEAPER","BUY"),IF($N168&gt;=3.2,"WATCH","PASS"))))</f>
        <v/>
      </c>
      <c r="U168" s="26"/>
      <c r="V168" s="33"/>
    </row>
    <row r="169" customFormat="false" ht="15" hidden="false" customHeight="true" outlineLevel="0" collapsed="false">
      <c r="A169" s="43"/>
      <c r="B169" s="34" t="str">
        <f aca="false">IF($A169="","",IF(ISERROR(FIND(".",$A169)),"",LOWER(MID($A169,FIND(CHAR(1),SUBSTITUTE($A169,".",CHAR(1),LEN($A169)-LEN(SUBSTITUTE($A169,".",""))))+1,LEN($A169)))))</f>
        <v/>
      </c>
      <c r="C169" s="35" t="str">
        <f aca="false">IF($B169="","",IFERROR(INDEX(Rubric!$B$15:$B$24,MATCH(LOWER($B169),Rubric!$A$15:$A$24,0)),INDEX(Rubric!$B$15:$B$24,MATCH("other",Rubric!$A$15:$A$24,0))))</f>
        <v/>
      </c>
      <c r="D169" s="26"/>
      <c r="E169" s="26"/>
      <c r="F169" s="26"/>
      <c r="G169" s="26"/>
      <c r="H169" s="26"/>
      <c r="I169" s="26"/>
      <c r="J169" s="26"/>
      <c r="K169" s="27"/>
      <c r="L169" s="27"/>
      <c r="M169" s="36" t="str">
        <f aca="false">IF($B169="","",IFERROR(INDEX(Rubric!$C$15:$C$24,MATCH(LOWER($B169),Rubric!$A$15:$A$24,0)),INDEX(Rubric!$C$15:$C$24,MATCH("other",Rubric!$A$15:$A$24,0))))</f>
        <v/>
      </c>
      <c r="N169" s="37" t="str">
        <f aca="false">IF(OR($A169="",$C169=""),"",$C169*Rubric!$B$5+$D169*Rubric!$B$6+$E169*Rubric!$B$7+$F169*Rubric!$B$8+$G169*Rubric!$B$9+$H169*Rubric!$B$10)</f>
        <v/>
      </c>
      <c r="O169" s="38" t="str">
        <f aca="false">IF($A169="","",IF(OR(UPPER($I169)="Y",UPPER($J169)="Y"),"FAIL","PASS"))</f>
        <v/>
      </c>
      <c r="P169" s="39" t="str">
        <f aca="false">IF(OR($A169="",$L169=""),"",MAX(0,$L169-MAX($L169*Assumptions!$B$4,Assumptions!$B$5)))</f>
        <v/>
      </c>
      <c r="Q169" s="40" t="str">
        <f aca="false">IF($A169="","",Assumptions!$B$13)</f>
        <v/>
      </c>
      <c r="R169" s="39" t="str">
        <f aca="false">IF(OR($A169="",$M169=""),"",$M169*Assumptions!$B$7)</f>
        <v/>
      </c>
      <c r="S169" s="39" t="str">
        <f aca="false">IF(OR($A169="",$P169="",$R169=""),"",MAX(0,$P169*$Q169-$R169))</f>
        <v/>
      </c>
      <c r="T169" s="38" t="str">
        <f aca="false">IF($A169="","",IF($O169="FAIL","REJECT",IF($N169&gt;=4,IF(AND($K169&lt;&gt;"",$K169&gt;$S169),"BUY IF CHEAPER","BUY"),IF($N169&gt;=3.2,"WATCH","PASS"))))</f>
        <v/>
      </c>
      <c r="U169" s="26"/>
      <c r="V169" s="33"/>
    </row>
    <row r="170" customFormat="false" ht="15" hidden="false" customHeight="true" outlineLevel="0" collapsed="false">
      <c r="A170" s="43"/>
      <c r="B170" s="34" t="str">
        <f aca="false">IF($A170="","",IF(ISERROR(FIND(".",$A170)),"",LOWER(MID($A170,FIND(CHAR(1),SUBSTITUTE($A170,".",CHAR(1),LEN($A170)-LEN(SUBSTITUTE($A170,".",""))))+1,LEN($A170)))))</f>
        <v/>
      </c>
      <c r="C170" s="35" t="str">
        <f aca="false">IF($B170="","",IFERROR(INDEX(Rubric!$B$15:$B$24,MATCH(LOWER($B170),Rubric!$A$15:$A$24,0)),INDEX(Rubric!$B$15:$B$24,MATCH("other",Rubric!$A$15:$A$24,0))))</f>
        <v/>
      </c>
      <c r="D170" s="26"/>
      <c r="E170" s="26"/>
      <c r="F170" s="26"/>
      <c r="G170" s="26"/>
      <c r="H170" s="26"/>
      <c r="I170" s="26"/>
      <c r="J170" s="26"/>
      <c r="K170" s="27"/>
      <c r="L170" s="27"/>
      <c r="M170" s="36" t="str">
        <f aca="false">IF($B170="","",IFERROR(INDEX(Rubric!$C$15:$C$24,MATCH(LOWER($B170),Rubric!$A$15:$A$24,0)),INDEX(Rubric!$C$15:$C$24,MATCH("other",Rubric!$A$15:$A$24,0))))</f>
        <v/>
      </c>
      <c r="N170" s="37" t="str">
        <f aca="false">IF(OR($A170="",$C170=""),"",$C170*Rubric!$B$5+$D170*Rubric!$B$6+$E170*Rubric!$B$7+$F170*Rubric!$B$8+$G170*Rubric!$B$9+$H170*Rubric!$B$10)</f>
        <v/>
      </c>
      <c r="O170" s="38" t="str">
        <f aca="false">IF($A170="","",IF(OR(UPPER($I170)="Y",UPPER($J170)="Y"),"FAIL","PASS"))</f>
        <v/>
      </c>
      <c r="P170" s="39" t="str">
        <f aca="false">IF(OR($A170="",$L170=""),"",MAX(0,$L170-MAX($L170*Assumptions!$B$4,Assumptions!$B$5)))</f>
        <v/>
      </c>
      <c r="Q170" s="40" t="str">
        <f aca="false">IF($A170="","",Assumptions!$B$13)</f>
        <v/>
      </c>
      <c r="R170" s="39" t="str">
        <f aca="false">IF(OR($A170="",$M170=""),"",$M170*Assumptions!$B$7)</f>
        <v/>
      </c>
      <c r="S170" s="39" t="str">
        <f aca="false">IF(OR($A170="",$P170="",$R170=""),"",MAX(0,$P170*$Q170-$R170))</f>
        <v/>
      </c>
      <c r="T170" s="38" t="str">
        <f aca="false">IF($A170="","",IF($O170="FAIL","REJECT",IF($N170&gt;=4,IF(AND($K170&lt;&gt;"",$K170&gt;$S170),"BUY IF CHEAPER","BUY"),IF($N170&gt;=3.2,"WATCH","PASS"))))</f>
        <v/>
      </c>
      <c r="U170" s="26"/>
      <c r="V170" s="33"/>
    </row>
    <row r="171" customFormat="false" ht="15" hidden="false" customHeight="true" outlineLevel="0" collapsed="false">
      <c r="A171" s="43"/>
      <c r="B171" s="34" t="str">
        <f aca="false">IF($A171="","",IF(ISERROR(FIND(".",$A171)),"",LOWER(MID($A171,FIND(CHAR(1),SUBSTITUTE($A171,".",CHAR(1),LEN($A171)-LEN(SUBSTITUTE($A171,".",""))))+1,LEN($A171)))))</f>
        <v/>
      </c>
      <c r="C171" s="35" t="str">
        <f aca="false">IF($B171="","",IFERROR(INDEX(Rubric!$B$15:$B$24,MATCH(LOWER($B171),Rubric!$A$15:$A$24,0)),INDEX(Rubric!$B$15:$B$24,MATCH("other",Rubric!$A$15:$A$24,0))))</f>
        <v/>
      </c>
      <c r="D171" s="26"/>
      <c r="E171" s="26"/>
      <c r="F171" s="26"/>
      <c r="G171" s="26"/>
      <c r="H171" s="26"/>
      <c r="I171" s="26"/>
      <c r="J171" s="26"/>
      <c r="K171" s="27"/>
      <c r="L171" s="27"/>
      <c r="M171" s="36" t="str">
        <f aca="false">IF($B171="","",IFERROR(INDEX(Rubric!$C$15:$C$24,MATCH(LOWER($B171),Rubric!$A$15:$A$24,0)),INDEX(Rubric!$C$15:$C$24,MATCH("other",Rubric!$A$15:$A$24,0))))</f>
        <v/>
      </c>
      <c r="N171" s="37" t="str">
        <f aca="false">IF(OR($A171="",$C171=""),"",$C171*Rubric!$B$5+$D171*Rubric!$B$6+$E171*Rubric!$B$7+$F171*Rubric!$B$8+$G171*Rubric!$B$9+$H171*Rubric!$B$10)</f>
        <v/>
      </c>
      <c r="O171" s="38" t="str">
        <f aca="false">IF($A171="","",IF(OR(UPPER($I171)="Y",UPPER($J171)="Y"),"FAIL","PASS"))</f>
        <v/>
      </c>
      <c r="P171" s="39" t="str">
        <f aca="false">IF(OR($A171="",$L171=""),"",MAX(0,$L171-MAX($L171*Assumptions!$B$4,Assumptions!$B$5)))</f>
        <v/>
      </c>
      <c r="Q171" s="40" t="str">
        <f aca="false">IF($A171="","",Assumptions!$B$13)</f>
        <v/>
      </c>
      <c r="R171" s="39" t="str">
        <f aca="false">IF(OR($A171="",$M171=""),"",$M171*Assumptions!$B$7)</f>
        <v/>
      </c>
      <c r="S171" s="39" t="str">
        <f aca="false">IF(OR($A171="",$P171="",$R171=""),"",MAX(0,$P171*$Q171-$R171))</f>
        <v/>
      </c>
      <c r="T171" s="38" t="str">
        <f aca="false">IF($A171="","",IF($O171="FAIL","REJECT",IF($N171&gt;=4,IF(AND($K171&lt;&gt;"",$K171&gt;$S171),"BUY IF CHEAPER","BUY"),IF($N171&gt;=3.2,"WATCH","PASS"))))</f>
        <v/>
      </c>
      <c r="U171" s="26"/>
      <c r="V171" s="33"/>
    </row>
    <row r="172" customFormat="false" ht="15" hidden="false" customHeight="true" outlineLevel="0" collapsed="false">
      <c r="A172" s="43"/>
      <c r="B172" s="34" t="str">
        <f aca="false">IF($A172="","",IF(ISERROR(FIND(".",$A172)),"",LOWER(MID($A172,FIND(CHAR(1),SUBSTITUTE($A172,".",CHAR(1),LEN($A172)-LEN(SUBSTITUTE($A172,".",""))))+1,LEN($A172)))))</f>
        <v/>
      </c>
      <c r="C172" s="35" t="str">
        <f aca="false">IF($B172="","",IFERROR(INDEX(Rubric!$B$15:$B$24,MATCH(LOWER($B172),Rubric!$A$15:$A$24,0)),INDEX(Rubric!$B$15:$B$24,MATCH("other",Rubric!$A$15:$A$24,0))))</f>
        <v/>
      </c>
      <c r="D172" s="26"/>
      <c r="E172" s="26"/>
      <c r="F172" s="26"/>
      <c r="G172" s="26"/>
      <c r="H172" s="26"/>
      <c r="I172" s="26"/>
      <c r="J172" s="26"/>
      <c r="K172" s="27"/>
      <c r="L172" s="27"/>
      <c r="M172" s="36" t="str">
        <f aca="false">IF($B172="","",IFERROR(INDEX(Rubric!$C$15:$C$24,MATCH(LOWER($B172),Rubric!$A$15:$A$24,0)),INDEX(Rubric!$C$15:$C$24,MATCH("other",Rubric!$A$15:$A$24,0))))</f>
        <v/>
      </c>
      <c r="N172" s="37" t="str">
        <f aca="false">IF(OR($A172="",$C172=""),"",$C172*Rubric!$B$5+$D172*Rubric!$B$6+$E172*Rubric!$B$7+$F172*Rubric!$B$8+$G172*Rubric!$B$9+$H172*Rubric!$B$10)</f>
        <v/>
      </c>
      <c r="O172" s="38" t="str">
        <f aca="false">IF($A172="","",IF(OR(UPPER($I172)="Y",UPPER($J172)="Y"),"FAIL","PASS"))</f>
        <v/>
      </c>
      <c r="P172" s="39" t="str">
        <f aca="false">IF(OR($A172="",$L172=""),"",MAX(0,$L172-MAX($L172*Assumptions!$B$4,Assumptions!$B$5)))</f>
        <v/>
      </c>
      <c r="Q172" s="40" t="str">
        <f aca="false">IF($A172="","",Assumptions!$B$13)</f>
        <v/>
      </c>
      <c r="R172" s="39" t="str">
        <f aca="false">IF(OR($A172="",$M172=""),"",$M172*Assumptions!$B$7)</f>
        <v/>
      </c>
      <c r="S172" s="39" t="str">
        <f aca="false">IF(OR($A172="",$P172="",$R172=""),"",MAX(0,$P172*$Q172-$R172))</f>
        <v/>
      </c>
      <c r="T172" s="38" t="str">
        <f aca="false">IF($A172="","",IF($O172="FAIL","REJECT",IF($N172&gt;=4,IF(AND($K172&lt;&gt;"",$K172&gt;$S172),"BUY IF CHEAPER","BUY"),IF($N172&gt;=3.2,"WATCH","PASS"))))</f>
        <v/>
      </c>
      <c r="U172" s="26"/>
      <c r="V172" s="33"/>
    </row>
    <row r="173" customFormat="false" ht="15" hidden="false" customHeight="true" outlineLevel="0" collapsed="false">
      <c r="A173" s="43"/>
      <c r="B173" s="34" t="str">
        <f aca="false">IF($A173="","",IF(ISERROR(FIND(".",$A173)),"",LOWER(MID($A173,FIND(CHAR(1),SUBSTITUTE($A173,".",CHAR(1),LEN($A173)-LEN(SUBSTITUTE($A173,".",""))))+1,LEN($A173)))))</f>
        <v/>
      </c>
      <c r="C173" s="35" t="str">
        <f aca="false">IF($B173="","",IFERROR(INDEX(Rubric!$B$15:$B$24,MATCH(LOWER($B173),Rubric!$A$15:$A$24,0)),INDEX(Rubric!$B$15:$B$24,MATCH("other",Rubric!$A$15:$A$24,0))))</f>
        <v/>
      </c>
      <c r="D173" s="26"/>
      <c r="E173" s="26"/>
      <c r="F173" s="26"/>
      <c r="G173" s="26"/>
      <c r="H173" s="26"/>
      <c r="I173" s="26"/>
      <c r="J173" s="26"/>
      <c r="K173" s="27"/>
      <c r="L173" s="27"/>
      <c r="M173" s="36" t="str">
        <f aca="false">IF($B173="","",IFERROR(INDEX(Rubric!$C$15:$C$24,MATCH(LOWER($B173),Rubric!$A$15:$A$24,0)),INDEX(Rubric!$C$15:$C$24,MATCH("other",Rubric!$A$15:$A$24,0))))</f>
        <v/>
      </c>
      <c r="N173" s="37" t="str">
        <f aca="false">IF(OR($A173="",$C173=""),"",$C173*Rubric!$B$5+$D173*Rubric!$B$6+$E173*Rubric!$B$7+$F173*Rubric!$B$8+$G173*Rubric!$B$9+$H173*Rubric!$B$10)</f>
        <v/>
      </c>
      <c r="O173" s="38" t="str">
        <f aca="false">IF($A173="","",IF(OR(UPPER($I173)="Y",UPPER($J173)="Y"),"FAIL","PASS"))</f>
        <v/>
      </c>
      <c r="P173" s="39" t="str">
        <f aca="false">IF(OR($A173="",$L173=""),"",MAX(0,$L173-MAX($L173*Assumptions!$B$4,Assumptions!$B$5)))</f>
        <v/>
      </c>
      <c r="Q173" s="40" t="str">
        <f aca="false">IF($A173="","",Assumptions!$B$13)</f>
        <v/>
      </c>
      <c r="R173" s="39" t="str">
        <f aca="false">IF(OR($A173="",$M173=""),"",$M173*Assumptions!$B$7)</f>
        <v/>
      </c>
      <c r="S173" s="39" t="str">
        <f aca="false">IF(OR($A173="",$P173="",$R173=""),"",MAX(0,$P173*$Q173-$R173))</f>
        <v/>
      </c>
      <c r="T173" s="38" t="str">
        <f aca="false">IF($A173="","",IF($O173="FAIL","REJECT",IF($N173&gt;=4,IF(AND($K173&lt;&gt;"",$K173&gt;$S173),"BUY IF CHEAPER","BUY"),IF($N173&gt;=3.2,"WATCH","PASS"))))</f>
        <v/>
      </c>
      <c r="U173" s="26"/>
      <c r="V173" s="33"/>
    </row>
    <row r="174" customFormat="false" ht="15" hidden="false" customHeight="true" outlineLevel="0" collapsed="false">
      <c r="A174" s="43"/>
      <c r="B174" s="34" t="str">
        <f aca="false">IF($A174="","",IF(ISERROR(FIND(".",$A174)),"",LOWER(MID($A174,FIND(CHAR(1),SUBSTITUTE($A174,".",CHAR(1),LEN($A174)-LEN(SUBSTITUTE($A174,".",""))))+1,LEN($A174)))))</f>
        <v/>
      </c>
      <c r="C174" s="35" t="str">
        <f aca="false">IF($B174="","",IFERROR(INDEX(Rubric!$B$15:$B$24,MATCH(LOWER($B174),Rubric!$A$15:$A$24,0)),INDEX(Rubric!$B$15:$B$24,MATCH("other",Rubric!$A$15:$A$24,0))))</f>
        <v/>
      </c>
      <c r="D174" s="26"/>
      <c r="E174" s="26"/>
      <c r="F174" s="26"/>
      <c r="G174" s="26"/>
      <c r="H174" s="26"/>
      <c r="I174" s="26"/>
      <c r="J174" s="26"/>
      <c r="K174" s="27"/>
      <c r="L174" s="27"/>
      <c r="M174" s="36" t="str">
        <f aca="false">IF($B174="","",IFERROR(INDEX(Rubric!$C$15:$C$24,MATCH(LOWER($B174),Rubric!$A$15:$A$24,0)),INDEX(Rubric!$C$15:$C$24,MATCH("other",Rubric!$A$15:$A$24,0))))</f>
        <v/>
      </c>
      <c r="N174" s="37" t="str">
        <f aca="false">IF(OR($A174="",$C174=""),"",$C174*Rubric!$B$5+$D174*Rubric!$B$6+$E174*Rubric!$B$7+$F174*Rubric!$B$8+$G174*Rubric!$B$9+$H174*Rubric!$B$10)</f>
        <v/>
      </c>
      <c r="O174" s="38" t="str">
        <f aca="false">IF($A174="","",IF(OR(UPPER($I174)="Y",UPPER($J174)="Y"),"FAIL","PASS"))</f>
        <v/>
      </c>
      <c r="P174" s="39" t="str">
        <f aca="false">IF(OR($A174="",$L174=""),"",MAX(0,$L174-MAX($L174*Assumptions!$B$4,Assumptions!$B$5)))</f>
        <v/>
      </c>
      <c r="Q174" s="40" t="str">
        <f aca="false">IF($A174="","",Assumptions!$B$13)</f>
        <v/>
      </c>
      <c r="R174" s="39" t="str">
        <f aca="false">IF(OR($A174="",$M174=""),"",$M174*Assumptions!$B$7)</f>
        <v/>
      </c>
      <c r="S174" s="39" t="str">
        <f aca="false">IF(OR($A174="",$P174="",$R174=""),"",MAX(0,$P174*$Q174-$R174))</f>
        <v/>
      </c>
      <c r="T174" s="38" t="str">
        <f aca="false">IF($A174="","",IF($O174="FAIL","REJECT",IF($N174&gt;=4,IF(AND($K174&lt;&gt;"",$K174&gt;$S174),"BUY IF CHEAPER","BUY"),IF($N174&gt;=3.2,"WATCH","PASS"))))</f>
        <v/>
      </c>
      <c r="U174" s="26"/>
      <c r="V174" s="33"/>
    </row>
    <row r="175" customFormat="false" ht="15" hidden="false" customHeight="true" outlineLevel="0" collapsed="false">
      <c r="A175" s="43"/>
      <c r="B175" s="34" t="str">
        <f aca="false">IF($A175="","",IF(ISERROR(FIND(".",$A175)),"",LOWER(MID($A175,FIND(CHAR(1),SUBSTITUTE($A175,".",CHAR(1),LEN($A175)-LEN(SUBSTITUTE($A175,".",""))))+1,LEN($A175)))))</f>
        <v/>
      </c>
      <c r="C175" s="35" t="str">
        <f aca="false">IF($B175="","",IFERROR(INDEX(Rubric!$B$15:$B$24,MATCH(LOWER($B175),Rubric!$A$15:$A$24,0)),INDEX(Rubric!$B$15:$B$24,MATCH("other",Rubric!$A$15:$A$24,0))))</f>
        <v/>
      </c>
      <c r="D175" s="26"/>
      <c r="E175" s="26"/>
      <c r="F175" s="26"/>
      <c r="G175" s="26"/>
      <c r="H175" s="26"/>
      <c r="I175" s="26"/>
      <c r="J175" s="26"/>
      <c r="K175" s="27"/>
      <c r="L175" s="27"/>
      <c r="M175" s="36" t="str">
        <f aca="false">IF($B175="","",IFERROR(INDEX(Rubric!$C$15:$C$24,MATCH(LOWER($B175),Rubric!$A$15:$A$24,0)),INDEX(Rubric!$C$15:$C$24,MATCH("other",Rubric!$A$15:$A$24,0))))</f>
        <v/>
      </c>
      <c r="N175" s="37" t="str">
        <f aca="false">IF(OR($A175="",$C175=""),"",$C175*Rubric!$B$5+$D175*Rubric!$B$6+$E175*Rubric!$B$7+$F175*Rubric!$B$8+$G175*Rubric!$B$9+$H175*Rubric!$B$10)</f>
        <v/>
      </c>
      <c r="O175" s="38" t="str">
        <f aca="false">IF($A175="","",IF(OR(UPPER($I175)="Y",UPPER($J175)="Y"),"FAIL","PASS"))</f>
        <v/>
      </c>
      <c r="P175" s="39" t="str">
        <f aca="false">IF(OR($A175="",$L175=""),"",MAX(0,$L175-MAX($L175*Assumptions!$B$4,Assumptions!$B$5)))</f>
        <v/>
      </c>
      <c r="Q175" s="40" t="str">
        <f aca="false">IF($A175="","",Assumptions!$B$13)</f>
        <v/>
      </c>
      <c r="R175" s="39" t="str">
        <f aca="false">IF(OR($A175="",$M175=""),"",$M175*Assumptions!$B$7)</f>
        <v/>
      </c>
      <c r="S175" s="39" t="str">
        <f aca="false">IF(OR($A175="",$P175="",$R175=""),"",MAX(0,$P175*$Q175-$R175))</f>
        <v/>
      </c>
      <c r="T175" s="38" t="str">
        <f aca="false">IF($A175="","",IF($O175="FAIL","REJECT",IF($N175&gt;=4,IF(AND($K175&lt;&gt;"",$K175&gt;$S175),"BUY IF CHEAPER","BUY"),IF($N175&gt;=3.2,"WATCH","PASS"))))</f>
        <v/>
      </c>
      <c r="U175" s="26"/>
      <c r="V175" s="33"/>
    </row>
    <row r="176" customFormat="false" ht="15" hidden="false" customHeight="true" outlineLevel="0" collapsed="false">
      <c r="A176" s="43"/>
      <c r="B176" s="34" t="str">
        <f aca="false">IF($A176="","",IF(ISERROR(FIND(".",$A176)),"",LOWER(MID($A176,FIND(CHAR(1),SUBSTITUTE($A176,".",CHAR(1),LEN($A176)-LEN(SUBSTITUTE($A176,".",""))))+1,LEN($A176)))))</f>
        <v/>
      </c>
      <c r="C176" s="35" t="str">
        <f aca="false">IF($B176="","",IFERROR(INDEX(Rubric!$B$15:$B$24,MATCH(LOWER($B176),Rubric!$A$15:$A$24,0)),INDEX(Rubric!$B$15:$B$24,MATCH("other",Rubric!$A$15:$A$24,0))))</f>
        <v/>
      </c>
      <c r="D176" s="26"/>
      <c r="E176" s="26"/>
      <c r="F176" s="26"/>
      <c r="G176" s="26"/>
      <c r="H176" s="26"/>
      <c r="I176" s="26"/>
      <c r="J176" s="26"/>
      <c r="K176" s="27"/>
      <c r="L176" s="27"/>
      <c r="M176" s="36" t="str">
        <f aca="false">IF($B176="","",IFERROR(INDEX(Rubric!$C$15:$C$24,MATCH(LOWER($B176),Rubric!$A$15:$A$24,0)),INDEX(Rubric!$C$15:$C$24,MATCH("other",Rubric!$A$15:$A$24,0))))</f>
        <v/>
      </c>
      <c r="N176" s="37" t="str">
        <f aca="false">IF(OR($A176="",$C176=""),"",$C176*Rubric!$B$5+$D176*Rubric!$B$6+$E176*Rubric!$B$7+$F176*Rubric!$B$8+$G176*Rubric!$B$9+$H176*Rubric!$B$10)</f>
        <v/>
      </c>
      <c r="O176" s="38" t="str">
        <f aca="false">IF($A176="","",IF(OR(UPPER($I176)="Y",UPPER($J176)="Y"),"FAIL","PASS"))</f>
        <v/>
      </c>
      <c r="P176" s="39" t="str">
        <f aca="false">IF(OR($A176="",$L176=""),"",MAX(0,$L176-MAX($L176*Assumptions!$B$4,Assumptions!$B$5)))</f>
        <v/>
      </c>
      <c r="Q176" s="40" t="str">
        <f aca="false">IF($A176="","",Assumptions!$B$13)</f>
        <v/>
      </c>
      <c r="R176" s="39" t="str">
        <f aca="false">IF(OR($A176="",$M176=""),"",$M176*Assumptions!$B$7)</f>
        <v/>
      </c>
      <c r="S176" s="39" t="str">
        <f aca="false">IF(OR($A176="",$P176="",$R176=""),"",MAX(0,$P176*$Q176-$R176))</f>
        <v/>
      </c>
      <c r="T176" s="38" t="str">
        <f aca="false">IF($A176="","",IF($O176="FAIL","REJECT",IF($N176&gt;=4,IF(AND($K176&lt;&gt;"",$K176&gt;$S176),"BUY IF CHEAPER","BUY"),IF($N176&gt;=3.2,"WATCH","PASS"))))</f>
        <v/>
      </c>
      <c r="U176" s="26"/>
      <c r="V176" s="33"/>
    </row>
    <row r="177" customFormat="false" ht="15" hidden="false" customHeight="true" outlineLevel="0" collapsed="false">
      <c r="A177" s="43"/>
      <c r="B177" s="34" t="str">
        <f aca="false">IF($A177="","",IF(ISERROR(FIND(".",$A177)),"",LOWER(MID($A177,FIND(CHAR(1),SUBSTITUTE($A177,".",CHAR(1),LEN($A177)-LEN(SUBSTITUTE($A177,".",""))))+1,LEN($A177)))))</f>
        <v/>
      </c>
      <c r="C177" s="35" t="str">
        <f aca="false">IF($B177="","",IFERROR(INDEX(Rubric!$B$15:$B$24,MATCH(LOWER($B177),Rubric!$A$15:$A$24,0)),INDEX(Rubric!$B$15:$B$24,MATCH("other",Rubric!$A$15:$A$24,0))))</f>
        <v/>
      </c>
      <c r="D177" s="26"/>
      <c r="E177" s="26"/>
      <c r="F177" s="26"/>
      <c r="G177" s="26"/>
      <c r="H177" s="26"/>
      <c r="I177" s="26"/>
      <c r="J177" s="26"/>
      <c r="K177" s="27"/>
      <c r="L177" s="27"/>
      <c r="M177" s="36" t="str">
        <f aca="false">IF($B177="","",IFERROR(INDEX(Rubric!$C$15:$C$24,MATCH(LOWER($B177),Rubric!$A$15:$A$24,0)),INDEX(Rubric!$C$15:$C$24,MATCH("other",Rubric!$A$15:$A$24,0))))</f>
        <v/>
      </c>
      <c r="N177" s="37" t="str">
        <f aca="false">IF(OR($A177="",$C177=""),"",$C177*Rubric!$B$5+$D177*Rubric!$B$6+$E177*Rubric!$B$7+$F177*Rubric!$B$8+$G177*Rubric!$B$9+$H177*Rubric!$B$10)</f>
        <v/>
      </c>
      <c r="O177" s="38" t="str">
        <f aca="false">IF($A177="","",IF(OR(UPPER($I177)="Y",UPPER($J177)="Y"),"FAIL","PASS"))</f>
        <v/>
      </c>
      <c r="P177" s="39" t="str">
        <f aca="false">IF(OR($A177="",$L177=""),"",MAX(0,$L177-MAX($L177*Assumptions!$B$4,Assumptions!$B$5)))</f>
        <v/>
      </c>
      <c r="Q177" s="40" t="str">
        <f aca="false">IF($A177="","",Assumptions!$B$13)</f>
        <v/>
      </c>
      <c r="R177" s="39" t="str">
        <f aca="false">IF(OR($A177="",$M177=""),"",$M177*Assumptions!$B$7)</f>
        <v/>
      </c>
      <c r="S177" s="39" t="str">
        <f aca="false">IF(OR($A177="",$P177="",$R177=""),"",MAX(0,$P177*$Q177-$R177))</f>
        <v/>
      </c>
      <c r="T177" s="38" t="str">
        <f aca="false">IF($A177="","",IF($O177="FAIL","REJECT",IF($N177&gt;=4,IF(AND($K177&lt;&gt;"",$K177&gt;$S177),"BUY IF CHEAPER","BUY"),IF($N177&gt;=3.2,"WATCH","PASS"))))</f>
        <v/>
      </c>
      <c r="U177" s="26"/>
      <c r="V177" s="33"/>
    </row>
    <row r="178" customFormat="false" ht="15" hidden="false" customHeight="true" outlineLevel="0" collapsed="false">
      <c r="A178" s="43"/>
      <c r="B178" s="34" t="str">
        <f aca="false">IF($A178="","",IF(ISERROR(FIND(".",$A178)),"",LOWER(MID($A178,FIND(CHAR(1),SUBSTITUTE($A178,".",CHAR(1),LEN($A178)-LEN(SUBSTITUTE($A178,".",""))))+1,LEN($A178)))))</f>
        <v/>
      </c>
      <c r="C178" s="35" t="str">
        <f aca="false">IF($B178="","",IFERROR(INDEX(Rubric!$B$15:$B$24,MATCH(LOWER($B178),Rubric!$A$15:$A$24,0)),INDEX(Rubric!$B$15:$B$24,MATCH("other",Rubric!$A$15:$A$24,0))))</f>
        <v/>
      </c>
      <c r="D178" s="26"/>
      <c r="E178" s="26"/>
      <c r="F178" s="26"/>
      <c r="G178" s="26"/>
      <c r="H178" s="26"/>
      <c r="I178" s="26"/>
      <c r="J178" s="26"/>
      <c r="K178" s="27"/>
      <c r="L178" s="27"/>
      <c r="M178" s="36" t="str">
        <f aca="false">IF($B178="","",IFERROR(INDEX(Rubric!$C$15:$C$24,MATCH(LOWER($B178),Rubric!$A$15:$A$24,0)),INDEX(Rubric!$C$15:$C$24,MATCH("other",Rubric!$A$15:$A$24,0))))</f>
        <v/>
      </c>
      <c r="N178" s="37" t="str">
        <f aca="false">IF(OR($A178="",$C178=""),"",$C178*Rubric!$B$5+$D178*Rubric!$B$6+$E178*Rubric!$B$7+$F178*Rubric!$B$8+$G178*Rubric!$B$9+$H178*Rubric!$B$10)</f>
        <v/>
      </c>
      <c r="O178" s="38" t="str">
        <f aca="false">IF($A178="","",IF(OR(UPPER($I178)="Y",UPPER($J178)="Y"),"FAIL","PASS"))</f>
        <v/>
      </c>
      <c r="P178" s="39" t="str">
        <f aca="false">IF(OR($A178="",$L178=""),"",MAX(0,$L178-MAX($L178*Assumptions!$B$4,Assumptions!$B$5)))</f>
        <v/>
      </c>
      <c r="Q178" s="40" t="str">
        <f aca="false">IF($A178="","",Assumptions!$B$13)</f>
        <v/>
      </c>
      <c r="R178" s="39" t="str">
        <f aca="false">IF(OR($A178="",$M178=""),"",$M178*Assumptions!$B$7)</f>
        <v/>
      </c>
      <c r="S178" s="39" t="str">
        <f aca="false">IF(OR($A178="",$P178="",$R178=""),"",MAX(0,$P178*$Q178-$R178))</f>
        <v/>
      </c>
      <c r="T178" s="38" t="str">
        <f aca="false">IF($A178="","",IF($O178="FAIL","REJECT",IF($N178&gt;=4,IF(AND($K178&lt;&gt;"",$K178&gt;$S178),"BUY IF CHEAPER","BUY"),IF($N178&gt;=3.2,"WATCH","PASS"))))</f>
        <v/>
      </c>
      <c r="U178" s="26"/>
      <c r="V178" s="33"/>
    </row>
    <row r="179" customFormat="false" ht="15" hidden="false" customHeight="true" outlineLevel="0" collapsed="false">
      <c r="A179" s="43"/>
      <c r="B179" s="34" t="str">
        <f aca="false">IF($A179="","",IF(ISERROR(FIND(".",$A179)),"",LOWER(MID($A179,FIND(CHAR(1),SUBSTITUTE($A179,".",CHAR(1),LEN($A179)-LEN(SUBSTITUTE($A179,".",""))))+1,LEN($A179)))))</f>
        <v/>
      </c>
      <c r="C179" s="35" t="str">
        <f aca="false">IF($B179="","",IFERROR(INDEX(Rubric!$B$15:$B$24,MATCH(LOWER($B179),Rubric!$A$15:$A$24,0)),INDEX(Rubric!$B$15:$B$24,MATCH("other",Rubric!$A$15:$A$24,0))))</f>
        <v/>
      </c>
      <c r="D179" s="26"/>
      <c r="E179" s="26"/>
      <c r="F179" s="26"/>
      <c r="G179" s="26"/>
      <c r="H179" s="26"/>
      <c r="I179" s="26"/>
      <c r="J179" s="26"/>
      <c r="K179" s="27"/>
      <c r="L179" s="27"/>
      <c r="M179" s="36" t="str">
        <f aca="false">IF($B179="","",IFERROR(INDEX(Rubric!$C$15:$C$24,MATCH(LOWER($B179),Rubric!$A$15:$A$24,0)),INDEX(Rubric!$C$15:$C$24,MATCH("other",Rubric!$A$15:$A$24,0))))</f>
        <v/>
      </c>
      <c r="N179" s="37" t="str">
        <f aca="false">IF(OR($A179="",$C179=""),"",$C179*Rubric!$B$5+$D179*Rubric!$B$6+$E179*Rubric!$B$7+$F179*Rubric!$B$8+$G179*Rubric!$B$9+$H179*Rubric!$B$10)</f>
        <v/>
      </c>
      <c r="O179" s="38" t="str">
        <f aca="false">IF($A179="","",IF(OR(UPPER($I179)="Y",UPPER($J179)="Y"),"FAIL","PASS"))</f>
        <v/>
      </c>
      <c r="P179" s="39" t="str">
        <f aca="false">IF(OR($A179="",$L179=""),"",MAX(0,$L179-MAX($L179*Assumptions!$B$4,Assumptions!$B$5)))</f>
        <v/>
      </c>
      <c r="Q179" s="40" t="str">
        <f aca="false">IF($A179="","",Assumptions!$B$13)</f>
        <v/>
      </c>
      <c r="R179" s="39" t="str">
        <f aca="false">IF(OR($A179="",$M179=""),"",$M179*Assumptions!$B$7)</f>
        <v/>
      </c>
      <c r="S179" s="39" t="str">
        <f aca="false">IF(OR($A179="",$P179="",$R179=""),"",MAX(0,$P179*$Q179-$R179))</f>
        <v/>
      </c>
      <c r="T179" s="38" t="str">
        <f aca="false">IF($A179="","",IF($O179="FAIL","REJECT",IF($N179&gt;=4,IF(AND($K179&lt;&gt;"",$K179&gt;$S179),"BUY IF CHEAPER","BUY"),IF($N179&gt;=3.2,"WATCH","PASS"))))</f>
        <v/>
      </c>
      <c r="U179" s="26"/>
      <c r="V179" s="33"/>
    </row>
    <row r="180" customFormat="false" ht="15" hidden="false" customHeight="true" outlineLevel="0" collapsed="false">
      <c r="A180" s="43"/>
      <c r="B180" s="34" t="str">
        <f aca="false">IF($A180="","",IF(ISERROR(FIND(".",$A180)),"",LOWER(MID($A180,FIND(CHAR(1),SUBSTITUTE($A180,".",CHAR(1),LEN($A180)-LEN(SUBSTITUTE($A180,".",""))))+1,LEN($A180)))))</f>
        <v/>
      </c>
      <c r="C180" s="35" t="str">
        <f aca="false">IF($B180="","",IFERROR(INDEX(Rubric!$B$15:$B$24,MATCH(LOWER($B180),Rubric!$A$15:$A$24,0)),INDEX(Rubric!$B$15:$B$24,MATCH("other",Rubric!$A$15:$A$24,0))))</f>
        <v/>
      </c>
      <c r="D180" s="26"/>
      <c r="E180" s="26"/>
      <c r="F180" s="26"/>
      <c r="G180" s="26"/>
      <c r="H180" s="26"/>
      <c r="I180" s="26"/>
      <c r="J180" s="26"/>
      <c r="K180" s="27"/>
      <c r="L180" s="27"/>
      <c r="M180" s="36" t="str">
        <f aca="false">IF($B180="","",IFERROR(INDEX(Rubric!$C$15:$C$24,MATCH(LOWER($B180),Rubric!$A$15:$A$24,0)),INDEX(Rubric!$C$15:$C$24,MATCH("other",Rubric!$A$15:$A$24,0))))</f>
        <v/>
      </c>
      <c r="N180" s="37" t="str">
        <f aca="false">IF(OR($A180="",$C180=""),"",$C180*Rubric!$B$5+$D180*Rubric!$B$6+$E180*Rubric!$B$7+$F180*Rubric!$B$8+$G180*Rubric!$B$9+$H180*Rubric!$B$10)</f>
        <v/>
      </c>
      <c r="O180" s="38" t="str">
        <f aca="false">IF($A180="","",IF(OR(UPPER($I180)="Y",UPPER($J180)="Y"),"FAIL","PASS"))</f>
        <v/>
      </c>
      <c r="P180" s="39" t="str">
        <f aca="false">IF(OR($A180="",$L180=""),"",MAX(0,$L180-MAX($L180*Assumptions!$B$4,Assumptions!$B$5)))</f>
        <v/>
      </c>
      <c r="Q180" s="40" t="str">
        <f aca="false">IF($A180="","",Assumptions!$B$13)</f>
        <v/>
      </c>
      <c r="R180" s="39" t="str">
        <f aca="false">IF(OR($A180="",$M180=""),"",$M180*Assumptions!$B$7)</f>
        <v/>
      </c>
      <c r="S180" s="39" t="str">
        <f aca="false">IF(OR($A180="",$P180="",$R180=""),"",MAX(0,$P180*$Q180-$R180))</f>
        <v/>
      </c>
      <c r="T180" s="38" t="str">
        <f aca="false">IF($A180="","",IF($O180="FAIL","REJECT",IF($N180&gt;=4,IF(AND($K180&lt;&gt;"",$K180&gt;$S180),"BUY IF CHEAPER","BUY"),IF($N180&gt;=3.2,"WATCH","PASS"))))</f>
        <v/>
      </c>
      <c r="U180" s="26"/>
      <c r="V180" s="33"/>
    </row>
    <row r="181" customFormat="false" ht="15" hidden="false" customHeight="true" outlineLevel="0" collapsed="false">
      <c r="A181" s="43"/>
      <c r="B181" s="34" t="str">
        <f aca="false">IF($A181="","",IF(ISERROR(FIND(".",$A181)),"",LOWER(MID($A181,FIND(CHAR(1),SUBSTITUTE($A181,".",CHAR(1),LEN($A181)-LEN(SUBSTITUTE($A181,".",""))))+1,LEN($A181)))))</f>
        <v/>
      </c>
      <c r="C181" s="35" t="str">
        <f aca="false">IF($B181="","",IFERROR(INDEX(Rubric!$B$15:$B$24,MATCH(LOWER($B181),Rubric!$A$15:$A$24,0)),INDEX(Rubric!$B$15:$B$24,MATCH("other",Rubric!$A$15:$A$24,0))))</f>
        <v/>
      </c>
      <c r="D181" s="26"/>
      <c r="E181" s="26"/>
      <c r="F181" s="26"/>
      <c r="G181" s="26"/>
      <c r="H181" s="26"/>
      <c r="I181" s="26"/>
      <c r="J181" s="26"/>
      <c r="K181" s="27"/>
      <c r="L181" s="27"/>
      <c r="M181" s="36" t="str">
        <f aca="false">IF($B181="","",IFERROR(INDEX(Rubric!$C$15:$C$24,MATCH(LOWER($B181),Rubric!$A$15:$A$24,0)),INDEX(Rubric!$C$15:$C$24,MATCH("other",Rubric!$A$15:$A$24,0))))</f>
        <v/>
      </c>
      <c r="N181" s="37" t="str">
        <f aca="false">IF(OR($A181="",$C181=""),"",$C181*Rubric!$B$5+$D181*Rubric!$B$6+$E181*Rubric!$B$7+$F181*Rubric!$B$8+$G181*Rubric!$B$9+$H181*Rubric!$B$10)</f>
        <v/>
      </c>
      <c r="O181" s="38" t="str">
        <f aca="false">IF($A181="","",IF(OR(UPPER($I181)="Y",UPPER($J181)="Y"),"FAIL","PASS"))</f>
        <v/>
      </c>
      <c r="P181" s="39" t="str">
        <f aca="false">IF(OR($A181="",$L181=""),"",MAX(0,$L181-MAX($L181*Assumptions!$B$4,Assumptions!$B$5)))</f>
        <v/>
      </c>
      <c r="Q181" s="40" t="str">
        <f aca="false">IF($A181="","",Assumptions!$B$13)</f>
        <v/>
      </c>
      <c r="R181" s="39" t="str">
        <f aca="false">IF(OR($A181="",$M181=""),"",$M181*Assumptions!$B$7)</f>
        <v/>
      </c>
      <c r="S181" s="39" t="str">
        <f aca="false">IF(OR($A181="",$P181="",$R181=""),"",MAX(0,$P181*$Q181-$R181))</f>
        <v/>
      </c>
      <c r="T181" s="38" t="str">
        <f aca="false">IF($A181="","",IF($O181="FAIL","REJECT",IF($N181&gt;=4,IF(AND($K181&lt;&gt;"",$K181&gt;$S181),"BUY IF CHEAPER","BUY"),IF($N181&gt;=3.2,"WATCH","PASS"))))</f>
        <v/>
      </c>
      <c r="U181" s="26"/>
      <c r="V181" s="33"/>
    </row>
    <row r="182" customFormat="false" ht="15" hidden="false" customHeight="true" outlineLevel="0" collapsed="false">
      <c r="A182" s="43"/>
      <c r="B182" s="34" t="str">
        <f aca="false">IF($A182="","",IF(ISERROR(FIND(".",$A182)),"",LOWER(MID($A182,FIND(CHAR(1),SUBSTITUTE($A182,".",CHAR(1),LEN($A182)-LEN(SUBSTITUTE($A182,".",""))))+1,LEN($A182)))))</f>
        <v/>
      </c>
      <c r="C182" s="35" t="str">
        <f aca="false">IF($B182="","",IFERROR(INDEX(Rubric!$B$15:$B$24,MATCH(LOWER($B182),Rubric!$A$15:$A$24,0)),INDEX(Rubric!$B$15:$B$24,MATCH("other",Rubric!$A$15:$A$24,0))))</f>
        <v/>
      </c>
      <c r="D182" s="26"/>
      <c r="E182" s="26"/>
      <c r="F182" s="26"/>
      <c r="G182" s="26"/>
      <c r="H182" s="26"/>
      <c r="I182" s="26"/>
      <c r="J182" s="26"/>
      <c r="K182" s="27"/>
      <c r="L182" s="27"/>
      <c r="M182" s="36" t="str">
        <f aca="false">IF($B182="","",IFERROR(INDEX(Rubric!$C$15:$C$24,MATCH(LOWER($B182),Rubric!$A$15:$A$24,0)),INDEX(Rubric!$C$15:$C$24,MATCH("other",Rubric!$A$15:$A$24,0))))</f>
        <v/>
      </c>
      <c r="N182" s="37" t="str">
        <f aca="false">IF(OR($A182="",$C182=""),"",$C182*Rubric!$B$5+$D182*Rubric!$B$6+$E182*Rubric!$B$7+$F182*Rubric!$B$8+$G182*Rubric!$B$9+$H182*Rubric!$B$10)</f>
        <v/>
      </c>
      <c r="O182" s="38" t="str">
        <f aca="false">IF($A182="","",IF(OR(UPPER($I182)="Y",UPPER($J182)="Y"),"FAIL","PASS"))</f>
        <v/>
      </c>
      <c r="P182" s="39" t="str">
        <f aca="false">IF(OR($A182="",$L182=""),"",MAX(0,$L182-MAX($L182*Assumptions!$B$4,Assumptions!$B$5)))</f>
        <v/>
      </c>
      <c r="Q182" s="40" t="str">
        <f aca="false">IF($A182="","",Assumptions!$B$13)</f>
        <v/>
      </c>
      <c r="R182" s="39" t="str">
        <f aca="false">IF(OR($A182="",$M182=""),"",$M182*Assumptions!$B$7)</f>
        <v/>
      </c>
      <c r="S182" s="39" t="str">
        <f aca="false">IF(OR($A182="",$P182="",$R182=""),"",MAX(0,$P182*$Q182-$R182))</f>
        <v/>
      </c>
      <c r="T182" s="38" t="str">
        <f aca="false">IF($A182="","",IF($O182="FAIL","REJECT",IF($N182&gt;=4,IF(AND($K182&lt;&gt;"",$K182&gt;$S182),"BUY IF CHEAPER","BUY"),IF($N182&gt;=3.2,"WATCH","PASS"))))</f>
        <v/>
      </c>
      <c r="U182" s="26"/>
      <c r="V182" s="33"/>
    </row>
    <row r="183" customFormat="false" ht="15" hidden="false" customHeight="true" outlineLevel="0" collapsed="false">
      <c r="A183" s="43"/>
      <c r="B183" s="34" t="str">
        <f aca="false">IF($A183="","",IF(ISERROR(FIND(".",$A183)),"",LOWER(MID($A183,FIND(CHAR(1),SUBSTITUTE($A183,".",CHAR(1),LEN($A183)-LEN(SUBSTITUTE($A183,".",""))))+1,LEN($A183)))))</f>
        <v/>
      </c>
      <c r="C183" s="35" t="str">
        <f aca="false">IF($B183="","",IFERROR(INDEX(Rubric!$B$15:$B$24,MATCH(LOWER($B183),Rubric!$A$15:$A$24,0)),INDEX(Rubric!$B$15:$B$24,MATCH("other",Rubric!$A$15:$A$24,0))))</f>
        <v/>
      </c>
      <c r="D183" s="26"/>
      <c r="E183" s="26"/>
      <c r="F183" s="26"/>
      <c r="G183" s="26"/>
      <c r="H183" s="26"/>
      <c r="I183" s="26"/>
      <c r="J183" s="26"/>
      <c r="K183" s="27"/>
      <c r="L183" s="27"/>
      <c r="M183" s="36" t="str">
        <f aca="false">IF($B183="","",IFERROR(INDEX(Rubric!$C$15:$C$24,MATCH(LOWER($B183),Rubric!$A$15:$A$24,0)),INDEX(Rubric!$C$15:$C$24,MATCH("other",Rubric!$A$15:$A$24,0))))</f>
        <v/>
      </c>
      <c r="N183" s="37" t="str">
        <f aca="false">IF(OR($A183="",$C183=""),"",$C183*Rubric!$B$5+$D183*Rubric!$B$6+$E183*Rubric!$B$7+$F183*Rubric!$B$8+$G183*Rubric!$B$9+$H183*Rubric!$B$10)</f>
        <v/>
      </c>
      <c r="O183" s="38" t="str">
        <f aca="false">IF($A183="","",IF(OR(UPPER($I183)="Y",UPPER($J183)="Y"),"FAIL","PASS"))</f>
        <v/>
      </c>
      <c r="P183" s="39" t="str">
        <f aca="false">IF(OR($A183="",$L183=""),"",MAX(0,$L183-MAX($L183*Assumptions!$B$4,Assumptions!$B$5)))</f>
        <v/>
      </c>
      <c r="Q183" s="40" t="str">
        <f aca="false">IF($A183="","",Assumptions!$B$13)</f>
        <v/>
      </c>
      <c r="R183" s="39" t="str">
        <f aca="false">IF(OR($A183="",$M183=""),"",$M183*Assumptions!$B$7)</f>
        <v/>
      </c>
      <c r="S183" s="39" t="str">
        <f aca="false">IF(OR($A183="",$P183="",$R183=""),"",MAX(0,$P183*$Q183-$R183))</f>
        <v/>
      </c>
      <c r="T183" s="38" t="str">
        <f aca="false">IF($A183="","",IF($O183="FAIL","REJECT",IF($N183&gt;=4,IF(AND($K183&lt;&gt;"",$K183&gt;$S183),"BUY IF CHEAPER","BUY"),IF($N183&gt;=3.2,"WATCH","PASS"))))</f>
        <v/>
      </c>
      <c r="U183" s="26"/>
      <c r="V183" s="33"/>
    </row>
    <row r="184" customFormat="false" ht="15" hidden="false" customHeight="true" outlineLevel="0" collapsed="false">
      <c r="A184" s="43"/>
      <c r="B184" s="34" t="str">
        <f aca="false">IF($A184="","",IF(ISERROR(FIND(".",$A184)),"",LOWER(MID($A184,FIND(CHAR(1),SUBSTITUTE($A184,".",CHAR(1),LEN($A184)-LEN(SUBSTITUTE($A184,".",""))))+1,LEN($A184)))))</f>
        <v/>
      </c>
      <c r="C184" s="35" t="str">
        <f aca="false">IF($B184="","",IFERROR(INDEX(Rubric!$B$15:$B$24,MATCH(LOWER($B184),Rubric!$A$15:$A$24,0)),INDEX(Rubric!$B$15:$B$24,MATCH("other",Rubric!$A$15:$A$24,0))))</f>
        <v/>
      </c>
      <c r="D184" s="26"/>
      <c r="E184" s="26"/>
      <c r="F184" s="26"/>
      <c r="G184" s="26"/>
      <c r="H184" s="26"/>
      <c r="I184" s="26"/>
      <c r="J184" s="26"/>
      <c r="K184" s="27"/>
      <c r="L184" s="27"/>
      <c r="M184" s="36" t="str">
        <f aca="false">IF($B184="","",IFERROR(INDEX(Rubric!$C$15:$C$24,MATCH(LOWER($B184),Rubric!$A$15:$A$24,0)),INDEX(Rubric!$C$15:$C$24,MATCH("other",Rubric!$A$15:$A$24,0))))</f>
        <v/>
      </c>
      <c r="N184" s="37" t="str">
        <f aca="false">IF(OR($A184="",$C184=""),"",$C184*Rubric!$B$5+$D184*Rubric!$B$6+$E184*Rubric!$B$7+$F184*Rubric!$B$8+$G184*Rubric!$B$9+$H184*Rubric!$B$10)</f>
        <v/>
      </c>
      <c r="O184" s="38" t="str">
        <f aca="false">IF($A184="","",IF(OR(UPPER($I184)="Y",UPPER($J184)="Y"),"FAIL","PASS"))</f>
        <v/>
      </c>
      <c r="P184" s="39" t="str">
        <f aca="false">IF(OR($A184="",$L184=""),"",MAX(0,$L184-MAX($L184*Assumptions!$B$4,Assumptions!$B$5)))</f>
        <v/>
      </c>
      <c r="Q184" s="40" t="str">
        <f aca="false">IF($A184="","",Assumptions!$B$13)</f>
        <v/>
      </c>
      <c r="R184" s="39" t="str">
        <f aca="false">IF(OR($A184="",$M184=""),"",$M184*Assumptions!$B$7)</f>
        <v/>
      </c>
      <c r="S184" s="39" t="str">
        <f aca="false">IF(OR($A184="",$P184="",$R184=""),"",MAX(0,$P184*$Q184-$R184))</f>
        <v/>
      </c>
      <c r="T184" s="38" t="str">
        <f aca="false">IF($A184="","",IF($O184="FAIL","REJECT",IF($N184&gt;=4,IF(AND($K184&lt;&gt;"",$K184&gt;$S184),"BUY IF CHEAPER","BUY"),IF($N184&gt;=3.2,"WATCH","PASS"))))</f>
        <v/>
      </c>
      <c r="U184" s="26"/>
      <c r="V184" s="33"/>
    </row>
    <row r="185" customFormat="false" ht="15" hidden="false" customHeight="true" outlineLevel="0" collapsed="false">
      <c r="A185" s="43"/>
      <c r="B185" s="34" t="str">
        <f aca="false">IF($A185="","",IF(ISERROR(FIND(".",$A185)),"",LOWER(MID($A185,FIND(CHAR(1),SUBSTITUTE($A185,".",CHAR(1),LEN($A185)-LEN(SUBSTITUTE($A185,".",""))))+1,LEN($A185)))))</f>
        <v/>
      </c>
      <c r="C185" s="35" t="str">
        <f aca="false">IF($B185="","",IFERROR(INDEX(Rubric!$B$15:$B$24,MATCH(LOWER($B185),Rubric!$A$15:$A$24,0)),INDEX(Rubric!$B$15:$B$24,MATCH("other",Rubric!$A$15:$A$24,0))))</f>
        <v/>
      </c>
      <c r="D185" s="26"/>
      <c r="E185" s="26"/>
      <c r="F185" s="26"/>
      <c r="G185" s="26"/>
      <c r="H185" s="26"/>
      <c r="I185" s="26"/>
      <c r="J185" s="26"/>
      <c r="K185" s="27"/>
      <c r="L185" s="27"/>
      <c r="M185" s="36" t="str">
        <f aca="false">IF($B185="","",IFERROR(INDEX(Rubric!$C$15:$C$24,MATCH(LOWER($B185),Rubric!$A$15:$A$24,0)),INDEX(Rubric!$C$15:$C$24,MATCH("other",Rubric!$A$15:$A$24,0))))</f>
        <v/>
      </c>
      <c r="N185" s="37" t="str">
        <f aca="false">IF(OR($A185="",$C185=""),"",$C185*Rubric!$B$5+$D185*Rubric!$B$6+$E185*Rubric!$B$7+$F185*Rubric!$B$8+$G185*Rubric!$B$9+$H185*Rubric!$B$10)</f>
        <v/>
      </c>
      <c r="O185" s="38" t="str">
        <f aca="false">IF($A185="","",IF(OR(UPPER($I185)="Y",UPPER($J185)="Y"),"FAIL","PASS"))</f>
        <v/>
      </c>
      <c r="P185" s="39" t="str">
        <f aca="false">IF(OR($A185="",$L185=""),"",MAX(0,$L185-MAX($L185*Assumptions!$B$4,Assumptions!$B$5)))</f>
        <v/>
      </c>
      <c r="Q185" s="40" t="str">
        <f aca="false">IF($A185="","",Assumptions!$B$13)</f>
        <v/>
      </c>
      <c r="R185" s="39" t="str">
        <f aca="false">IF(OR($A185="",$M185=""),"",$M185*Assumptions!$B$7)</f>
        <v/>
      </c>
      <c r="S185" s="39" t="str">
        <f aca="false">IF(OR($A185="",$P185="",$R185=""),"",MAX(0,$P185*$Q185-$R185))</f>
        <v/>
      </c>
      <c r="T185" s="38" t="str">
        <f aca="false">IF($A185="","",IF($O185="FAIL","REJECT",IF($N185&gt;=4,IF(AND($K185&lt;&gt;"",$K185&gt;$S185),"BUY IF CHEAPER","BUY"),IF($N185&gt;=3.2,"WATCH","PASS"))))</f>
        <v/>
      </c>
      <c r="U185" s="26"/>
      <c r="V185" s="33"/>
    </row>
    <row r="186" customFormat="false" ht="15" hidden="false" customHeight="true" outlineLevel="0" collapsed="false">
      <c r="A186" s="43"/>
      <c r="B186" s="34" t="str">
        <f aca="false">IF($A186="","",IF(ISERROR(FIND(".",$A186)),"",LOWER(MID($A186,FIND(CHAR(1),SUBSTITUTE($A186,".",CHAR(1),LEN($A186)-LEN(SUBSTITUTE($A186,".",""))))+1,LEN($A186)))))</f>
        <v/>
      </c>
      <c r="C186" s="35" t="str">
        <f aca="false">IF($B186="","",IFERROR(INDEX(Rubric!$B$15:$B$24,MATCH(LOWER($B186),Rubric!$A$15:$A$24,0)),INDEX(Rubric!$B$15:$B$24,MATCH("other",Rubric!$A$15:$A$24,0))))</f>
        <v/>
      </c>
      <c r="D186" s="26"/>
      <c r="E186" s="26"/>
      <c r="F186" s="26"/>
      <c r="G186" s="26"/>
      <c r="H186" s="26"/>
      <c r="I186" s="26"/>
      <c r="J186" s="26"/>
      <c r="K186" s="27"/>
      <c r="L186" s="27"/>
      <c r="M186" s="36" t="str">
        <f aca="false">IF($B186="","",IFERROR(INDEX(Rubric!$C$15:$C$24,MATCH(LOWER($B186),Rubric!$A$15:$A$24,0)),INDEX(Rubric!$C$15:$C$24,MATCH("other",Rubric!$A$15:$A$24,0))))</f>
        <v/>
      </c>
      <c r="N186" s="37" t="str">
        <f aca="false">IF(OR($A186="",$C186=""),"",$C186*Rubric!$B$5+$D186*Rubric!$B$6+$E186*Rubric!$B$7+$F186*Rubric!$B$8+$G186*Rubric!$B$9+$H186*Rubric!$B$10)</f>
        <v/>
      </c>
      <c r="O186" s="38" t="str">
        <f aca="false">IF($A186="","",IF(OR(UPPER($I186)="Y",UPPER($J186)="Y"),"FAIL","PASS"))</f>
        <v/>
      </c>
      <c r="P186" s="39" t="str">
        <f aca="false">IF(OR($A186="",$L186=""),"",MAX(0,$L186-MAX($L186*Assumptions!$B$4,Assumptions!$B$5)))</f>
        <v/>
      </c>
      <c r="Q186" s="40" t="str">
        <f aca="false">IF($A186="","",Assumptions!$B$13)</f>
        <v/>
      </c>
      <c r="R186" s="39" t="str">
        <f aca="false">IF(OR($A186="",$M186=""),"",$M186*Assumptions!$B$7)</f>
        <v/>
      </c>
      <c r="S186" s="39" t="str">
        <f aca="false">IF(OR($A186="",$P186="",$R186=""),"",MAX(0,$P186*$Q186-$R186))</f>
        <v/>
      </c>
      <c r="T186" s="38" t="str">
        <f aca="false">IF($A186="","",IF($O186="FAIL","REJECT",IF($N186&gt;=4,IF(AND($K186&lt;&gt;"",$K186&gt;$S186),"BUY IF CHEAPER","BUY"),IF($N186&gt;=3.2,"WATCH","PASS"))))</f>
        <v/>
      </c>
      <c r="U186" s="26"/>
      <c r="V186" s="33"/>
    </row>
    <row r="187" customFormat="false" ht="15" hidden="false" customHeight="true" outlineLevel="0" collapsed="false">
      <c r="A187" s="43"/>
      <c r="B187" s="34" t="str">
        <f aca="false">IF($A187="","",IF(ISERROR(FIND(".",$A187)),"",LOWER(MID($A187,FIND(CHAR(1),SUBSTITUTE($A187,".",CHAR(1),LEN($A187)-LEN(SUBSTITUTE($A187,".",""))))+1,LEN($A187)))))</f>
        <v/>
      </c>
      <c r="C187" s="35" t="str">
        <f aca="false">IF($B187="","",IFERROR(INDEX(Rubric!$B$15:$B$24,MATCH(LOWER($B187),Rubric!$A$15:$A$24,0)),INDEX(Rubric!$B$15:$B$24,MATCH("other",Rubric!$A$15:$A$24,0))))</f>
        <v/>
      </c>
      <c r="D187" s="26"/>
      <c r="E187" s="26"/>
      <c r="F187" s="26"/>
      <c r="G187" s="26"/>
      <c r="H187" s="26"/>
      <c r="I187" s="26"/>
      <c r="J187" s="26"/>
      <c r="K187" s="27"/>
      <c r="L187" s="27"/>
      <c r="M187" s="36" t="str">
        <f aca="false">IF($B187="","",IFERROR(INDEX(Rubric!$C$15:$C$24,MATCH(LOWER($B187),Rubric!$A$15:$A$24,0)),INDEX(Rubric!$C$15:$C$24,MATCH("other",Rubric!$A$15:$A$24,0))))</f>
        <v/>
      </c>
      <c r="N187" s="37" t="str">
        <f aca="false">IF(OR($A187="",$C187=""),"",$C187*Rubric!$B$5+$D187*Rubric!$B$6+$E187*Rubric!$B$7+$F187*Rubric!$B$8+$G187*Rubric!$B$9+$H187*Rubric!$B$10)</f>
        <v/>
      </c>
      <c r="O187" s="38" t="str">
        <f aca="false">IF($A187="","",IF(OR(UPPER($I187)="Y",UPPER($J187)="Y"),"FAIL","PASS"))</f>
        <v/>
      </c>
      <c r="P187" s="39" t="str">
        <f aca="false">IF(OR($A187="",$L187=""),"",MAX(0,$L187-MAX($L187*Assumptions!$B$4,Assumptions!$B$5)))</f>
        <v/>
      </c>
      <c r="Q187" s="40" t="str">
        <f aca="false">IF($A187="","",Assumptions!$B$13)</f>
        <v/>
      </c>
      <c r="R187" s="39" t="str">
        <f aca="false">IF(OR($A187="",$M187=""),"",$M187*Assumptions!$B$7)</f>
        <v/>
      </c>
      <c r="S187" s="39" t="str">
        <f aca="false">IF(OR($A187="",$P187="",$R187=""),"",MAX(0,$P187*$Q187-$R187))</f>
        <v/>
      </c>
      <c r="T187" s="38" t="str">
        <f aca="false">IF($A187="","",IF($O187="FAIL","REJECT",IF($N187&gt;=4,IF(AND($K187&lt;&gt;"",$K187&gt;$S187),"BUY IF CHEAPER","BUY"),IF($N187&gt;=3.2,"WATCH","PASS"))))</f>
        <v/>
      </c>
      <c r="U187" s="26"/>
      <c r="V187" s="33"/>
    </row>
    <row r="188" customFormat="false" ht="15" hidden="false" customHeight="true" outlineLevel="0" collapsed="false">
      <c r="A188" s="43"/>
      <c r="B188" s="34" t="str">
        <f aca="false">IF($A188="","",IF(ISERROR(FIND(".",$A188)),"",LOWER(MID($A188,FIND(CHAR(1),SUBSTITUTE($A188,".",CHAR(1),LEN($A188)-LEN(SUBSTITUTE($A188,".",""))))+1,LEN($A188)))))</f>
        <v/>
      </c>
      <c r="C188" s="35" t="str">
        <f aca="false">IF($B188="","",IFERROR(INDEX(Rubric!$B$15:$B$24,MATCH(LOWER($B188),Rubric!$A$15:$A$24,0)),INDEX(Rubric!$B$15:$B$24,MATCH("other",Rubric!$A$15:$A$24,0))))</f>
        <v/>
      </c>
      <c r="D188" s="26"/>
      <c r="E188" s="26"/>
      <c r="F188" s="26"/>
      <c r="G188" s="26"/>
      <c r="H188" s="26"/>
      <c r="I188" s="26"/>
      <c r="J188" s="26"/>
      <c r="K188" s="27"/>
      <c r="L188" s="27"/>
      <c r="M188" s="36" t="str">
        <f aca="false">IF($B188="","",IFERROR(INDEX(Rubric!$C$15:$C$24,MATCH(LOWER($B188),Rubric!$A$15:$A$24,0)),INDEX(Rubric!$C$15:$C$24,MATCH("other",Rubric!$A$15:$A$24,0))))</f>
        <v/>
      </c>
      <c r="N188" s="37" t="str">
        <f aca="false">IF(OR($A188="",$C188=""),"",$C188*Rubric!$B$5+$D188*Rubric!$B$6+$E188*Rubric!$B$7+$F188*Rubric!$B$8+$G188*Rubric!$B$9+$H188*Rubric!$B$10)</f>
        <v/>
      </c>
      <c r="O188" s="38" t="str">
        <f aca="false">IF($A188="","",IF(OR(UPPER($I188)="Y",UPPER($J188)="Y"),"FAIL","PASS"))</f>
        <v/>
      </c>
      <c r="P188" s="39" t="str">
        <f aca="false">IF(OR($A188="",$L188=""),"",MAX(0,$L188-MAX($L188*Assumptions!$B$4,Assumptions!$B$5)))</f>
        <v/>
      </c>
      <c r="Q188" s="40" t="str">
        <f aca="false">IF($A188="","",Assumptions!$B$13)</f>
        <v/>
      </c>
      <c r="R188" s="39" t="str">
        <f aca="false">IF(OR($A188="",$M188=""),"",$M188*Assumptions!$B$7)</f>
        <v/>
      </c>
      <c r="S188" s="39" t="str">
        <f aca="false">IF(OR($A188="",$P188="",$R188=""),"",MAX(0,$P188*$Q188-$R188))</f>
        <v/>
      </c>
      <c r="T188" s="38" t="str">
        <f aca="false">IF($A188="","",IF($O188="FAIL","REJECT",IF($N188&gt;=4,IF(AND($K188&lt;&gt;"",$K188&gt;$S188),"BUY IF CHEAPER","BUY"),IF($N188&gt;=3.2,"WATCH","PASS"))))</f>
        <v/>
      </c>
      <c r="U188" s="26"/>
      <c r="V188" s="33"/>
    </row>
    <row r="189" customFormat="false" ht="15" hidden="false" customHeight="true" outlineLevel="0" collapsed="false">
      <c r="A189" s="43"/>
      <c r="B189" s="34" t="str">
        <f aca="false">IF($A189="","",IF(ISERROR(FIND(".",$A189)),"",LOWER(MID($A189,FIND(CHAR(1),SUBSTITUTE($A189,".",CHAR(1),LEN($A189)-LEN(SUBSTITUTE($A189,".",""))))+1,LEN($A189)))))</f>
        <v/>
      </c>
      <c r="C189" s="35" t="str">
        <f aca="false">IF($B189="","",IFERROR(INDEX(Rubric!$B$15:$B$24,MATCH(LOWER($B189),Rubric!$A$15:$A$24,0)),INDEX(Rubric!$B$15:$B$24,MATCH("other",Rubric!$A$15:$A$24,0))))</f>
        <v/>
      </c>
      <c r="D189" s="26"/>
      <c r="E189" s="26"/>
      <c r="F189" s="26"/>
      <c r="G189" s="26"/>
      <c r="H189" s="26"/>
      <c r="I189" s="26"/>
      <c r="J189" s="26"/>
      <c r="K189" s="27"/>
      <c r="L189" s="27"/>
      <c r="M189" s="36" t="str">
        <f aca="false">IF($B189="","",IFERROR(INDEX(Rubric!$C$15:$C$24,MATCH(LOWER($B189),Rubric!$A$15:$A$24,0)),INDEX(Rubric!$C$15:$C$24,MATCH("other",Rubric!$A$15:$A$24,0))))</f>
        <v/>
      </c>
      <c r="N189" s="37" t="str">
        <f aca="false">IF(OR($A189="",$C189=""),"",$C189*Rubric!$B$5+$D189*Rubric!$B$6+$E189*Rubric!$B$7+$F189*Rubric!$B$8+$G189*Rubric!$B$9+$H189*Rubric!$B$10)</f>
        <v/>
      </c>
      <c r="O189" s="38" t="str">
        <f aca="false">IF($A189="","",IF(OR(UPPER($I189)="Y",UPPER($J189)="Y"),"FAIL","PASS"))</f>
        <v/>
      </c>
      <c r="P189" s="39" t="str">
        <f aca="false">IF(OR($A189="",$L189=""),"",MAX(0,$L189-MAX($L189*Assumptions!$B$4,Assumptions!$B$5)))</f>
        <v/>
      </c>
      <c r="Q189" s="40" t="str">
        <f aca="false">IF($A189="","",Assumptions!$B$13)</f>
        <v/>
      </c>
      <c r="R189" s="39" t="str">
        <f aca="false">IF(OR($A189="",$M189=""),"",$M189*Assumptions!$B$7)</f>
        <v/>
      </c>
      <c r="S189" s="39" t="str">
        <f aca="false">IF(OR($A189="",$P189="",$R189=""),"",MAX(0,$P189*$Q189-$R189))</f>
        <v/>
      </c>
      <c r="T189" s="38" t="str">
        <f aca="false">IF($A189="","",IF($O189="FAIL","REJECT",IF($N189&gt;=4,IF(AND($K189&lt;&gt;"",$K189&gt;$S189),"BUY IF CHEAPER","BUY"),IF($N189&gt;=3.2,"WATCH","PASS"))))</f>
        <v/>
      </c>
      <c r="U189" s="26"/>
      <c r="V189" s="33"/>
    </row>
    <row r="190" customFormat="false" ht="15" hidden="false" customHeight="true" outlineLevel="0" collapsed="false">
      <c r="A190" s="43"/>
      <c r="B190" s="34" t="str">
        <f aca="false">IF($A190="","",IF(ISERROR(FIND(".",$A190)),"",LOWER(MID($A190,FIND(CHAR(1),SUBSTITUTE($A190,".",CHAR(1),LEN($A190)-LEN(SUBSTITUTE($A190,".",""))))+1,LEN($A190)))))</f>
        <v/>
      </c>
      <c r="C190" s="35" t="str">
        <f aca="false">IF($B190="","",IFERROR(INDEX(Rubric!$B$15:$B$24,MATCH(LOWER($B190),Rubric!$A$15:$A$24,0)),INDEX(Rubric!$B$15:$B$24,MATCH("other",Rubric!$A$15:$A$24,0))))</f>
        <v/>
      </c>
      <c r="D190" s="26"/>
      <c r="E190" s="26"/>
      <c r="F190" s="26"/>
      <c r="G190" s="26"/>
      <c r="H190" s="26"/>
      <c r="I190" s="26"/>
      <c r="J190" s="26"/>
      <c r="K190" s="27"/>
      <c r="L190" s="27"/>
      <c r="M190" s="36" t="str">
        <f aca="false">IF($B190="","",IFERROR(INDEX(Rubric!$C$15:$C$24,MATCH(LOWER($B190),Rubric!$A$15:$A$24,0)),INDEX(Rubric!$C$15:$C$24,MATCH("other",Rubric!$A$15:$A$24,0))))</f>
        <v/>
      </c>
      <c r="N190" s="37" t="str">
        <f aca="false">IF(OR($A190="",$C190=""),"",$C190*Rubric!$B$5+$D190*Rubric!$B$6+$E190*Rubric!$B$7+$F190*Rubric!$B$8+$G190*Rubric!$B$9+$H190*Rubric!$B$10)</f>
        <v/>
      </c>
      <c r="O190" s="38" t="str">
        <f aca="false">IF($A190="","",IF(OR(UPPER($I190)="Y",UPPER($J190)="Y"),"FAIL","PASS"))</f>
        <v/>
      </c>
      <c r="P190" s="39" t="str">
        <f aca="false">IF(OR($A190="",$L190=""),"",MAX(0,$L190-MAX($L190*Assumptions!$B$4,Assumptions!$B$5)))</f>
        <v/>
      </c>
      <c r="Q190" s="40" t="str">
        <f aca="false">IF($A190="","",Assumptions!$B$13)</f>
        <v/>
      </c>
      <c r="R190" s="39" t="str">
        <f aca="false">IF(OR($A190="",$M190=""),"",$M190*Assumptions!$B$7)</f>
        <v/>
      </c>
      <c r="S190" s="39" t="str">
        <f aca="false">IF(OR($A190="",$P190="",$R190=""),"",MAX(0,$P190*$Q190-$R190))</f>
        <v/>
      </c>
      <c r="T190" s="38" t="str">
        <f aca="false">IF($A190="","",IF($O190="FAIL","REJECT",IF($N190&gt;=4,IF(AND($K190&lt;&gt;"",$K190&gt;$S190),"BUY IF CHEAPER","BUY"),IF($N190&gt;=3.2,"WATCH","PASS"))))</f>
        <v/>
      </c>
      <c r="U190" s="26"/>
      <c r="V190" s="33"/>
    </row>
    <row r="191" customFormat="false" ht="15" hidden="false" customHeight="true" outlineLevel="0" collapsed="false">
      <c r="A191" s="43"/>
      <c r="B191" s="34" t="str">
        <f aca="false">IF($A191="","",IF(ISERROR(FIND(".",$A191)),"",LOWER(MID($A191,FIND(CHAR(1),SUBSTITUTE($A191,".",CHAR(1),LEN($A191)-LEN(SUBSTITUTE($A191,".",""))))+1,LEN($A191)))))</f>
        <v/>
      </c>
      <c r="C191" s="35" t="str">
        <f aca="false">IF($B191="","",IFERROR(INDEX(Rubric!$B$15:$B$24,MATCH(LOWER($B191),Rubric!$A$15:$A$24,0)),INDEX(Rubric!$B$15:$B$24,MATCH("other",Rubric!$A$15:$A$24,0))))</f>
        <v/>
      </c>
      <c r="D191" s="26"/>
      <c r="E191" s="26"/>
      <c r="F191" s="26"/>
      <c r="G191" s="26"/>
      <c r="H191" s="26"/>
      <c r="I191" s="26"/>
      <c r="J191" s="26"/>
      <c r="K191" s="27"/>
      <c r="L191" s="27"/>
      <c r="M191" s="36" t="str">
        <f aca="false">IF($B191="","",IFERROR(INDEX(Rubric!$C$15:$C$24,MATCH(LOWER($B191),Rubric!$A$15:$A$24,0)),INDEX(Rubric!$C$15:$C$24,MATCH("other",Rubric!$A$15:$A$24,0))))</f>
        <v/>
      </c>
      <c r="N191" s="37" t="str">
        <f aca="false">IF(OR($A191="",$C191=""),"",$C191*Rubric!$B$5+$D191*Rubric!$B$6+$E191*Rubric!$B$7+$F191*Rubric!$B$8+$G191*Rubric!$B$9+$H191*Rubric!$B$10)</f>
        <v/>
      </c>
      <c r="O191" s="38" t="str">
        <f aca="false">IF($A191="","",IF(OR(UPPER($I191)="Y",UPPER($J191)="Y"),"FAIL","PASS"))</f>
        <v/>
      </c>
      <c r="P191" s="39" t="str">
        <f aca="false">IF(OR($A191="",$L191=""),"",MAX(0,$L191-MAX($L191*Assumptions!$B$4,Assumptions!$B$5)))</f>
        <v/>
      </c>
      <c r="Q191" s="40" t="str">
        <f aca="false">IF($A191="","",Assumptions!$B$13)</f>
        <v/>
      </c>
      <c r="R191" s="39" t="str">
        <f aca="false">IF(OR($A191="",$M191=""),"",$M191*Assumptions!$B$7)</f>
        <v/>
      </c>
      <c r="S191" s="39" t="str">
        <f aca="false">IF(OR($A191="",$P191="",$R191=""),"",MAX(0,$P191*$Q191-$R191))</f>
        <v/>
      </c>
      <c r="T191" s="38" t="str">
        <f aca="false">IF($A191="","",IF($O191="FAIL","REJECT",IF($N191&gt;=4,IF(AND($K191&lt;&gt;"",$K191&gt;$S191),"BUY IF CHEAPER","BUY"),IF($N191&gt;=3.2,"WATCH","PASS"))))</f>
        <v/>
      </c>
      <c r="U191" s="26"/>
      <c r="V191" s="33"/>
    </row>
    <row r="192" customFormat="false" ht="15" hidden="false" customHeight="true" outlineLevel="0" collapsed="false">
      <c r="A192" s="43"/>
      <c r="B192" s="34" t="str">
        <f aca="false">IF($A192="","",IF(ISERROR(FIND(".",$A192)),"",LOWER(MID($A192,FIND(CHAR(1),SUBSTITUTE($A192,".",CHAR(1),LEN($A192)-LEN(SUBSTITUTE($A192,".",""))))+1,LEN($A192)))))</f>
        <v/>
      </c>
      <c r="C192" s="35" t="str">
        <f aca="false">IF($B192="","",IFERROR(INDEX(Rubric!$B$15:$B$24,MATCH(LOWER($B192),Rubric!$A$15:$A$24,0)),INDEX(Rubric!$B$15:$B$24,MATCH("other",Rubric!$A$15:$A$24,0))))</f>
        <v/>
      </c>
      <c r="D192" s="26"/>
      <c r="E192" s="26"/>
      <c r="F192" s="26"/>
      <c r="G192" s="26"/>
      <c r="H192" s="26"/>
      <c r="I192" s="26"/>
      <c r="J192" s="26"/>
      <c r="K192" s="27"/>
      <c r="L192" s="27"/>
      <c r="M192" s="36" t="str">
        <f aca="false">IF($B192="","",IFERROR(INDEX(Rubric!$C$15:$C$24,MATCH(LOWER($B192),Rubric!$A$15:$A$24,0)),INDEX(Rubric!$C$15:$C$24,MATCH("other",Rubric!$A$15:$A$24,0))))</f>
        <v/>
      </c>
      <c r="N192" s="37" t="str">
        <f aca="false">IF(OR($A192="",$C192=""),"",$C192*Rubric!$B$5+$D192*Rubric!$B$6+$E192*Rubric!$B$7+$F192*Rubric!$B$8+$G192*Rubric!$B$9+$H192*Rubric!$B$10)</f>
        <v/>
      </c>
      <c r="O192" s="38" t="str">
        <f aca="false">IF($A192="","",IF(OR(UPPER($I192)="Y",UPPER($J192)="Y"),"FAIL","PASS"))</f>
        <v/>
      </c>
      <c r="P192" s="39" t="str">
        <f aca="false">IF(OR($A192="",$L192=""),"",MAX(0,$L192-MAX($L192*Assumptions!$B$4,Assumptions!$B$5)))</f>
        <v/>
      </c>
      <c r="Q192" s="40" t="str">
        <f aca="false">IF($A192="","",Assumptions!$B$13)</f>
        <v/>
      </c>
      <c r="R192" s="39" t="str">
        <f aca="false">IF(OR($A192="",$M192=""),"",$M192*Assumptions!$B$7)</f>
        <v/>
      </c>
      <c r="S192" s="39" t="str">
        <f aca="false">IF(OR($A192="",$P192="",$R192=""),"",MAX(0,$P192*$Q192-$R192))</f>
        <v/>
      </c>
      <c r="T192" s="38" t="str">
        <f aca="false">IF($A192="","",IF($O192="FAIL","REJECT",IF($N192&gt;=4,IF(AND($K192&lt;&gt;"",$K192&gt;$S192),"BUY IF CHEAPER","BUY"),IF($N192&gt;=3.2,"WATCH","PASS"))))</f>
        <v/>
      </c>
      <c r="U192" s="26"/>
      <c r="V192" s="33"/>
    </row>
    <row r="193" customFormat="false" ht="15" hidden="false" customHeight="true" outlineLevel="0" collapsed="false">
      <c r="A193" s="43"/>
      <c r="B193" s="34" t="str">
        <f aca="false">IF($A193="","",IF(ISERROR(FIND(".",$A193)),"",LOWER(MID($A193,FIND(CHAR(1),SUBSTITUTE($A193,".",CHAR(1),LEN($A193)-LEN(SUBSTITUTE($A193,".",""))))+1,LEN($A193)))))</f>
        <v/>
      </c>
      <c r="C193" s="35" t="str">
        <f aca="false">IF($B193="","",IFERROR(INDEX(Rubric!$B$15:$B$24,MATCH(LOWER($B193),Rubric!$A$15:$A$24,0)),INDEX(Rubric!$B$15:$B$24,MATCH("other",Rubric!$A$15:$A$24,0))))</f>
        <v/>
      </c>
      <c r="D193" s="26"/>
      <c r="E193" s="26"/>
      <c r="F193" s="26"/>
      <c r="G193" s="26"/>
      <c r="H193" s="26"/>
      <c r="I193" s="26"/>
      <c r="J193" s="26"/>
      <c r="K193" s="27"/>
      <c r="L193" s="27"/>
      <c r="M193" s="36" t="str">
        <f aca="false">IF($B193="","",IFERROR(INDEX(Rubric!$C$15:$C$24,MATCH(LOWER($B193),Rubric!$A$15:$A$24,0)),INDEX(Rubric!$C$15:$C$24,MATCH("other",Rubric!$A$15:$A$24,0))))</f>
        <v/>
      </c>
      <c r="N193" s="37" t="str">
        <f aca="false">IF(OR($A193="",$C193=""),"",$C193*Rubric!$B$5+$D193*Rubric!$B$6+$E193*Rubric!$B$7+$F193*Rubric!$B$8+$G193*Rubric!$B$9+$H193*Rubric!$B$10)</f>
        <v/>
      </c>
      <c r="O193" s="38" t="str">
        <f aca="false">IF($A193="","",IF(OR(UPPER($I193)="Y",UPPER($J193)="Y"),"FAIL","PASS"))</f>
        <v/>
      </c>
      <c r="P193" s="39" t="str">
        <f aca="false">IF(OR($A193="",$L193=""),"",MAX(0,$L193-MAX($L193*Assumptions!$B$4,Assumptions!$B$5)))</f>
        <v/>
      </c>
      <c r="Q193" s="40" t="str">
        <f aca="false">IF($A193="","",Assumptions!$B$13)</f>
        <v/>
      </c>
      <c r="R193" s="39" t="str">
        <f aca="false">IF(OR($A193="",$M193=""),"",$M193*Assumptions!$B$7)</f>
        <v/>
      </c>
      <c r="S193" s="39" t="str">
        <f aca="false">IF(OR($A193="",$P193="",$R193=""),"",MAX(0,$P193*$Q193-$R193))</f>
        <v/>
      </c>
      <c r="T193" s="38" t="str">
        <f aca="false">IF($A193="","",IF($O193="FAIL","REJECT",IF($N193&gt;=4,IF(AND($K193&lt;&gt;"",$K193&gt;$S193),"BUY IF CHEAPER","BUY"),IF($N193&gt;=3.2,"WATCH","PASS"))))</f>
        <v/>
      </c>
      <c r="U193" s="26"/>
      <c r="V193" s="33"/>
    </row>
    <row r="194" customFormat="false" ht="15" hidden="false" customHeight="true" outlineLevel="0" collapsed="false">
      <c r="A194" s="43"/>
      <c r="B194" s="34" t="str">
        <f aca="false">IF($A194="","",IF(ISERROR(FIND(".",$A194)),"",LOWER(MID($A194,FIND(CHAR(1),SUBSTITUTE($A194,".",CHAR(1),LEN($A194)-LEN(SUBSTITUTE($A194,".",""))))+1,LEN($A194)))))</f>
        <v/>
      </c>
      <c r="C194" s="35" t="str">
        <f aca="false">IF($B194="","",IFERROR(INDEX(Rubric!$B$15:$B$24,MATCH(LOWER($B194),Rubric!$A$15:$A$24,0)),INDEX(Rubric!$B$15:$B$24,MATCH("other",Rubric!$A$15:$A$24,0))))</f>
        <v/>
      </c>
      <c r="D194" s="26"/>
      <c r="E194" s="26"/>
      <c r="F194" s="26"/>
      <c r="G194" s="26"/>
      <c r="H194" s="26"/>
      <c r="I194" s="26"/>
      <c r="J194" s="26"/>
      <c r="K194" s="27"/>
      <c r="L194" s="27"/>
      <c r="M194" s="36" t="str">
        <f aca="false">IF($B194="","",IFERROR(INDEX(Rubric!$C$15:$C$24,MATCH(LOWER($B194),Rubric!$A$15:$A$24,0)),INDEX(Rubric!$C$15:$C$24,MATCH("other",Rubric!$A$15:$A$24,0))))</f>
        <v/>
      </c>
      <c r="N194" s="37" t="str">
        <f aca="false">IF(OR($A194="",$C194=""),"",$C194*Rubric!$B$5+$D194*Rubric!$B$6+$E194*Rubric!$B$7+$F194*Rubric!$B$8+$G194*Rubric!$B$9+$H194*Rubric!$B$10)</f>
        <v/>
      </c>
      <c r="O194" s="38" t="str">
        <f aca="false">IF($A194="","",IF(OR(UPPER($I194)="Y",UPPER($J194)="Y"),"FAIL","PASS"))</f>
        <v/>
      </c>
      <c r="P194" s="39" t="str">
        <f aca="false">IF(OR($A194="",$L194=""),"",MAX(0,$L194-MAX($L194*Assumptions!$B$4,Assumptions!$B$5)))</f>
        <v/>
      </c>
      <c r="Q194" s="40" t="str">
        <f aca="false">IF($A194="","",Assumptions!$B$13)</f>
        <v/>
      </c>
      <c r="R194" s="39" t="str">
        <f aca="false">IF(OR($A194="",$M194=""),"",$M194*Assumptions!$B$7)</f>
        <v/>
      </c>
      <c r="S194" s="39" t="str">
        <f aca="false">IF(OR($A194="",$P194="",$R194=""),"",MAX(0,$P194*$Q194-$R194))</f>
        <v/>
      </c>
      <c r="T194" s="38" t="str">
        <f aca="false">IF($A194="","",IF($O194="FAIL","REJECT",IF($N194&gt;=4,IF(AND($K194&lt;&gt;"",$K194&gt;$S194),"BUY IF CHEAPER","BUY"),IF($N194&gt;=3.2,"WATCH","PASS"))))</f>
        <v/>
      </c>
      <c r="U194" s="26"/>
      <c r="V194" s="33"/>
    </row>
    <row r="195" customFormat="false" ht="15" hidden="false" customHeight="true" outlineLevel="0" collapsed="false">
      <c r="A195" s="43"/>
      <c r="B195" s="34" t="str">
        <f aca="false">IF($A195="","",IF(ISERROR(FIND(".",$A195)),"",LOWER(MID($A195,FIND(CHAR(1),SUBSTITUTE($A195,".",CHAR(1),LEN($A195)-LEN(SUBSTITUTE($A195,".",""))))+1,LEN($A195)))))</f>
        <v/>
      </c>
      <c r="C195" s="35" t="str">
        <f aca="false">IF($B195="","",IFERROR(INDEX(Rubric!$B$15:$B$24,MATCH(LOWER($B195),Rubric!$A$15:$A$24,0)),INDEX(Rubric!$B$15:$B$24,MATCH("other",Rubric!$A$15:$A$24,0))))</f>
        <v/>
      </c>
      <c r="D195" s="26"/>
      <c r="E195" s="26"/>
      <c r="F195" s="26"/>
      <c r="G195" s="26"/>
      <c r="H195" s="26"/>
      <c r="I195" s="26"/>
      <c r="J195" s="26"/>
      <c r="K195" s="27"/>
      <c r="L195" s="27"/>
      <c r="M195" s="36" t="str">
        <f aca="false">IF($B195="","",IFERROR(INDEX(Rubric!$C$15:$C$24,MATCH(LOWER($B195),Rubric!$A$15:$A$24,0)),INDEX(Rubric!$C$15:$C$24,MATCH("other",Rubric!$A$15:$A$24,0))))</f>
        <v/>
      </c>
      <c r="N195" s="37" t="str">
        <f aca="false">IF(OR($A195="",$C195=""),"",$C195*Rubric!$B$5+$D195*Rubric!$B$6+$E195*Rubric!$B$7+$F195*Rubric!$B$8+$G195*Rubric!$B$9+$H195*Rubric!$B$10)</f>
        <v/>
      </c>
      <c r="O195" s="38" t="str">
        <f aca="false">IF($A195="","",IF(OR(UPPER($I195)="Y",UPPER($J195)="Y"),"FAIL","PASS"))</f>
        <v/>
      </c>
      <c r="P195" s="39" t="str">
        <f aca="false">IF(OR($A195="",$L195=""),"",MAX(0,$L195-MAX($L195*Assumptions!$B$4,Assumptions!$B$5)))</f>
        <v/>
      </c>
      <c r="Q195" s="40" t="str">
        <f aca="false">IF($A195="","",Assumptions!$B$13)</f>
        <v/>
      </c>
      <c r="R195" s="39" t="str">
        <f aca="false">IF(OR($A195="",$M195=""),"",$M195*Assumptions!$B$7)</f>
        <v/>
      </c>
      <c r="S195" s="39" t="str">
        <f aca="false">IF(OR($A195="",$P195="",$R195=""),"",MAX(0,$P195*$Q195-$R195))</f>
        <v/>
      </c>
      <c r="T195" s="38" t="str">
        <f aca="false">IF($A195="","",IF($O195="FAIL","REJECT",IF($N195&gt;=4,IF(AND($K195&lt;&gt;"",$K195&gt;$S195),"BUY IF CHEAPER","BUY"),IF($N195&gt;=3.2,"WATCH","PASS"))))</f>
        <v/>
      </c>
      <c r="U195" s="26"/>
      <c r="V195" s="33"/>
    </row>
    <row r="196" customFormat="false" ht="15" hidden="false" customHeight="true" outlineLevel="0" collapsed="false">
      <c r="A196" s="43"/>
      <c r="B196" s="34" t="str">
        <f aca="false">IF($A196="","",IF(ISERROR(FIND(".",$A196)),"",LOWER(MID($A196,FIND(CHAR(1),SUBSTITUTE($A196,".",CHAR(1),LEN($A196)-LEN(SUBSTITUTE($A196,".",""))))+1,LEN($A196)))))</f>
        <v/>
      </c>
      <c r="C196" s="35" t="str">
        <f aca="false">IF($B196="","",IFERROR(INDEX(Rubric!$B$15:$B$24,MATCH(LOWER($B196),Rubric!$A$15:$A$24,0)),INDEX(Rubric!$B$15:$B$24,MATCH("other",Rubric!$A$15:$A$24,0))))</f>
        <v/>
      </c>
      <c r="D196" s="26"/>
      <c r="E196" s="26"/>
      <c r="F196" s="26"/>
      <c r="G196" s="26"/>
      <c r="H196" s="26"/>
      <c r="I196" s="26"/>
      <c r="J196" s="26"/>
      <c r="K196" s="27"/>
      <c r="L196" s="27"/>
      <c r="M196" s="36" t="str">
        <f aca="false">IF($B196="","",IFERROR(INDEX(Rubric!$C$15:$C$24,MATCH(LOWER($B196),Rubric!$A$15:$A$24,0)),INDEX(Rubric!$C$15:$C$24,MATCH("other",Rubric!$A$15:$A$24,0))))</f>
        <v/>
      </c>
      <c r="N196" s="37" t="str">
        <f aca="false">IF(OR($A196="",$C196=""),"",$C196*Rubric!$B$5+$D196*Rubric!$B$6+$E196*Rubric!$B$7+$F196*Rubric!$B$8+$G196*Rubric!$B$9+$H196*Rubric!$B$10)</f>
        <v/>
      </c>
      <c r="O196" s="38" t="str">
        <f aca="false">IF($A196="","",IF(OR(UPPER($I196)="Y",UPPER($J196)="Y"),"FAIL","PASS"))</f>
        <v/>
      </c>
      <c r="P196" s="39" t="str">
        <f aca="false">IF(OR($A196="",$L196=""),"",MAX(0,$L196-MAX($L196*Assumptions!$B$4,Assumptions!$B$5)))</f>
        <v/>
      </c>
      <c r="Q196" s="40" t="str">
        <f aca="false">IF($A196="","",Assumptions!$B$13)</f>
        <v/>
      </c>
      <c r="R196" s="39" t="str">
        <f aca="false">IF(OR($A196="",$M196=""),"",$M196*Assumptions!$B$7)</f>
        <v/>
      </c>
      <c r="S196" s="39" t="str">
        <f aca="false">IF(OR($A196="",$P196="",$R196=""),"",MAX(0,$P196*$Q196-$R196))</f>
        <v/>
      </c>
      <c r="T196" s="38" t="str">
        <f aca="false">IF($A196="","",IF($O196="FAIL","REJECT",IF($N196&gt;=4,IF(AND($K196&lt;&gt;"",$K196&gt;$S196),"BUY IF CHEAPER","BUY"),IF($N196&gt;=3.2,"WATCH","PASS"))))</f>
        <v/>
      </c>
      <c r="U196" s="26"/>
      <c r="V196" s="33"/>
    </row>
    <row r="197" customFormat="false" ht="15" hidden="false" customHeight="true" outlineLevel="0" collapsed="false">
      <c r="A197" s="43"/>
      <c r="B197" s="34" t="str">
        <f aca="false">IF($A197="","",IF(ISERROR(FIND(".",$A197)),"",LOWER(MID($A197,FIND(CHAR(1),SUBSTITUTE($A197,".",CHAR(1),LEN($A197)-LEN(SUBSTITUTE($A197,".",""))))+1,LEN($A197)))))</f>
        <v/>
      </c>
      <c r="C197" s="35" t="str">
        <f aca="false">IF($B197="","",IFERROR(INDEX(Rubric!$B$15:$B$24,MATCH(LOWER($B197),Rubric!$A$15:$A$24,0)),INDEX(Rubric!$B$15:$B$24,MATCH("other",Rubric!$A$15:$A$24,0))))</f>
        <v/>
      </c>
      <c r="D197" s="26"/>
      <c r="E197" s="26"/>
      <c r="F197" s="26"/>
      <c r="G197" s="26"/>
      <c r="H197" s="26"/>
      <c r="I197" s="26"/>
      <c r="J197" s="26"/>
      <c r="K197" s="27"/>
      <c r="L197" s="27"/>
      <c r="M197" s="36" t="str">
        <f aca="false">IF($B197="","",IFERROR(INDEX(Rubric!$C$15:$C$24,MATCH(LOWER($B197),Rubric!$A$15:$A$24,0)),INDEX(Rubric!$C$15:$C$24,MATCH("other",Rubric!$A$15:$A$24,0))))</f>
        <v/>
      </c>
      <c r="N197" s="37" t="str">
        <f aca="false">IF(OR($A197="",$C197=""),"",$C197*Rubric!$B$5+$D197*Rubric!$B$6+$E197*Rubric!$B$7+$F197*Rubric!$B$8+$G197*Rubric!$B$9+$H197*Rubric!$B$10)</f>
        <v/>
      </c>
      <c r="O197" s="38" t="str">
        <f aca="false">IF($A197="","",IF(OR(UPPER($I197)="Y",UPPER($J197)="Y"),"FAIL","PASS"))</f>
        <v/>
      </c>
      <c r="P197" s="39" t="str">
        <f aca="false">IF(OR($A197="",$L197=""),"",MAX(0,$L197-MAX($L197*Assumptions!$B$4,Assumptions!$B$5)))</f>
        <v/>
      </c>
      <c r="Q197" s="40" t="str">
        <f aca="false">IF($A197="","",Assumptions!$B$13)</f>
        <v/>
      </c>
      <c r="R197" s="39" t="str">
        <f aca="false">IF(OR($A197="",$M197=""),"",$M197*Assumptions!$B$7)</f>
        <v/>
      </c>
      <c r="S197" s="39" t="str">
        <f aca="false">IF(OR($A197="",$P197="",$R197=""),"",MAX(0,$P197*$Q197-$R197))</f>
        <v/>
      </c>
      <c r="T197" s="38" t="str">
        <f aca="false">IF($A197="","",IF($O197="FAIL","REJECT",IF($N197&gt;=4,IF(AND($K197&lt;&gt;"",$K197&gt;$S197),"BUY IF CHEAPER","BUY"),IF($N197&gt;=3.2,"WATCH","PASS"))))</f>
        <v/>
      </c>
      <c r="U197" s="26"/>
      <c r="V197" s="33"/>
    </row>
    <row r="198" customFormat="false" ht="15" hidden="false" customHeight="true" outlineLevel="0" collapsed="false">
      <c r="A198" s="43"/>
      <c r="B198" s="34" t="str">
        <f aca="false">IF($A198="","",IF(ISERROR(FIND(".",$A198)),"",LOWER(MID($A198,FIND(CHAR(1),SUBSTITUTE($A198,".",CHAR(1),LEN($A198)-LEN(SUBSTITUTE($A198,".",""))))+1,LEN($A198)))))</f>
        <v/>
      </c>
      <c r="C198" s="35" t="str">
        <f aca="false">IF($B198="","",IFERROR(INDEX(Rubric!$B$15:$B$24,MATCH(LOWER($B198),Rubric!$A$15:$A$24,0)),INDEX(Rubric!$B$15:$B$24,MATCH("other",Rubric!$A$15:$A$24,0))))</f>
        <v/>
      </c>
      <c r="D198" s="26"/>
      <c r="E198" s="26"/>
      <c r="F198" s="26"/>
      <c r="G198" s="26"/>
      <c r="H198" s="26"/>
      <c r="I198" s="26"/>
      <c r="J198" s="26"/>
      <c r="K198" s="27"/>
      <c r="L198" s="27"/>
      <c r="M198" s="36" t="str">
        <f aca="false">IF($B198="","",IFERROR(INDEX(Rubric!$C$15:$C$24,MATCH(LOWER($B198),Rubric!$A$15:$A$24,0)),INDEX(Rubric!$C$15:$C$24,MATCH("other",Rubric!$A$15:$A$24,0))))</f>
        <v/>
      </c>
      <c r="N198" s="37" t="str">
        <f aca="false">IF(OR($A198="",$C198=""),"",$C198*Rubric!$B$5+$D198*Rubric!$B$6+$E198*Rubric!$B$7+$F198*Rubric!$B$8+$G198*Rubric!$B$9+$H198*Rubric!$B$10)</f>
        <v/>
      </c>
      <c r="O198" s="38" t="str">
        <f aca="false">IF($A198="","",IF(OR(UPPER($I198)="Y",UPPER($J198)="Y"),"FAIL","PASS"))</f>
        <v/>
      </c>
      <c r="P198" s="39" t="str">
        <f aca="false">IF(OR($A198="",$L198=""),"",MAX(0,$L198-MAX($L198*Assumptions!$B$4,Assumptions!$B$5)))</f>
        <v/>
      </c>
      <c r="Q198" s="40" t="str">
        <f aca="false">IF($A198="","",Assumptions!$B$13)</f>
        <v/>
      </c>
      <c r="R198" s="39" t="str">
        <f aca="false">IF(OR($A198="",$M198=""),"",$M198*Assumptions!$B$7)</f>
        <v/>
      </c>
      <c r="S198" s="39" t="str">
        <f aca="false">IF(OR($A198="",$P198="",$R198=""),"",MAX(0,$P198*$Q198-$R198))</f>
        <v/>
      </c>
      <c r="T198" s="38" t="str">
        <f aca="false">IF($A198="","",IF($O198="FAIL","REJECT",IF($N198&gt;=4,IF(AND($K198&lt;&gt;"",$K198&gt;$S198),"BUY IF CHEAPER","BUY"),IF($N198&gt;=3.2,"WATCH","PASS"))))</f>
        <v/>
      </c>
      <c r="U198" s="26"/>
      <c r="V198" s="33"/>
    </row>
    <row r="199" customFormat="false" ht="15" hidden="false" customHeight="true" outlineLevel="0" collapsed="false">
      <c r="A199" s="43"/>
      <c r="B199" s="34" t="str">
        <f aca="false">IF($A199="","",IF(ISERROR(FIND(".",$A199)),"",LOWER(MID($A199,FIND(CHAR(1),SUBSTITUTE($A199,".",CHAR(1),LEN($A199)-LEN(SUBSTITUTE($A199,".",""))))+1,LEN($A199)))))</f>
        <v/>
      </c>
      <c r="C199" s="35" t="str">
        <f aca="false">IF($B199="","",IFERROR(INDEX(Rubric!$B$15:$B$24,MATCH(LOWER($B199),Rubric!$A$15:$A$24,0)),INDEX(Rubric!$B$15:$B$24,MATCH("other",Rubric!$A$15:$A$24,0))))</f>
        <v/>
      </c>
      <c r="D199" s="26"/>
      <c r="E199" s="26"/>
      <c r="F199" s="26"/>
      <c r="G199" s="26"/>
      <c r="H199" s="26"/>
      <c r="I199" s="26"/>
      <c r="J199" s="26"/>
      <c r="K199" s="27"/>
      <c r="L199" s="27"/>
      <c r="M199" s="36" t="str">
        <f aca="false">IF($B199="","",IFERROR(INDEX(Rubric!$C$15:$C$24,MATCH(LOWER($B199),Rubric!$A$15:$A$24,0)),INDEX(Rubric!$C$15:$C$24,MATCH("other",Rubric!$A$15:$A$24,0))))</f>
        <v/>
      </c>
      <c r="N199" s="37" t="str">
        <f aca="false">IF(OR($A199="",$C199=""),"",$C199*Rubric!$B$5+$D199*Rubric!$B$6+$E199*Rubric!$B$7+$F199*Rubric!$B$8+$G199*Rubric!$B$9+$H199*Rubric!$B$10)</f>
        <v/>
      </c>
      <c r="O199" s="38" t="str">
        <f aca="false">IF($A199="","",IF(OR(UPPER($I199)="Y",UPPER($J199)="Y"),"FAIL","PASS"))</f>
        <v/>
      </c>
      <c r="P199" s="39" t="str">
        <f aca="false">IF(OR($A199="",$L199=""),"",MAX(0,$L199-MAX($L199*Assumptions!$B$4,Assumptions!$B$5)))</f>
        <v/>
      </c>
      <c r="Q199" s="40" t="str">
        <f aca="false">IF($A199="","",Assumptions!$B$13)</f>
        <v/>
      </c>
      <c r="R199" s="39" t="str">
        <f aca="false">IF(OR($A199="",$M199=""),"",$M199*Assumptions!$B$7)</f>
        <v/>
      </c>
      <c r="S199" s="39" t="str">
        <f aca="false">IF(OR($A199="",$P199="",$R199=""),"",MAX(0,$P199*$Q199-$R199))</f>
        <v/>
      </c>
      <c r="T199" s="38" t="str">
        <f aca="false">IF($A199="","",IF($O199="FAIL","REJECT",IF($N199&gt;=4,IF(AND($K199&lt;&gt;"",$K199&gt;$S199),"BUY IF CHEAPER","BUY"),IF($N199&gt;=3.2,"WATCH","PASS"))))</f>
        <v/>
      </c>
      <c r="U199" s="26"/>
      <c r="V199" s="33"/>
    </row>
    <row r="200" customFormat="false" ht="15" hidden="false" customHeight="true" outlineLevel="0" collapsed="false">
      <c r="A200" s="43"/>
      <c r="B200" s="34" t="str">
        <f aca="false">IF($A200="","",IF(ISERROR(FIND(".",$A200)),"",LOWER(MID($A200,FIND(CHAR(1),SUBSTITUTE($A200,".",CHAR(1),LEN($A200)-LEN(SUBSTITUTE($A200,".",""))))+1,LEN($A200)))))</f>
        <v/>
      </c>
      <c r="C200" s="35" t="str">
        <f aca="false">IF($B200="","",IFERROR(INDEX(Rubric!$B$15:$B$24,MATCH(LOWER($B200),Rubric!$A$15:$A$24,0)),INDEX(Rubric!$B$15:$B$24,MATCH("other",Rubric!$A$15:$A$24,0))))</f>
        <v/>
      </c>
      <c r="D200" s="26"/>
      <c r="E200" s="26"/>
      <c r="F200" s="26"/>
      <c r="G200" s="26"/>
      <c r="H200" s="26"/>
      <c r="I200" s="26"/>
      <c r="J200" s="26"/>
      <c r="K200" s="27"/>
      <c r="L200" s="27"/>
      <c r="M200" s="36" t="str">
        <f aca="false">IF($B200="","",IFERROR(INDEX(Rubric!$C$15:$C$24,MATCH(LOWER($B200),Rubric!$A$15:$A$24,0)),INDEX(Rubric!$C$15:$C$24,MATCH("other",Rubric!$A$15:$A$24,0))))</f>
        <v/>
      </c>
      <c r="N200" s="37" t="str">
        <f aca="false">IF(OR($A200="",$C200=""),"",$C200*Rubric!$B$5+$D200*Rubric!$B$6+$E200*Rubric!$B$7+$F200*Rubric!$B$8+$G200*Rubric!$B$9+$H200*Rubric!$B$10)</f>
        <v/>
      </c>
      <c r="O200" s="38" t="str">
        <f aca="false">IF($A200="","",IF(OR(UPPER($I200)="Y",UPPER($J200)="Y"),"FAIL","PASS"))</f>
        <v/>
      </c>
      <c r="P200" s="39" t="str">
        <f aca="false">IF(OR($A200="",$L200=""),"",MAX(0,$L200-MAX($L200*Assumptions!$B$4,Assumptions!$B$5)))</f>
        <v/>
      </c>
      <c r="Q200" s="40" t="str">
        <f aca="false">IF($A200="","",Assumptions!$B$13)</f>
        <v/>
      </c>
      <c r="R200" s="39" t="str">
        <f aca="false">IF(OR($A200="",$M200=""),"",$M200*Assumptions!$B$7)</f>
        <v/>
      </c>
      <c r="S200" s="39" t="str">
        <f aca="false">IF(OR($A200="",$P200="",$R200=""),"",MAX(0,$P200*$Q200-$R200))</f>
        <v/>
      </c>
      <c r="T200" s="38" t="str">
        <f aca="false">IF($A200="","",IF($O200="FAIL","REJECT",IF($N200&gt;=4,IF(AND($K200&lt;&gt;"",$K200&gt;$S200),"BUY IF CHEAPER","BUY"),IF($N200&gt;=3.2,"WATCH","PASS"))))</f>
        <v/>
      </c>
      <c r="U200" s="26"/>
      <c r="V200" s="33"/>
    </row>
    <row r="201" customFormat="false" ht="15" hidden="false" customHeight="true" outlineLevel="0" collapsed="false">
      <c r="A201" s="43"/>
      <c r="B201" s="34" t="str">
        <f aca="false">IF($A201="","",IF(ISERROR(FIND(".",$A201)),"",LOWER(MID($A201,FIND(CHAR(1),SUBSTITUTE($A201,".",CHAR(1),LEN($A201)-LEN(SUBSTITUTE($A201,".",""))))+1,LEN($A201)))))</f>
        <v/>
      </c>
      <c r="C201" s="35" t="str">
        <f aca="false">IF($B201="","",IFERROR(INDEX(Rubric!$B$15:$B$24,MATCH(LOWER($B201),Rubric!$A$15:$A$24,0)),INDEX(Rubric!$B$15:$B$24,MATCH("other",Rubric!$A$15:$A$24,0))))</f>
        <v/>
      </c>
      <c r="D201" s="26"/>
      <c r="E201" s="26"/>
      <c r="F201" s="26"/>
      <c r="G201" s="26"/>
      <c r="H201" s="26"/>
      <c r="I201" s="26"/>
      <c r="J201" s="26"/>
      <c r="K201" s="27"/>
      <c r="L201" s="27"/>
      <c r="M201" s="36" t="str">
        <f aca="false">IF($B201="","",IFERROR(INDEX(Rubric!$C$15:$C$24,MATCH(LOWER($B201),Rubric!$A$15:$A$24,0)),INDEX(Rubric!$C$15:$C$24,MATCH("other",Rubric!$A$15:$A$24,0))))</f>
        <v/>
      </c>
      <c r="N201" s="37" t="str">
        <f aca="false">IF(OR($A201="",$C201=""),"",$C201*Rubric!$B$5+$D201*Rubric!$B$6+$E201*Rubric!$B$7+$F201*Rubric!$B$8+$G201*Rubric!$B$9+$H201*Rubric!$B$10)</f>
        <v/>
      </c>
      <c r="O201" s="38" t="str">
        <f aca="false">IF($A201="","",IF(OR(UPPER($I201)="Y",UPPER($J201)="Y"),"FAIL","PASS"))</f>
        <v/>
      </c>
      <c r="P201" s="39" t="str">
        <f aca="false">IF(OR($A201="",$L201=""),"",MAX(0,$L201-MAX($L201*Assumptions!$B$4,Assumptions!$B$5)))</f>
        <v/>
      </c>
      <c r="Q201" s="40" t="str">
        <f aca="false">IF($A201="","",Assumptions!$B$13)</f>
        <v/>
      </c>
      <c r="R201" s="39" t="str">
        <f aca="false">IF(OR($A201="",$M201=""),"",$M201*Assumptions!$B$7)</f>
        <v/>
      </c>
      <c r="S201" s="39" t="str">
        <f aca="false">IF(OR($A201="",$P201="",$R201=""),"",MAX(0,$P201*$Q201-$R201))</f>
        <v/>
      </c>
      <c r="T201" s="38" t="str">
        <f aca="false">IF($A201="","",IF($O201="FAIL","REJECT",IF($N201&gt;=4,IF(AND($K201&lt;&gt;"",$K201&gt;$S201),"BUY IF CHEAPER","BUY"),IF($N201&gt;=3.2,"WATCH","PASS"))))</f>
        <v/>
      </c>
      <c r="U201" s="26"/>
      <c r="V201" s="33"/>
    </row>
    <row r="202" customFormat="false" ht="15" hidden="false" customHeight="true" outlineLevel="0" collapsed="false">
      <c r="A202" s="43"/>
      <c r="B202" s="34" t="str">
        <f aca="false">IF($A202="","",IF(ISERROR(FIND(".",$A202)),"",LOWER(MID($A202,FIND(CHAR(1),SUBSTITUTE($A202,".",CHAR(1),LEN($A202)-LEN(SUBSTITUTE($A202,".",""))))+1,LEN($A202)))))</f>
        <v/>
      </c>
      <c r="C202" s="35" t="str">
        <f aca="false">IF($B202="","",IFERROR(INDEX(Rubric!$B$15:$B$24,MATCH(LOWER($B202),Rubric!$A$15:$A$24,0)),INDEX(Rubric!$B$15:$B$24,MATCH("other",Rubric!$A$15:$A$24,0))))</f>
        <v/>
      </c>
      <c r="D202" s="26"/>
      <c r="E202" s="26"/>
      <c r="F202" s="26"/>
      <c r="G202" s="26"/>
      <c r="H202" s="26"/>
      <c r="I202" s="26"/>
      <c r="J202" s="26"/>
      <c r="K202" s="27"/>
      <c r="L202" s="27"/>
      <c r="M202" s="36" t="str">
        <f aca="false">IF($B202="","",IFERROR(INDEX(Rubric!$C$15:$C$24,MATCH(LOWER($B202),Rubric!$A$15:$A$24,0)),INDEX(Rubric!$C$15:$C$24,MATCH("other",Rubric!$A$15:$A$24,0))))</f>
        <v/>
      </c>
      <c r="N202" s="37" t="str">
        <f aca="false">IF(OR($A202="",$C202=""),"",$C202*Rubric!$B$5+$D202*Rubric!$B$6+$E202*Rubric!$B$7+$F202*Rubric!$B$8+$G202*Rubric!$B$9+$H202*Rubric!$B$10)</f>
        <v/>
      </c>
      <c r="O202" s="38" t="str">
        <f aca="false">IF($A202="","",IF(OR(UPPER($I202)="Y",UPPER($J202)="Y"),"FAIL","PASS"))</f>
        <v/>
      </c>
      <c r="P202" s="39" t="str">
        <f aca="false">IF(OR($A202="",$L202=""),"",MAX(0,$L202-MAX($L202*Assumptions!$B$4,Assumptions!$B$5)))</f>
        <v/>
      </c>
      <c r="Q202" s="40" t="str">
        <f aca="false">IF($A202="","",Assumptions!$B$13)</f>
        <v/>
      </c>
      <c r="R202" s="39" t="str">
        <f aca="false">IF(OR($A202="",$M202=""),"",$M202*Assumptions!$B$7)</f>
        <v/>
      </c>
      <c r="S202" s="39" t="str">
        <f aca="false">IF(OR($A202="",$P202="",$R202=""),"",MAX(0,$P202*$Q202-$R202))</f>
        <v/>
      </c>
      <c r="T202" s="38" t="str">
        <f aca="false">IF($A202="","",IF($O202="FAIL","REJECT",IF($N202&gt;=4,IF(AND($K202&lt;&gt;"",$K202&gt;$S202),"BUY IF CHEAPER","BUY"),IF($N202&gt;=3.2,"WATCH","PASS"))))</f>
        <v/>
      </c>
      <c r="U202" s="26"/>
      <c r="V202" s="33"/>
    </row>
    <row r="203" customFormat="false" ht="15" hidden="false" customHeight="true" outlineLevel="0" collapsed="false">
      <c r="A203" s="43"/>
      <c r="B203" s="34" t="str">
        <f aca="false">IF($A203="","",IF(ISERROR(FIND(".",$A203)),"",LOWER(MID($A203,FIND(CHAR(1),SUBSTITUTE($A203,".",CHAR(1),LEN($A203)-LEN(SUBSTITUTE($A203,".",""))))+1,LEN($A203)))))</f>
        <v/>
      </c>
      <c r="C203" s="35" t="str">
        <f aca="false">IF($B203="","",IFERROR(INDEX(Rubric!$B$15:$B$24,MATCH(LOWER($B203),Rubric!$A$15:$A$24,0)),INDEX(Rubric!$B$15:$B$24,MATCH("other",Rubric!$A$15:$A$24,0))))</f>
        <v/>
      </c>
      <c r="D203" s="26"/>
      <c r="E203" s="26"/>
      <c r="F203" s="26"/>
      <c r="G203" s="26"/>
      <c r="H203" s="26"/>
      <c r="I203" s="26"/>
      <c r="J203" s="26"/>
      <c r="K203" s="27"/>
      <c r="L203" s="27"/>
      <c r="M203" s="36" t="str">
        <f aca="false">IF($B203="","",IFERROR(INDEX(Rubric!$C$15:$C$24,MATCH(LOWER($B203),Rubric!$A$15:$A$24,0)),INDEX(Rubric!$C$15:$C$24,MATCH("other",Rubric!$A$15:$A$24,0))))</f>
        <v/>
      </c>
      <c r="N203" s="37" t="str">
        <f aca="false">IF(OR($A203="",$C203=""),"",$C203*Rubric!$B$5+$D203*Rubric!$B$6+$E203*Rubric!$B$7+$F203*Rubric!$B$8+$G203*Rubric!$B$9+$H203*Rubric!$B$10)</f>
        <v/>
      </c>
      <c r="O203" s="38" t="str">
        <f aca="false">IF($A203="","",IF(OR(UPPER($I203)="Y",UPPER($J203)="Y"),"FAIL","PASS"))</f>
        <v/>
      </c>
      <c r="P203" s="39" t="str">
        <f aca="false">IF(OR($A203="",$L203=""),"",MAX(0,$L203-MAX($L203*Assumptions!$B$4,Assumptions!$B$5)))</f>
        <v/>
      </c>
      <c r="Q203" s="40" t="str">
        <f aca="false">IF($A203="","",Assumptions!$B$13)</f>
        <v/>
      </c>
      <c r="R203" s="39" t="str">
        <f aca="false">IF(OR($A203="",$M203=""),"",$M203*Assumptions!$B$7)</f>
        <v/>
      </c>
      <c r="S203" s="39" t="str">
        <f aca="false">IF(OR($A203="",$P203="",$R203=""),"",MAX(0,$P203*$Q203-$R203))</f>
        <v/>
      </c>
      <c r="T203" s="38" t="str">
        <f aca="false">IF($A203="","",IF($O203="FAIL","REJECT",IF($N203&gt;=4,IF(AND($K203&lt;&gt;"",$K203&gt;$S203),"BUY IF CHEAPER","BUY"),IF($N203&gt;=3.2,"WATCH","PASS"))))</f>
        <v/>
      </c>
      <c r="U203" s="26"/>
      <c r="V203" s="33"/>
    </row>
    <row r="204" customFormat="false" ht="15" hidden="false" customHeight="true" outlineLevel="0" collapsed="false">
      <c r="A204" s="43"/>
      <c r="B204" s="34" t="str">
        <f aca="false">IF($A204="","",IF(ISERROR(FIND(".",$A204)),"",LOWER(MID($A204,FIND(CHAR(1),SUBSTITUTE($A204,".",CHAR(1),LEN($A204)-LEN(SUBSTITUTE($A204,".",""))))+1,LEN($A204)))))</f>
        <v/>
      </c>
      <c r="C204" s="35" t="str">
        <f aca="false">IF($B204="","",IFERROR(INDEX(Rubric!$B$15:$B$24,MATCH(LOWER($B204),Rubric!$A$15:$A$24,0)),INDEX(Rubric!$B$15:$B$24,MATCH("other",Rubric!$A$15:$A$24,0))))</f>
        <v/>
      </c>
      <c r="D204" s="26"/>
      <c r="E204" s="26"/>
      <c r="F204" s="26"/>
      <c r="G204" s="26"/>
      <c r="H204" s="26"/>
      <c r="I204" s="26"/>
      <c r="J204" s="26"/>
      <c r="K204" s="27"/>
      <c r="L204" s="27"/>
      <c r="M204" s="36" t="str">
        <f aca="false">IF($B204="","",IFERROR(INDEX(Rubric!$C$15:$C$24,MATCH(LOWER($B204),Rubric!$A$15:$A$24,0)),INDEX(Rubric!$C$15:$C$24,MATCH("other",Rubric!$A$15:$A$24,0))))</f>
        <v/>
      </c>
      <c r="N204" s="37" t="str">
        <f aca="false">IF(OR($A204="",$C204=""),"",$C204*Rubric!$B$5+$D204*Rubric!$B$6+$E204*Rubric!$B$7+$F204*Rubric!$B$8+$G204*Rubric!$B$9+$H204*Rubric!$B$10)</f>
        <v/>
      </c>
      <c r="O204" s="38" t="str">
        <f aca="false">IF($A204="","",IF(OR(UPPER($I204)="Y",UPPER($J204)="Y"),"FAIL","PASS"))</f>
        <v/>
      </c>
      <c r="P204" s="39" t="str">
        <f aca="false">IF(OR($A204="",$L204=""),"",MAX(0,$L204-MAX($L204*Assumptions!$B$4,Assumptions!$B$5)))</f>
        <v/>
      </c>
      <c r="Q204" s="40" t="str">
        <f aca="false">IF($A204="","",Assumptions!$B$13)</f>
        <v/>
      </c>
      <c r="R204" s="39" t="str">
        <f aca="false">IF(OR($A204="",$M204=""),"",$M204*Assumptions!$B$7)</f>
        <v/>
      </c>
      <c r="S204" s="39" t="str">
        <f aca="false">IF(OR($A204="",$P204="",$R204=""),"",MAX(0,$P204*$Q204-$R204))</f>
        <v/>
      </c>
      <c r="T204" s="38" t="str">
        <f aca="false">IF($A204="","",IF($O204="FAIL","REJECT",IF($N204&gt;=4,IF(AND($K204&lt;&gt;"",$K204&gt;$S204),"BUY IF CHEAPER","BUY"),IF($N204&gt;=3.2,"WATCH","PASS"))))</f>
        <v/>
      </c>
      <c r="U204" s="26"/>
      <c r="V204" s="33"/>
    </row>
  </sheetData>
  <autoFilter ref="A4:V20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1"/>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8" min="7" style="1" width="11"/>
    <col collapsed="false" customWidth="true" hidden="false" outlineLevel="0" max="10" min="9" style="1" width="14"/>
    <col collapsed="false" customWidth="true" hidden="false" outlineLevel="0" max="11" min="11" style="1" width="16"/>
    <col collapsed="false" customWidth="true" hidden="false" outlineLevel="0" max="13" min="12" style="1" width="15"/>
    <col collapsed="false" customWidth="true" hidden="false" outlineLevel="0" max="14" min="14" style="1" width="40"/>
  </cols>
  <sheetData>
    <row r="1" customFormat="false" ht="24" hidden="false" customHeight="true" outlineLevel="0" collapsed="false">
      <c r="A1" s="2" t="s">
        <v>386</v>
      </c>
      <c r="B1" s="2"/>
      <c r="C1" s="2"/>
      <c r="D1" s="2"/>
      <c r="E1" s="2"/>
      <c r="F1" s="2"/>
      <c r="G1" s="2"/>
      <c r="H1" s="2"/>
      <c r="I1" s="2"/>
      <c r="J1" s="2"/>
      <c r="K1" s="2"/>
      <c r="L1" s="2"/>
      <c r="M1" s="2"/>
      <c r="N1" s="2"/>
    </row>
    <row r="2" customFormat="false" ht="15" hidden="false" customHeight="true" outlineLevel="0" collapsed="false">
      <c r="A2" s="18" t="s">
        <v>387</v>
      </c>
    </row>
    <row r="4" customFormat="false" ht="42" hidden="false" customHeight="true" outlineLevel="0" collapsed="false">
      <c r="A4" s="8" t="s">
        <v>147</v>
      </c>
      <c r="B4" s="8" t="s">
        <v>148</v>
      </c>
      <c r="C4" s="8" t="s">
        <v>388</v>
      </c>
      <c r="D4" s="8" t="s">
        <v>389</v>
      </c>
      <c r="E4" s="8" t="s">
        <v>157</v>
      </c>
      <c r="F4" s="8" t="s">
        <v>159</v>
      </c>
      <c r="G4" s="8" t="s">
        <v>390</v>
      </c>
      <c r="H4" s="8" t="s">
        <v>391</v>
      </c>
      <c r="I4" s="8" t="s">
        <v>392</v>
      </c>
      <c r="J4" s="8" t="s">
        <v>393</v>
      </c>
      <c r="K4" s="8" t="s">
        <v>394</v>
      </c>
      <c r="L4" s="8" t="s">
        <v>395</v>
      </c>
      <c r="M4" s="8" t="s">
        <v>396</v>
      </c>
      <c r="N4" s="8" t="s">
        <v>167</v>
      </c>
    </row>
    <row r="5" customFormat="false" ht="15" hidden="false" customHeight="true" outlineLevel="0" collapsed="false">
      <c r="A5" s="44" t="s">
        <v>174</v>
      </c>
      <c r="B5" s="24" t="str">
        <f aca="false">IF($A5="","",IF(ISERROR(FIND(".",$A5)),"",LOWER(MID($A5,FIND(CHAR(1),SUBSTITUTE($A5,".",CHAR(1),LEN($A5)-LEN(SUBSTITUTE($A5,".",""))))+1,LEN($A5)))))</f>
        <v>com</v>
      </c>
      <c r="C5" s="45" t="s">
        <v>397</v>
      </c>
      <c r="D5" s="46" t="n">
        <v>45363</v>
      </c>
      <c r="E5" s="47" t="n">
        <v>2400</v>
      </c>
      <c r="F5" s="28" t="n">
        <f aca="false">IF($B5="","",IFERROR(INDEX(Rubric!$C$15:$C$24,MATCH(LOWER($B5),Rubric!$A$15:$A$24,0)),INDEX(Rubric!$C$15:$C$24,MATCH("other",Rubric!$A$15:$A$24,0))))</f>
        <v>11</v>
      </c>
      <c r="G5" s="29" t="n">
        <f aca="true">IF(OR($A5="",$D5=""),"",YEARFRAC($D5,TODAY()))</f>
        <v>2.39166666666667</v>
      </c>
      <c r="H5" s="48" t="n">
        <f aca="false">IF($G5="","",MAX(0,INT($G5)))</f>
        <v>2</v>
      </c>
      <c r="I5" s="31" t="n">
        <f aca="false">IF(OR($F5="",$H5=""),"",$F5*$H5)</f>
        <v>22</v>
      </c>
      <c r="J5" s="31" t="n">
        <f aca="false">IF(OR($A5="",$E5=""),"",$E5+IF($I5="",0,$I5))</f>
        <v>2422</v>
      </c>
      <c r="K5" s="31" t="n">
        <f aca="false">IF(OR($J5="",$J5=0),"",$J5/(1-Assumptions!$B$4))</f>
        <v>3027.5</v>
      </c>
      <c r="L5" s="31" t="n">
        <f aca="false">IF($K5="","",MAX($K5,$E5*Assumptions!$B$10))</f>
        <v>24000</v>
      </c>
      <c r="M5" s="47" t="n">
        <v>12000</v>
      </c>
      <c r="N5" s="49" t="s">
        <v>398</v>
      </c>
    </row>
    <row r="6" customFormat="false" ht="15" hidden="false" customHeight="true" outlineLevel="0" collapsed="false">
      <c r="A6" s="43"/>
      <c r="B6" s="34" t="str">
        <f aca="false">IF($A6="","",IF(ISERROR(FIND(".",$A6)),"",LOWER(MID($A6,FIND(CHAR(1),SUBSTITUTE($A6,".",CHAR(1),LEN($A6)-LEN(SUBSTITUTE($A6,".",""))))+1,LEN($A6)))))</f>
        <v/>
      </c>
      <c r="C6" s="26"/>
      <c r="D6" s="50"/>
      <c r="E6" s="27"/>
      <c r="F6" s="36" t="str">
        <f aca="false">IF($B6="","",IFERROR(INDEX(Rubric!$C$15:$C$24,MATCH(LOWER($B6),Rubric!$A$15:$A$24,0)),INDEX(Rubric!$C$15:$C$24,MATCH("other",Rubric!$A$15:$A$24,0))))</f>
        <v/>
      </c>
      <c r="G6" s="37" t="str">
        <f aca="true">IF(OR($A6="",$D6=""),"",YEARFRAC($D6,TODAY()))</f>
        <v/>
      </c>
      <c r="H6" s="51" t="str">
        <f aca="false">IF($G6="","",MAX(0,INT($G6)))</f>
        <v/>
      </c>
      <c r="I6" s="39" t="str">
        <f aca="false">IF(OR($F6="",$H6=""),"",$F6*$H6)</f>
        <v/>
      </c>
      <c r="J6" s="39" t="str">
        <f aca="false">IF(OR($A6="",$E6=""),"",$E6+IF($I6="",0,$I6))</f>
        <v/>
      </c>
      <c r="K6" s="39" t="str">
        <f aca="false">IF(OR($J6="",$J6=0),"",$J6/(1-Assumptions!$B$4))</f>
        <v/>
      </c>
      <c r="L6" s="39" t="str">
        <f aca="false">IF($K6="","",MAX($K6,$E6*Assumptions!$B$10))</f>
        <v/>
      </c>
      <c r="M6" s="27"/>
      <c r="N6" s="33"/>
    </row>
    <row r="7" customFormat="false" ht="15" hidden="false" customHeight="true" outlineLevel="0" collapsed="false">
      <c r="A7" s="43"/>
      <c r="B7" s="34" t="str">
        <f aca="false">IF($A7="","",IF(ISERROR(FIND(".",$A7)),"",LOWER(MID($A7,FIND(CHAR(1),SUBSTITUTE($A7,".",CHAR(1),LEN($A7)-LEN(SUBSTITUTE($A7,".",""))))+1,LEN($A7)))))</f>
        <v/>
      </c>
      <c r="C7" s="26"/>
      <c r="D7" s="50"/>
      <c r="E7" s="27"/>
      <c r="F7" s="36" t="str">
        <f aca="false">IF($B7="","",IFERROR(INDEX(Rubric!$C$15:$C$24,MATCH(LOWER($B7),Rubric!$A$15:$A$24,0)),INDEX(Rubric!$C$15:$C$24,MATCH("other",Rubric!$A$15:$A$24,0))))</f>
        <v/>
      </c>
      <c r="G7" s="37" t="str">
        <f aca="true">IF(OR($A7="",$D7=""),"",YEARFRAC($D7,TODAY()))</f>
        <v/>
      </c>
      <c r="H7" s="51" t="str">
        <f aca="false">IF($G7="","",MAX(0,INT($G7)))</f>
        <v/>
      </c>
      <c r="I7" s="39" t="str">
        <f aca="false">IF(OR($F7="",$H7=""),"",$F7*$H7)</f>
        <v/>
      </c>
      <c r="J7" s="39" t="str">
        <f aca="false">IF(OR($A7="",$E7=""),"",$E7+IF($I7="",0,$I7))</f>
        <v/>
      </c>
      <c r="K7" s="39" t="str">
        <f aca="false">IF(OR($J7="",$J7=0),"",$J7/(1-Assumptions!$B$4))</f>
        <v/>
      </c>
      <c r="L7" s="39" t="str">
        <f aca="false">IF($K7="","",MAX($K7,$E7*Assumptions!$B$10))</f>
        <v/>
      </c>
      <c r="M7" s="27"/>
      <c r="N7" s="33"/>
    </row>
    <row r="8" customFormat="false" ht="15" hidden="false" customHeight="true" outlineLevel="0" collapsed="false">
      <c r="A8" s="43"/>
      <c r="B8" s="34" t="str">
        <f aca="false">IF($A8="","",IF(ISERROR(FIND(".",$A8)),"",LOWER(MID($A8,FIND(CHAR(1),SUBSTITUTE($A8,".",CHAR(1),LEN($A8)-LEN(SUBSTITUTE($A8,".",""))))+1,LEN($A8)))))</f>
        <v/>
      </c>
      <c r="C8" s="26"/>
      <c r="D8" s="50"/>
      <c r="E8" s="27"/>
      <c r="F8" s="36" t="str">
        <f aca="false">IF($B8="","",IFERROR(INDEX(Rubric!$C$15:$C$24,MATCH(LOWER($B8),Rubric!$A$15:$A$24,0)),INDEX(Rubric!$C$15:$C$24,MATCH("other",Rubric!$A$15:$A$24,0))))</f>
        <v/>
      </c>
      <c r="G8" s="37" t="str">
        <f aca="true">IF(OR($A8="",$D8=""),"",YEARFRAC($D8,TODAY()))</f>
        <v/>
      </c>
      <c r="H8" s="51" t="str">
        <f aca="false">IF($G8="","",MAX(0,INT($G8)))</f>
        <v/>
      </c>
      <c r="I8" s="39" t="str">
        <f aca="false">IF(OR($F8="",$H8=""),"",$F8*$H8)</f>
        <v/>
      </c>
      <c r="J8" s="39" t="str">
        <f aca="false">IF(OR($A8="",$E8=""),"",$E8+IF($I8="",0,$I8))</f>
        <v/>
      </c>
      <c r="K8" s="39" t="str">
        <f aca="false">IF(OR($J8="",$J8=0),"",$J8/(1-Assumptions!$B$4))</f>
        <v/>
      </c>
      <c r="L8" s="39" t="str">
        <f aca="false">IF($K8="","",MAX($K8,$E8*Assumptions!$B$10))</f>
        <v/>
      </c>
      <c r="M8" s="27"/>
      <c r="N8" s="33"/>
    </row>
    <row r="9" customFormat="false" ht="15" hidden="false" customHeight="true" outlineLevel="0" collapsed="false">
      <c r="A9" s="43"/>
      <c r="B9" s="34" t="str">
        <f aca="false">IF($A9="","",IF(ISERROR(FIND(".",$A9)),"",LOWER(MID($A9,FIND(CHAR(1),SUBSTITUTE($A9,".",CHAR(1),LEN($A9)-LEN(SUBSTITUTE($A9,".",""))))+1,LEN($A9)))))</f>
        <v/>
      </c>
      <c r="C9" s="26"/>
      <c r="D9" s="50"/>
      <c r="E9" s="27"/>
      <c r="F9" s="36" t="str">
        <f aca="false">IF($B9="","",IFERROR(INDEX(Rubric!$C$15:$C$24,MATCH(LOWER($B9),Rubric!$A$15:$A$24,0)),INDEX(Rubric!$C$15:$C$24,MATCH("other",Rubric!$A$15:$A$24,0))))</f>
        <v/>
      </c>
      <c r="G9" s="37" t="str">
        <f aca="true">IF(OR($A9="",$D9=""),"",YEARFRAC($D9,TODAY()))</f>
        <v/>
      </c>
      <c r="H9" s="51" t="str">
        <f aca="false">IF($G9="","",MAX(0,INT($G9)))</f>
        <v/>
      </c>
      <c r="I9" s="39" t="str">
        <f aca="false">IF(OR($F9="",$H9=""),"",$F9*$H9)</f>
        <v/>
      </c>
      <c r="J9" s="39" t="str">
        <f aca="false">IF(OR($A9="",$E9=""),"",$E9+IF($I9="",0,$I9))</f>
        <v/>
      </c>
      <c r="K9" s="39" t="str">
        <f aca="false">IF(OR($J9="",$J9=0),"",$J9/(1-Assumptions!$B$4))</f>
        <v/>
      </c>
      <c r="L9" s="39" t="str">
        <f aca="false">IF($K9="","",MAX($K9,$E9*Assumptions!$B$10))</f>
        <v/>
      </c>
      <c r="M9" s="27"/>
      <c r="N9" s="33"/>
    </row>
    <row r="10" customFormat="false" ht="15" hidden="false" customHeight="true" outlineLevel="0" collapsed="false">
      <c r="A10" s="43"/>
      <c r="B10" s="34" t="str">
        <f aca="false">IF($A10="","",IF(ISERROR(FIND(".",$A10)),"",LOWER(MID($A10,FIND(CHAR(1),SUBSTITUTE($A10,".",CHAR(1),LEN($A10)-LEN(SUBSTITUTE($A10,".",""))))+1,LEN($A10)))))</f>
        <v/>
      </c>
      <c r="C10" s="26"/>
      <c r="D10" s="50"/>
      <c r="E10" s="27"/>
      <c r="F10" s="36" t="str">
        <f aca="false">IF($B10="","",IFERROR(INDEX(Rubric!$C$15:$C$24,MATCH(LOWER($B10),Rubric!$A$15:$A$24,0)),INDEX(Rubric!$C$15:$C$24,MATCH("other",Rubric!$A$15:$A$24,0))))</f>
        <v/>
      </c>
      <c r="G10" s="37" t="str">
        <f aca="true">IF(OR($A10="",$D10=""),"",YEARFRAC($D10,TODAY()))</f>
        <v/>
      </c>
      <c r="H10" s="51" t="str">
        <f aca="false">IF($G10="","",MAX(0,INT($G10)))</f>
        <v/>
      </c>
      <c r="I10" s="39" t="str">
        <f aca="false">IF(OR($F10="",$H10=""),"",$F10*$H10)</f>
        <v/>
      </c>
      <c r="J10" s="39" t="str">
        <f aca="false">IF(OR($A10="",$E10=""),"",$E10+IF($I10="",0,$I10))</f>
        <v/>
      </c>
      <c r="K10" s="39" t="str">
        <f aca="false">IF(OR($J10="",$J10=0),"",$J10/(1-Assumptions!$B$4))</f>
        <v/>
      </c>
      <c r="L10" s="39" t="str">
        <f aca="false">IF($K10="","",MAX($K10,$E10*Assumptions!$B$10))</f>
        <v/>
      </c>
      <c r="M10" s="27"/>
      <c r="N10" s="33"/>
    </row>
    <row r="11" customFormat="false" ht="15" hidden="false" customHeight="true" outlineLevel="0" collapsed="false">
      <c r="A11" s="43"/>
      <c r="B11" s="34" t="str">
        <f aca="false">IF($A11="","",IF(ISERROR(FIND(".",$A11)),"",LOWER(MID($A11,FIND(CHAR(1),SUBSTITUTE($A11,".",CHAR(1),LEN($A11)-LEN(SUBSTITUTE($A11,".",""))))+1,LEN($A11)))))</f>
        <v/>
      </c>
      <c r="C11" s="26"/>
      <c r="D11" s="50"/>
      <c r="E11" s="27"/>
      <c r="F11" s="36" t="str">
        <f aca="false">IF($B11="","",IFERROR(INDEX(Rubric!$C$15:$C$24,MATCH(LOWER($B11),Rubric!$A$15:$A$24,0)),INDEX(Rubric!$C$15:$C$24,MATCH("other",Rubric!$A$15:$A$24,0))))</f>
        <v/>
      </c>
      <c r="G11" s="37" t="str">
        <f aca="true">IF(OR($A11="",$D11=""),"",YEARFRAC($D11,TODAY()))</f>
        <v/>
      </c>
      <c r="H11" s="51" t="str">
        <f aca="false">IF($G11="","",MAX(0,INT($G11)))</f>
        <v/>
      </c>
      <c r="I11" s="39" t="str">
        <f aca="false">IF(OR($F11="",$H11=""),"",$F11*$H11)</f>
        <v/>
      </c>
      <c r="J11" s="39" t="str">
        <f aca="false">IF(OR($A11="",$E11=""),"",$E11+IF($I11="",0,$I11))</f>
        <v/>
      </c>
      <c r="K11" s="39" t="str">
        <f aca="false">IF(OR($J11="",$J11=0),"",$J11/(1-Assumptions!$B$4))</f>
        <v/>
      </c>
      <c r="L11" s="39" t="str">
        <f aca="false">IF($K11="","",MAX($K11,$E11*Assumptions!$B$10))</f>
        <v/>
      </c>
      <c r="M11" s="27"/>
      <c r="N11" s="33"/>
    </row>
    <row r="12" customFormat="false" ht="15" hidden="false" customHeight="true" outlineLevel="0" collapsed="false">
      <c r="A12" s="43"/>
      <c r="B12" s="34" t="str">
        <f aca="false">IF($A12="","",IF(ISERROR(FIND(".",$A12)),"",LOWER(MID($A12,FIND(CHAR(1),SUBSTITUTE($A12,".",CHAR(1),LEN($A12)-LEN(SUBSTITUTE($A12,".",""))))+1,LEN($A12)))))</f>
        <v/>
      </c>
      <c r="C12" s="26"/>
      <c r="D12" s="50"/>
      <c r="E12" s="27"/>
      <c r="F12" s="36" t="str">
        <f aca="false">IF($B12="","",IFERROR(INDEX(Rubric!$C$15:$C$24,MATCH(LOWER($B12),Rubric!$A$15:$A$24,0)),INDEX(Rubric!$C$15:$C$24,MATCH("other",Rubric!$A$15:$A$24,0))))</f>
        <v/>
      </c>
      <c r="G12" s="37" t="str">
        <f aca="true">IF(OR($A12="",$D12=""),"",YEARFRAC($D12,TODAY()))</f>
        <v/>
      </c>
      <c r="H12" s="51" t="str">
        <f aca="false">IF($G12="","",MAX(0,INT($G12)))</f>
        <v/>
      </c>
      <c r="I12" s="39" t="str">
        <f aca="false">IF(OR($F12="",$H12=""),"",$F12*$H12)</f>
        <v/>
      </c>
      <c r="J12" s="39" t="str">
        <f aca="false">IF(OR($A12="",$E12=""),"",$E12+IF($I12="",0,$I12))</f>
        <v/>
      </c>
      <c r="K12" s="39" t="str">
        <f aca="false">IF(OR($J12="",$J12=0),"",$J12/(1-Assumptions!$B$4))</f>
        <v/>
      </c>
      <c r="L12" s="39" t="str">
        <f aca="false">IF($K12="","",MAX($K12,$E12*Assumptions!$B$10))</f>
        <v/>
      </c>
      <c r="M12" s="27"/>
      <c r="N12" s="33"/>
    </row>
    <row r="13" customFormat="false" ht="15" hidden="false" customHeight="true" outlineLevel="0" collapsed="false">
      <c r="A13" s="43"/>
      <c r="B13" s="34" t="str">
        <f aca="false">IF($A13="","",IF(ISERROR(FIND(".",$A13)),"",LOWER(MID($A13,FIND(CHAR(1),SUBSTITUTE($A13,".",CHAR(1),LEN($A13)-LEN(SUBSTITUTE($A13,".",""))))+1,LEN($A13)))))</f>
        <v/>
      </c>
      <c r="C13" s="26"/>
      <c r="D13" s="50"/>
      <c r="E13" s="27"/>
      <c r="F13" s="36" t="str">
        <f aca="false">IF($B13="","",IFERROR(INDEX(Rubric!$C$15:$C$24,MATCH(LOWER($B13),Rubric!$A$15:$A$24,0)),INDEX(Rubric!$C$15:$C$24,MATCH("other",Rubric!$A$15:$A$24,0))))</f>
        <v/>
      </c>
      <c r="G13" s="37" t="str">
        <f aca="true">IF(OR($A13="",$D13=""),"",YEARFRAC($D13,TODAY()))</f>
        <v/>
      </c>
      <c r="H13" s="51" t="str">
        <f aca="false">IF($G13="","",MAX(0,INT($G13)))</f>
        <v/>
      </c>
      <c r="I13" s="39" t="str">
        <f aca="false">IF(OR($F13="",$H13=""),"",$F13*$H13)</f>
        <v/>
      </c>
      <c r="J13" s="39" t="str">
        <f aca="false">IF(OR($A13="",$E13=""),"",$E13+IF($I13="",0,$I13))</f>
        <v/>
      </c>
      <c r="K13" s="39" t="str">
        <f aca="false">IF(OR($J13="",$J13=0),"",$J13/(1-Assumptions!$B$4))</f>
        <v/>
      </c>
      <c r="L13" s="39" t="str">
        <f aca="false">IF($K13="","",MAX($K13,$E13*Assumptions!$B$10))</f>
        <v/>
      </c>
      <c r="M13" s="27"/>
      <c r="N13" s="33"/>
    </row>
    <row r="14" customFormat="false" ht="15" hidden="false" customHeight="true" outlineLevel="0" collapsed="false">
      <c r="A14" s="43"/>
      <c r="B14" s="34" t="str">
        <f aca="false">IF($A14="","",IF(ISERROR(FIND(".",$A14)),"",LOWER(MID($A14,FIND(CHAR(1),SUBSTITUTE($A14,".",CHAR(1),LEN($A14)-LEN(SUBSTITUTE($A14,".",""))))+1,LEN($A14)))))</f>
        <v/>
      </c>
      <c r="C14" s="26"/>
      <c r="D14" s="50"/>
      <c r="E14" s="27"/>
      <c r="F14" s="36" t="str">
        <f aca="false">IF($B14="","",IFERROR(INDEX(Rubric!$C$15:$C$24,MATCH(LOWER($B14),Rubric!$A$15:$A$24,0)),INDEX(Rubric!$C$15:$C$24,MATCH("other",Rubric!$A$15:$A$24,0))))</f>
        <v/>
      </c>
      <c r="G14" s="37" t="str">
        <f aca="true">IF(OR($A14="",$D14=""),"",YEARFRAC($D14,TODAY()))</f>
        <v/>
      </c>
      <c r="H14" s="51" t="str">
        <f aca="false">IF($G14="","",MAX(0,INT($G14)))</f>
        <v/>
      </c>
      <c r="I14" s="39" t="str">
        <f aca="false">IF(OR($F14="",$H14=""),"",$F14*$H14)</f>
        <v/>
      </c>
      <c r="J14" s="39" t="str">
        <f aca="false">IF(OR($A14="",$E14=""),"",$E14+IF($I14="",0,$I14))</f>
        <v/>
      </c>
      <c r="K14" s="39" t="str">
        <f aca="false">IF(OR($J14="",$J14=0),"",$J14/(1-Assumptions!$B$4))</f>
        <v/>
      </c>
      <c r="L14" s="39" t="str">
        <f aca="false">IF($K14="","",MAX($K14,$E14*Assumptions!$B$10))</f>
        <v/>
      </c>
      <c r="M14" s="27"/>
      <c r="N14" s="33"/>
    </row>
    <row r="15" customFormat="false" ht="15" hidden="false" customHeight="true" outlineLevel="0" collapsed="false">
      <c r="A15" s="43"/>
      <c r="B15" s="34" t="str">
        <f aca="false">IF($A15="","",IF(ISERROR(FIND(".",$A15)),"",LOWER(MID($A15,FIND(CHAR(1),SUBSTITUTE($A15,".",CHAR(1),LEN($A15)-LEN(SUBSTITUTE($A15,".",""))))+1,LEN($A15)))))</f>
        <v/>
      </c>
      <c r="C15" s="26"/>
      <c r="D15" s="50"/>
      <c r="E15" s="27"/>
      <c r="F15" s="36" t="str">
        <f aca="false">IF($B15="","",IFERROR(INDEX(Rubric!$C$15:$C$24,MATCH(LOWER($B15),Rubric!$A$15:$A$24,0)),INDEX(Rubric!$C$15:$C$24,MATCH("other",Rubric!$A$15:$A$24,0))))</f>
        <v/>
      </c>
      <c r="G15" s="37" t="str">
        <f aca="true">IF(OR($A15="",$D15=""),"",YEARFRAC($D15,TODAY()))</f>
        <v/>
      </c>
      <c r="H15" s="51" t="str">
        <f aca="false">IF($G15="","",MAX(0,INT($G15)))</f>
        <v/>
      </c>
      <c r="I15" s="39" t="str">
        <f aca="false">IF(OR($F15="",$H15=""),"",$F15*$H15)</f>
        <v/>
      </c>
      <c r="J15" s="39" t="str">
        <f aca="false">IF(OR($A15="",$E15=""),"",$E15+IF($I15="",0,$I15))</f>
        <v/>
      </c>
      <c r="K15" s="39" t="str">
        <f aca="false">IF(OR($J15="",$J15=0),"",$J15/(1-Assumptions!$B$4))</f>
        <v/>
      </c>
      <c r="L15" s="39" t="str">
        <f aca="false">IF($K15="","",MAX($K15,$E15*Assumptions!$B$10))</f>
        <v/>
      </c>
      <c r="M15" s="27"/>
      <c r="N15" s="33"/>
    </row>
    <row r="16" customFormat="false" ht="15" hidden="false" customHeight="true" outlineLevel="0" collapsed="false">
      <c r="A16" s="43"/>
      <c r="B16" s="34" t="str">
        <f aca="false">IF($A16="","",IF(ISERROR(FIND(".",$A16)),"",LOWER(MID($A16,FIND(CHAR(1),SUBSTITUTE($A16,".",CHAR(1),LEN($A16)-LEN(SUBSTITUTE($A16,".",""))))+1,LEN($A16)))))</f>
        <v/>
      </c>
      <c r="C16" s="26"/>
      <c r="D16" s="50"/>
      <c r="E16" s="27"/>
      <c r="F16" s="36" t="str">
        <f aca="false">IF($B16="","",IFERROR(INDEX(Rubric!$C$15:$C$24,MATCH(LOWER($B16),Rubric!$A$15:$A$24,0)),INDEX(Rubric!$C$15:$C$24,MATCH("other",Rubric!$A$15:$A$24,0))))</f>
        <v/>
      </c>
      <c r="G16" s="37" t="str">
        <f aca="true">IF(OR($A16="",$D16=""),"",YEARFRAC($D16,TODAY()))</f>
        <v/>
      </c>
      <c r="H16" s="51" t="str">
        <f aca="false">IF($G16="","",MAX(0,INT($G16)))</f>
        <v/>
      </c>
      <c r="I16" s="39" t="str">
        <f aca="false">IF(OR($F16="",$H16=""),"",$F16*$H16)</f>
        <v/>
      </c>
      <c r="J16" s="39" t="str">
        <f aca="false">IF(OR($A16="",$E16=""),"",$E16+IF($I16="",0,$I16))</f>
        <v/>
      </c>
      <c r="K16" s="39" t="str">
        <f aca="false">IF(OR($J16="",$J16=0),"",$J16/(1-Assumptions!$B$4))</f>
        <v/>
      </c>
      <c r="L16" s="39" t="str">
        <f aca="false">IF($K16="","",MAX($K16,$E16*Assumptions!$B$10))</f>
        <v/>
      </c>
      <c r="M16" s="27"/>
      <c r="N16" s="33"/>
    </row>
    <row r="17" customFormat="false" ht="15" hidden="false" customHeight="true" outlineLevel="0" collapsed="false">
      <c r="A17" s="43"/>
      <c r="B17" s="34" t="str">
        <f aca="false">IF($A17="","",IF(ISERROR(FIND(".",$A17)),"",LOWER(MID($A17,FIND(CHAR(1),SUBSTITUTE($A17,".",CHAR(1),LEN($A17)-LEN(SUBSTITUTE($A17,".",""))))+1,LEN($A17)))))</f>
        <v/>
      </c>
      <c r="C17" s="26"/>
      <c r="D17" s="50"/>
      <c r="E17" s="27"/>
      <c r="F17" s="36" t="str">
        <f aca="false">IF($B17="","",IFERROR(INDEX(Rubric!$C$15:$C$24,MATCH(LOWER($B17),Rubric!$A$15:$A$24,0)),INDEX(Rubric!$C$15:$C$24,MATCH("other",Rubric!$A$15:$A$24,0))))</f>
        <v/>
      </c>
      <c r="G17" s="37" t="str">
        <f aca="true">IF(OR($A17="",$D17=""),"",YEARFRAC($D17,TODAY()))</f>
        <v/>
      </c>
      <c r="H17" s="51" t="str">
        <f aca="false">IF($G17="","",MAX(0,INT($G17)))</f>
        <v/>
      </c>
      <c r="I17" s="39" t="str">
        <f aca="false">IF(OR($F17="",$H17=""),"",$F17*$H17)</f>
        <v/>
      </c>
      <c r="J17" s="39" t="str">
        <f aca="false">IF(OR($A17="",$E17=""),"",$E17+IF($I17="",0,$I17))</f>
        <v/>
      </c>
      <c r="K17" s="39" t="str">
        <f aca="false">IF(OR($J17="",$J17=0),"",$J17/(1-Assumptions!$B$4))</f>
        <v/>
      </c>
      <c r="L17" s="39" t="str">
        <f aca="false">IF($K17="","",MAX($K17,$E17*Assumptions!$B$10))</f>
        <v/>
      </c>
      <c r="M17" s="27"/>
      <c r="N17" s="33"/>
    </row>
    <row r="18" customFormat="false" ht="15" hidden="false" customHeight="true" outlineLevel="0" collapsed="false">
      <c r="A18" s="43"/>
      <c r="B18" s="34" t="str">
        <f aca="false">IF($A18="","",IF(ISERROR(FIND(".",$A18)),"",LOWER(MID($A18,FIND(CHAR(1),SUBSTITUTE($A18,".",CHAR(1),LEN($A18)-LEN(SUBSTITUTE($A18,".",""))))+1,LEN($A18)))))</f>
        <v/>
      </c>
      <c r="C18" s="26"/>
      <c r="D18" s="50"/>
      <c r="E18" s="27"/>
      <c r="F18" s="36" t="str">
        <f aca="false">IF($B18="","",IFERROR(INDEX(Rubric!$C$15:$C$24,MATCH(LOWER($B18),Rubric!$A$15:$A$24,0)),INDEX(Rubric!$C$15:$C$24,MATCH("other",Rubric!$A$15:$A$24,0))))</f>
        <v/>
      </c>
      <c r="G18" s="37" t="str">
        <f aca="true">IF(OR($A18="",$D18=""),"",YEARFRAC($D18,TODAY()))</f>
        <v/>
      </c>
      <c r="H18" s="51" t="str">
        <f aca="false">IF($G18="","",MAX(0,INT($G18)))</f>
        <v/>
      </c>
      <c r="I18" s="39" t="str">
        <f aca="false">IF(OR($F18="",$H18=""),"",$F18*$H18)</f>
        <v/>
      </c>
      <c r="J18" s="39" t="str">
        <f aca="false">IF(OR($A18="",$E18=""),"",$E18+IF($I18="",0,$I18))</f>
        <v/>
      </c>
      <c r="K18" s="39" t="str">
        <f aca="false">IF(OR($J18="",$J18=0),"",$J18/(1-Assumptions!$B$4))</f>
        <v/>
      </c>
      <c r="L18" s="39" t="str">
        <f aca="false">IF($K18="","",MAX($K18,$E18*Assumptions!$B$10))</f>
        <v/>
      </c>
      <c r="M18" s="27"/>
      <c r="N18" s="33"/>
    </row>
    <row r="19" customFormat="false" ht="15" hidden="false" customHeight="true" outlineLevel="0" collapsed="false">
      <c r="A19" s="43"/>
      <c r="B19" s="34" t="str">
        <f aca="false">IF($A19="","",IF(ISERROR(FIND(".",$A19)),"",LOWER(MID($A19,FIND(CHAR(1),SUBSTITUTE($A19,".",CHAR(1),LEN($A19)-LEN(SUBSTITUTE($A19,".",""))))+1,LEN($A19)))))</f>
        <v/>
      </c>
      <c r="C19" s="26"/>
      <c r="D19" s="50"/>
      <c r="E19" s="27"/>
      <c r="F19" s="36" t="str">
        <f aca="false">IF($B19="","",IFERROR(INDEX(Rubric!$C$15:$C$24,MATCH(LOWER($B19),Rubric!$A$15:$A$24,0)),INDEX(Rubric!$C$15:$C$24,MATCH("other",Rubric!$A$15:$A$24,0))))</f>
        <v/>
      </c>
      <c r="G19" s="37" t="str">
        <f aca="true">IF(OR($A19="",$D19=""),"",YEARFRAC($D19,TODAY()))</f>
        <v/>
      </c>
      <c r="H19" s="51" t="str">
        <f aca="false">IF($G19="","",MAX(0,INT($G19)))</f>
        <v/>
      </c>
      <c r="I19" s="39" t="str">
        <f aca="false">IF(OR($F19="",$H19=""),"",$F19*$H19)</f>
        <v/>
      </c>
      <c r="J19" s="39" t="str">
        <f aca="false">IF(OR($A19="",$E19=""),"",$E19+IF($I19="",0,$I19))</f>
        <v/>
      </c>
      <c r="K19" s="39" t="str">
        <f aca="false">IF(OR($J19="",$J19=0),"",$J19/(1-Assumptions!$B$4))</f>
        <v/>
      </c>
      <c r="L19" s="39" t="str">
        <f aca="false">IF($K19="","",MAX($K19,$E19*Assumptions!$B$10))</f>
        <v/>
      </c>
      <c r="M19" s="27"/>
      <c r="N19" s="33"/>
    </row>
    <row r="20" customFormat="false" ht="15" hidden="false" customHeight="true" outlineLevel="0" collapsed="false">
      <c r="A20" s="43"/>
      <c r="B20" s="34" t="str">
        <f aca="false">IF($A20="","",IF(ISERROR(FIND(".",$A20)),"",LOWER(MID($A20,FIND(CHAR(1),SUBSTITUTE($A20,".",CHAR(1),LEN($A20)-LEN(SUBSTITUTE($A20,".",""))))+1,LEN($A20)))))</f>
        <v/>
      </c>
      <c r="C20" s="26"/>
      <c r="D20" s="50"/>
      <c r="E20" s="27"/>
      <c r="F20" s="36" t="str">
        <f aca="false">IF($B20="","",IFERROR(INDEX(Rubric!$C$15:$C$24,MATCH(LOWER($B20),Rubric!$A$15:$A$24,0)),INDEX(Rubric!$C$15:$C$24,MATCH("other",Rubric!$A$15:$A$24,0))))</f>
        <v/>
      </c>
      <c r="G20" s="37" t="str">
        <f aca="true">IF(OR($A20="",$D20=""),"",YEARFRAC($D20,TODAY()))</f>
        <v/>
      </c>
      <c r="H20" s="51" t="str">
        <f aca="false">IF($G20="","",MAX(0,INT($G20)))</f>
        <v/>
      </c>
      <c r="I20" s="39" t="str">
        <f aca="false">IF(OR($F20="",$H20=""),"",$F20*$H20)</f>
        <v/>
      </c>
      <c r="J20" s="39" t="str">
        <f aca="false">IF(OR($A20="",$E20=""),"",$E20+IF($I20="",0,$I20))</f>
        <v/>
      </c>
      <c r="K20" s="39" t="str">
        <f aca="false">IF(OR($J20="",$J20=0),"",$J20/(1-Assumptions!$B$4))</f>
        <v/>
      </c>
      <c r="L20" s="39" t="str">
        <f aca="false">IF($K20="","",MAX($K20,$E20*Assumptions!$B$10))</f>
        <v/>
      </c>
      <c r="M20" s="27"/>
      <c r="N20" s="33"/>
    </row>
    <row r="21" customFormat="false" ht="15" hidden="false" customHeight="true" outlineLevel="0" collapsed="false">
      <c r="A21" s="43"/>
      <c r="B21" s="34" t="str">
        <f aca="false">IF($A21="","",IF(ISERROR(FIND(".",$A21)),"",LOWER(MID($A21,FIND(CHAR(1),SUBSTITUTE($A21,".",CHAR(1),LEN($A21)-LEN(SUBSTITUTE($A21,".",""))))+1,LEN($A21)))))</f>
        <v/>
      </c>
      <c r="C21" s="26"/>
      <c r="D21" s="50"/>
      <c r="E21" s="27"/>
      <c r="F21" s="36" t="str">
        <f aca="false">IF($B21="","",IFERROR(INDEX(Rubric!$C$15:$C$24,MATCH(LOWER($B21),Rubric!$A$15:$A$24,0)),INDEX(Rubric!$C$15:$C$24,MATCH("other",Rubric!$A$15:$A$24,0))))</f>
        <v/>
      </c>
      <c r="G21" s="37" t="str">
        <f aca="true">IF(OR($A21="",$D21=""),"",YEARFRAC($D21,TODAY()))</f>
        <v/>
      </c>
      <c r="H21" s="51" t="str">
        <f aca="false">IF($G21="","",MAX(0,INT($G21)))</f>
        <v/>
      </c>
      <c r="I21" s="39" t="str">
        <f aca="false">IF(OR($F21="",$H21=""),"",$F21*$H21)</f>
        <v/>
      </c>
      <c r="J21" s="39" t="str">
        <f aca="false">IF(OR($A21="",$E21=""),"",$E21+IF($I21="",0,$I21))</f>
        <v/>
      </c>
      <c r="K21" s="39" t="str">
        <f aca="false">IF(OR($J21="",$J21=0),"",$J21/(1-Assumptions!$B$4))</f>
        <v/>
      </c>
      <c r="L21" s="39" t="str">
        <f aca="false">IF($K21="","",MAX($K21,$E21*Assumptions!$B$10))</f>
        <v/>
      </c>
      <c r="M21" s="27"/>
      <c r="N21" s="33"/>
    </row>
    <row r="22" customFormat="false" ht="15" hidden="false" customHeight="true" outlineLevel="0" collapsed="false">
      <c r="A22" s="43"/>
      <c r="B22" s="34" t="str">
        <f aca="false">IF($A22="","",IF(ISERROR(FIND(".",$A22)),"",LOWER(MID($A22,FIND(CHAR(1),SUBSTITUTE($A22,".",CHAR(1),LEN($A22)-LEN(SUBSTITUTE($A22,".",""))))+1,LEN($A22)))))</f>
        <v/>
      </c>
      <c r="C22" s="26"/>
      <c r="D22" s="50"/>
      <c r="E22" s="27"/>
      <c r="F22" s="36" t="str">
        <f aca="false">IF($B22="","",IFERROR(INDEX(Rubric!$C$15:$C$24,MATCH(LOWER($B22),Rubric!$A$15:$A$24,0)),INDEX(Rubric!$C$15:$C$24,MATCH("other",Rubric!$A$15:$A$24,0))))</f>
        <v/>
      </c>
      <c r="G22" s="37" t="str">
        <f aca="true">IF(OR($A22="",$D22=""),"",YEARFRAC($D22,TODAY()))</f>
        <v/>
      </c>
      <c r="H22" s="51" t="str">
        <f aca="false">IF($G22="","",MAX(0,INT($G22)))</f>
        <v/>
      </c>
      <c r="I22" s="39" t="str">
        <f aca="false">IF(OR($F22="",$H22=""),"",$F22*$H22)</f>
        <v/>
      </c>
      <c r="J22" s="39" t="str">
        <f aca="false">IF(OR($A22="",$E22=""),"",$E22+IF($I22="",0,$I22))</f>
        <v/>
      </c>
      <c r="K22" s="39" t="str">
        <f aca="false">IF(OR($J22="",$J22=0),"",$J22/(1-Assumptions!$B$4))</f>
        <v/>
      </c>
      <c r="L22" s="39" t="str">
        <f aca="false">IF($K22="","",MAX($K22,$E22*Assumptions!$B$10))</f>
        <v/>
      </c>
      <c r="M22" s="27"/>
      <c r="N22" s="33"/>
    </row>
    <row r="23" customFormat="false" ht="15" hidden="false" customHeight="true" outlineLevel="0" collapsed="false">
      <c r="A23" s="43"/>
      <c r="B23" s="34" t="str">
        <f aca="false">IF($A23="","",IF(ISERROR(FIND(".",$A23)),"",LOWER(MID($A23,FIND(CHAR(1),SUBSTITUTE($A23,".",CHAR(1),LEN($A23)-LEN(SUBSTITUTE($A23,".",""))))+1,LEN($A23)))))</f>
        <v/>
      </c>
      <c r="C23" s="26"/>
      <c r="D23" s="50"/>
      <c r="E23" s="27"/>
      <c r="F23" s="36" t="str">
        <f aca="false">IF($B23="","",IFERROR(INDEX(Rubric!$C$15:$C$24,MATCH(LOWER($B23),Rubric!$A$15:$A$24,0)),INDEX(Rubric!$C$15:$C$24,MATCH("other",Rubric!$A$15:$A$24,0))))</f>
        <v/>
      </c>
      <c r="G23" s="37" t="str">
        <f aca="true">IF(OR($A23="",$D23=""),"",YEARFRAC($D23,TODAY()))</f>
        <v/>
      </c>
      <c r="H23" s="51" t="str">
        <f aca="false">IF($G23="","",MAX(0,INT($G23)))</f>
        <v/>
      </c>
      <c r="I23" s="39" t="str">
        <f aca="false">IF(OR($F23="",$H23=""),"",$F23*$H23)</f>
        <v/>
      </c>
      <c r="J23" s="39" t="str">
        <f aca="false">IF(OR($A23="",$E23=""),"",$E23+IF($I23="",0,$I23))</f>
        <v/>
      </c>
      <c r="K23" s="39" t="str">
        <f aca="false">IF(OR($J23="",$J23=0),"",$J23/(1-Assumptions!$B$4))</f>
        <v/>
      </c>
      <c r="L23" s="39" t="str">
        <f aca="false">IF($K23="","",MAX($K23,$E23*Assumptions!$B$10))</f>
        <v/>
      </c>
      <c r="M23" s="27"/>
      <c r="N23" s="33"/>
    </row>
    <row r="24" customFormat="false" ht="15" hidden="false" customHeight="true" outlineLevel="0" collapsed="false">
      <c r="A24" s="43"/>
      <c r="B24" s="34" t="str">
        <f aca="false">IF($A24="","",IF(ISERROR(FIND(".",$A24)),"",LOWER(MID($A24,FIND(CHAR(1),SUBSTITUTE($A24,".",CHAR(1),LEN($A24)-LEN(SUBSTITUTE($A24,".",""))))+1,LEN($A24)))))</f>
        <v/>
      </c>
      <c r="C24" s="26"/>
      <c r="D24" s="50"/>
      <c r="E24" s="27"/>
      <c r="F24" s="36" t="str">
        <f aca="false">IF($B24="","",IFERROR(INDEX(Rubric!$C$15:$C$24,MATCH(LOWER($B24),Rubric!$A$15:$A$24,0)),INDEX(Rubric!$C$15:$C$24,MATCH("other",Rubric!$A$15:$A$24,0))))</f>
        <v/>
      </c>
      <c r="G24" s="37" t="str">
        <f aca="true">IF(OR($A24="",$D24=""),"",YEARFRAC($D24,TODAY()))</f>
        <v/>
      </c>
      <c r="H24" s="51" t="str">
        <f aca="false">IF($G24="","",MAX(0,INT($G24)))</f>
        <v/>
      </c>
      <c r="I24" s="39" t="str">
        <f aca="false">IF(OR($F24="",$H24=""),"",$F24*$H24)</f>
        <v/>
      </c>
      <c r="J24" s="39" t="str">
        <f aca="false">IF(OR($A24="",$E24=""),"",$E24+IF($I24="",0,$I24))</f>
        <v/>
      </c>
      <c r="K24" s="39" t="str">
        <f aca="false">IF(OR($J24="",$J24=0),"",$J24/(1-Assumptions!$B$4))</f>
        <v/>
      </c>
      <c r="L24" s="39" t="str">
        <f aca="false">IF($K24="","",MAX($K24,$E24*Assumptions!$B$10))</f>
        <v/>
      </c>
      <c r="M24" s="27"/>
      <c r="N24" s="33"/>
    </row>
    <row r="25" customFormat="false" ht="15" hidden="false" customHeight="true" outlineLevel="0" collapsed="false">
      <c r="A25" s="43"/>
      <c r="B25" s="34" t="str">
        <f aca="false">IF($A25="","",IF(ISERROR(FIND(".",$A25)),"",LOWER(MID($A25,FIND(CHAR(1),SUBSTITUTE($A25,".",CHAR(1),LEN($A25)-LEN(SUBSTITUTE($A25,".",""))))+1,LEN($A25)))))</f>
        <v/>
      </c>
      <c r="C25" s="26"/>
      <c r="D25" s="50"/>
      <c r="E25" s="27"/>
      <c r="F25" s="36" t="str">
        <f aca="false">IF($B25="","",IFERROR(INDEX(Rubric!$C$15:$C$24,MATCH(LOWER($B25),Rubric!$A$15:$A$24,0)),INDEX(Rubric!$C$15:$C$24,MATCH("other",Rubric!$A$15:$A$24,0))))</f>
        <v/>
      </c>
      <c r="G25" s="37" t="str">
        <f aca="true">IF(OR($A25="",$D25=""),"",YEARFRAC($D25,TODAY()))</f>
        <v/>
      </c>
      <c r="H25" s="51" t="str">
        <f aca="false">IF($G25="","",MAX(0,INT($G25)))</f>
        <v/>
      </c>
      <c r="I25" s="39" t="str">
        <f aca="false">IF(OR($F25="",$H25=""),"",$F25*$H25)</f>
        <v/>
      </c>
      <c r="J25" s="39" t="str">
        <f aca="false">IF(OR($A25="",$E25=""),"",$E25+IF($I25="",0,$I25))</f>
        <v/>
      </c>
      <c r="K25" s="39" t="str">
        <f aca="false">IF(OR($J25="",$J25=0),"",$J25/(1-Assumptions!$B$4))</f>
        <v/>
      </c>
      <c r="L25" s="39" t="str">
        <f aca="false">IF($K25="","",MAX($K25,$E25*Assumptions!$B$10))</f>
        <v/>
      </c>
      <c r="M25" s="27"/>
      <c r="N25" s="33"/>
    </row>
    <row r="26" customFormat="false" ht="15" hidden="false" customHeight="true" outlineLevel="0" collapsed="false">
      <c r="A26" s="43"/>
      <c r="B26" s="34" t="str">
        <f aca="false">IF($A26="","",IF(ISERROR(FIND(".",$A26)),"",LOWER(MID($A26,FIND(CHAR(1),SUBSTITUTE($A26,".",CHAR(1),LEN($A26)-LEN(SUBSTITUTE($A26,".",""))))+1,LEN($A26)))))</f>
        <v/>
      </c>
      <c r="C26" s="26"/>
      <c r="D26" s="50"/>
      <c r="E26" s="27"/>
      <c r="F26" s="36" t="str">
        <f aca="false">IF($B26="","",IFERROR(INDEX(Rubric!$C$15:$C$24,MATCH(LOWER($B26),Rubric!$A$15:$A$24,0)),INDEX(Rubric!$C$15:$C$24,MATCH("other",Rubric!$A$15:$A$24,0))))</f>
        <v/>
      </c>
      <c r="G26" s="37" t="str">
        <f aca="true">IF(OR($A26="",$D26=""),"",YEARFRAC($D26,TODAY()))</f>
        <v/>
      </c>
      <c r="H26" s="51" t="str">
        <f aca="false">IF($G26="","",MAX(0,INT($G26)))</f>
        <v/>
      </c>
      <c r="I26" s="39" t="str">
        <f aca="false">IF(OR($F26="",$H26=""),"",$F26*$H26)</f>
        <v/>
      </c>
      <c r="J26" s="39" t="str">
        <f aca="false">IF(OR($A26="",$E26=""),"",$E26+IF($I26="",0,$I26))</f>
        <v/>
      </c>
      <c r="K26" s="39" t="str">
        <f aca="false">IF(OR($J26="",$J26=0),"",$J26/(1-Assumptions!$B$4))</f>
        <v/>
      </c>
      <c r="L26" s="39" t="str">
        <f aca="false">IF($K26="","",MAX($K26,$E26*Assumptions!$B$10))</f>
        <v/>
      </c>
      <c r="M26" s="27"/>
      <c r="N26" s="33"/>
    </row>
    <row r="27" customFormat="false" ht="15" hidden="false" customHeight="true" outlineLevel="0" collapsed="false">
      <c r="A27" s="43"/>
      <c r="B27" s="34" t="str">
        <f aca="false">IF($A27="","",IF(ISERROR(FIND(".",$A27)),"",LOWER(MID($A27,FIND(CHAR(1),SUBSTITUTE($A27,".",CHAR(1),LEN($A27)-LEN(SUBSTITUTE($A27,".",""))))+1,LEN($A27)))))</f>
        <v/>
      </c>
      <c r="C27" s="26"/>
      <c r="D27" s="50"/>
      <c r="E27" s="27"/>
      <c r="F27" s="36" t="str">
        <f aca="false">IF($B27="","",IFERROR(INDEX(Rubric!$C$15:$C$24,MATCH(LOWER($B27),Rubric!$A$15:$A$24,0)),INDEX(Rubric!$C$15:$C$24,MATCH("other",Rubric!$A$15:$A$24,0))))</f>
        <v/>
      </c>
      <c r="G27" s="37" t="str">
        <f aca="true">IF(OR($A27="",$D27=""),"",YEARFRAC($D27,TODAY()))</f>
        <v/>
      </c>
      <c r="H27" s="51" t="str">
        <f aca="false">IF($G27="","",MAX(0,INT($G27)))</f>
        <v/>
      </c>
      <c r="I27" s="39" t="str">
        <f aca="false">IF(OR($F27="",$H27=""),"",$F27*$H27)</f>
        <v/>
      </c>
      <c r="J27" s="39" t="str">
        <f aca="false">IF(OR($A27="",$E27=""),"",$E27+IF($I27="",0,$I27))</f>
        <v/>
      </c>
      <c r="K27" s="39" t="str">
        <f aca="false">IF(OR($J27="",$J27=0),"",$J27/(1-Assumptions!$B$4))</f>
        <v/>
      </c>
      <c r="L27" s="39" t="str">
        <f aca="false">IF($K27="","",MAX($K27,$E27*Assumptions!$B$10))</f>
        <v/>
      </c>
      <c r="M27" s="27"/>
      <c r="N27" s="33"/>
    </row>
    <row r="28" customFormat="false" ht="15" hidden="false" customHeight="true" outlineLevel="0" collapsed="false">
      <c r="A28" s="43"/>
      <c r="B28" s="34" t="str">
        <f aca="false">IF($A28="","",IF(ISERROR(FIND(".",$A28)),"",LOWER(MID($A28,FIND(CHAR(1),SUBSTITUTE($A28,".",CHAR(1),LEN($A28)-LEN(SUBSTITUTE($A28,".",""))))+1,LEN($A28)))))</f>
        <v/>
      </c>
      <c r="C28" s="26"/>
      <c r="D28" s="50"/>
      <c r="E28" s="27"/>
      <c r="F28" s="36" t="str">
        <f aca="false">IF($B28="","",IFERROR(INDEX(Rubric!$C$15:$C$24,MATCH(LOWER($B28),Rubric!$A$15:$A$24,0)),INDEX(Rubric!$C$15:$C$24,MATCH("other",Rubric!$A$15:$A$24,0))))</f>
        <v/>
      </c>
      <c r="G28" s="37" t="str">
        <f aca="true">IF(OR($A28="",$D28=""),"",YEARFRAC($D28,TODAY()))</f>
        <v/>
      </c>
      <c r="H28" s="51" t="str">
        <f aca="false">IF($G28="","",MAX(0,INT($G28)))</f>
        <v/>
      </c>
      <c r="I28" s="39" t="str">
        <f aca="false">IF(OR($F28="",$H28=""),"",$F28*$H28)</f>
        <v/>
      </c>
      <c r="J28" s="39" t="str">
        <f aca="false">IF(OR($A28="",$E28=""),"",$E28+IF($I28="",0,$I28))</f>
        <v/>
      </c>
      <c r="K28" s="39" t="str">
        <f aca="false">IF(OR($J28="",$J28=0),"",$J28/(1-Assumptions!$B$4))</f>
        <v/>
      </c>
      <c r="L28" s="39" t="str">
        <f aca="false">IF($K28="","",MAX($K28,$E28*Assumptions!$B$10))</f>
        <v/>
      </c>
      <c r="M28" s="27"/>
      <c r="N28" s="33"/>
    </row>
    <row r="29" customFormat="false" ht="15" hidden="false" customHeight="true" outlineLevel="0" collapsed="false">
      <c r="A29" s="43"/>
      <c r="B29" s="34" t="str">
        <f aca="false">IF($A29="","",IF(ISERROR(FIND(".",$A29)),"",LOWER(MID($A29,FIND(CHAR(1),SUBSTITUTE($A29,".",CHAR(1),LEN($A29)-LEN(SUBSTITUTE($A29,".",""))))+1,LEN($A29)))))</f>
        <v/>
      </c>
      <c r="C29" s="26"/>
      <c r="D29" s="50"/>
      <c r="E29" s="27"/>
      <c r="F29" s="36" t="str">
        <f aca="false">IF($B29="","",IFERROR(INDEX(Rubric!$C$15:$C$24,MATCH(LOWER($B29),Rubric!$A$15:$A$24,0)),INDEX(Rubric!$C$15:$C$24,MATCH("other",Rubric!$A$15:$A$24,0))))</f>
        <v/>
      </c>
      <c r="G29" s="37" t="str">
        <f aca="true">IF(OR($A29="",$D29=""),"",YEARFRAC($D29,TODAY()))</f>
        <v/>
      </c>
      <c r="H29" s="51" t="str">
        <f aca="false">IF($G29="","",MAX(0,INT($G29)))</f>
        <v/>
      </c>
      <c r="I29" s="39" t="str">
        <f aca="false">IF(OR($F29="",$H29=""),"",$F29*$H29)</f>
        <v/>
      </c>
      <c r="J29" s="39" t="str">
        <f aca="false">IF(OR($A29="",$E29=""),"",$E29+IF($I29="",0,$I29))</f>
        <v/>
      </c>
      <c r="K29" s="39" t="str">
        <f aca="false">IF(OR($J29="",$J29=0),"",$J29/(1-Assumptions!$B$4))</f>
        <v/>
      </c>
      <c r="L29" s="39" t="str">
        <f aca="false">IF($K29="","",MAX($K29,$E29*Assumptions!$B$10))</f>
        <v/>
      </c>
      <c r="M29" s="27"/>
      <c r="N29" s="33"/>
    </row>
    <row r="30" customFormat="false" ht="15" hidden="false" customHeight="true" outlineLevel="0" collapsed="false">
      <c r="A30" s="43"/>
      <c r="B30" s="34" t="str">
        <f aca="false">IF($A30="","",IF(ISERROR(FIND(".",$A30)),"",LOWER(MID($A30,FIND(CHAR(1),SUBSTITUTE($A30,".",CHAR(1),LEN($A30)-LEN(SUBSTITUTE($A30,".",""))))+1,LEN($A30)))))</f>
        <v/>
      </c>
      <c r="C30" s="26"/>
      <c r="D30" s="50"/>
      <c r="E30" s="27"/>
      <c r="F30" s="36" t="str">
        <f aca="false">IF($B30="","",IFERROR(INDEX(Rubric!$C$15:$C$24,MATCH(LOWER($B30),Rubric!$A$15:$A$24,0)),INDEX(Rubric!$C$15:$C$24,MATCH("other",Rubric!$A$15:$A$24,0))))</f>
        <v/>
      </c>
      <c r="G30" s="37" t="str">
        <f aca="true">IF(OR($A30="",$D30=""),"",YEARFRAC($D30,TODAY()))</f>
        <v/>
      </c>
      <c r="H30" s="51" t="str">
        <f aca="false">IF($G30="","",MAX(0,INT($G30)))</f>
        <v/>
      </c>
      <c r="I30" s="39" t="str">
        <f aca="false">IF(OR($F30="",$H30=""),"",$F30*$H30)</f>
        <v/>
      </c>
      <c r="J30" s="39" t="str">
        <f aca="false">IF(OR($A30="",$E30=""),"",$E30+IF($I30="",0,$I30))</f>
        <v/>
      </c>
      <c r="K30" s="39" t="str">
        <f aca="false">IF(OR($J30="",$J30=0),"",$J30/(1-Assumptions!$B$4))</f>
        <v/>
      </c>
      <c r="L30" s="39" t="str">
        <f aca="false">IF($K30="","",MAX($K30,$E30*Assumptions!$B$10))</f>
        <v/>
      </c>
      <c r="M30" s="27"/>
      <c r="N30" s="33"/>
    </row>
    <row r="31" customFormat="false" ht="15" hidden="false" customHeight="true" outlineLevel="0" collapsed="false">
      <c r="A31" s="43"/>
      <c r="B31" s="34" t="str">
        <f aca="false">IF($A31="","",IF(ISERROR(FIND(".",$A31)),"",LOWER(MID($A31,FIND(CHAR(1),SUBSTITUTE($A31,".",CHAR(1),LEN($A31)-LEN(SUBSTITUTE($A31,".",""))))+1,LEN($A31)))))</f>
        <v/>
      </c>
      <c r="C31" s="26"/>
      <c r="D31" s="50"/>
      <c r="E31" s="27"/>
      <c r="F31" s="36" t="str">
        <f aca="false">IF($B31="","",IFERROR(INDEX(Rubric!$C$15:$C$24,MATCH(LOWER($B31),Rubric!$A$15:$A$24,0)),INDEX(Rubric!$C$15:$C$24,MATCH("other",Rubric!$A$15:$A$24,0))))</f>
        <v/>
      </c>
      <c r="G31" s="37" t="str">
        <f aca="true">IF(OR($A31="",$D31=""),"",YEARFRAC($D31,TODAY()))</f>
        <v/>
      </c>
      <c r="H31" s="51" t="str">
        <f aca="false">IF($G31="","",MAX(0,INT($G31)))</f>
        <v/>
      </c>
      <c r="I31" s="39" t="str">
        <f aca="false">IF(OR($F31="",$H31=""),"",$F31*$H31)</f>
        <v/>
      </c>
      <c r="J31" s="39" t="str">
        <f aca="false">IF(OR($A31="",$E31=""),"",$E31+IF($I31="",0,$I31))</f>
        <v/>
      </c>
      <c r="K31" s="39" t="str">
        <f aca="false">IF(OR($J31="",$J31=0),"",$J31/(1-Assumptions!$B$4))</f>
        <v/>
      </c>
      <c r="L31" s="39" t="str">
        <f aca="false">IF($K31="","",MAX($K31,$E31*Assumptions!$B$10))</f>
        <v/>
      </c>
      <c r="M31" s="27"/>
      <c r="N31" s="33"/>
    </row>
    <row r="32" customFormat="false" ht="15" hidden="false" customHeight="true" outlineLevel="0" collapsed="false">
      <c r="A32" s="43"/>
      <c r="B32" s="34" t="str">
        <f aca="false">IF($A32="","",IF(ISERROR(FIND(".",$A32)),"",LOWER(MID($A32,FIND(CHAR(1),SUBSTITUTE($A32,".",CHAR(1),LEN($A32)-LEN(SUBSTITUTE($A32,".",""))))+1,LEN($A32)))))</f>
        <v/>
      </c>
      <c r="C32" s="26"/>
      <c r="D32" s="50"/>
      <c r="E32" s="27"/>
      <c r="F32" s="36" t="str">
        <f aca="false">IF($B32="","",IFERROR(INDEX(Rubric!$C$15:$C$24,MATCH(LOWER($B32),Rubric!$A$15:$A$24,0)),INDEX(Rubric!$C$15:$C$24,MATCH("other",Rubric!$A$15:$A$24,0))))</f>
        <v/>
      </c>
      <c r="G32" s="37" t="str">
        <f aca="true">IF(OR($A32="",$D32=""),"",YEARFRAC($D32,TODAY()))</f>
        <v/>
      </c>
      <c r="H32" s="51" t="str">
        <f aca="false">IF($G32="","",MAX(0,INT($G32)))</f>
        <v/>
      </c>
      <c r="I32" s="39" t="str">
        <f aca="false">IF(OR($F32="",$H32=""),"",$F32*$H32)</f>
        <v/>
      </c>
      <c r="J32" s="39" t="str">
        <f aca="false">IF(OR($A32="",$E32=""),"",$E32+IF($I32="",0,$I32))</f>
        <v/>
      </c>
      <c r="K32" s="39" t="str">
        <f aca="false">IF(OR($J32="",$J32=0),"",$J32/(1-Assumptions!$B$4))</f>
        <v/>
      </c>
      <c r="L32" s="39" t="str">
        <f aca="false">IF($K32="","",MAX($K32,$E32*Assumptions!$B$10))</f>
        <v/>
      </c>
      <c r="M32" s="27"/>
      <c r="N32" s="33"/>
    </row>
    <row r="33" customFormat="false" ht="15" hidden="false" customHeight="true" outlineLevel="0" collapsed="false">
      <c r="A33" s="43"/>
      <c r="B33" s="34" t="str">
        <f aca="false">IF($A33="","",IF(ISERROR(FIND(".",$A33)),"",LOWER(MID($A33,FIND(CHAR(1),SUBSTITUTE($A33,".",CHAR(1),LEN($A33)-LEN(SUBSTITUTE($A33,".",""))))+1,LEN($A33)))))</f>
        <v/>
      </c>
      <c r="C33" s="26"/>
      <c r="D33" s="50"/>
      <c r="E33" s="27"/>
      <c r="F33" s="36" t="str">
        <f aca="false">IF($B33="","",IFERROR(INDEX(Rubric!$C$15:$C$24,MATCH(LOWER($B33),Rubric!$A$15:$A$24,0)),INDEX(Rubric!$C$15:$C$24,MATCH("other",Rubric!$A$15:$A$24,0))))</f>
        <v/>
      </c>
      <c r="G33" s="37" t="str">
        <f aca="true">IF(OR($A33="",$D33=""),"",YEARFRAC($D33,TODAY()))</f>
        <v/>
      </c>
      <c r="H33" s="51" t="str">
        <f aca="false">IF($G33="","",MAX(0,INT($G33)))</f>
        <v/>
      </c>
      <c r="I33" s="39" t="str">
        <f aca="false">IF(OR($F33="",$H33=""),"",$F33*$H33)</f>
        <v/>
      </c>
      <c r="J33" s="39" t="str">
        <f aca="false">IF(OR($A33="",$E33=""),"",$E33+IF($I33="",0,$I33))</f>
        <v/>
      </c>
      <c r="K33" s="39" t="str">
        <f aca="false">IF(OR($J33="",$J33=0),"",$J33/(1-Assumptions!$B$4))</f>
        <v/>
      </c>
      <c r="L33" s="39" t="str">
        <f aca="false">IF($K33="","",MAX($K33,$E33*Assumptions!$B$10))</f>
        <v/>
      </c>
      <c r="M33" s="27"/>
      <c r="N33" s="33"/>
    </row>
    <row r="34" customFormat="false" ht="15" hidden="false" customHeight="true" outlineLevel="0" collapsed="false">
      <c r="A34" s="43"/>
      <c r="B34" s="34" t="str">
        <f aca="false">IF($A34="","",IF(ISERROR(FIND(".",$A34)),"",LOWER(MID($A34,FIND(CHAR(1),SUBSTITUTE($A34,".",CHAR(1),LEN($A34)-LEN(SUBSTITUTE($A34,".",""))))+1,LEN($A34)))))</f>
        <v/>
      </c>
      <c r="C34" s="26"/>
      <c r="D34" s="50"/>
      <c r="E34" s="27"/>
      <c r="F34" s="36" t="str">
        <f aca="false">IF($B34="","",IFERROR(INDEX(Rubric!$C$15:$C$24,MATCH(LOWER($B34),Rubric!$A$15:$A$24,0)),INDEX(Rubric!$C$15:$C$24,MATCH("other",Rubric!$A$15:$A$24,0))))</f>
        <v/>
      </c>
      <c r="G34" s="37" t="str">
        <f aca="true">IF(OR($A34="",$D34=""),"",YEARFRAC($D34,TODAY()))</f>
        <v/>
      </c>
      <c r="H34" s="51" t="str">
        <f aca="false">IF($G34="","",MAX(0,INT($G34)))</f>
        <v/>
      </c>
      <c r="I34" s="39" t="str">
        <f aca="false">IF(OR($F34="",$H34=""),"",$F34*$H34)</f>
        <v/>
      </c>
      <c r="J34" s="39" t="str">
        <f aca="false">IF(OR($A34="",$E34=""),"",$E34+IF($I34="",0,$I34))</f>
        <v/>
      </c>
      <c r="K34" s="39" t="str">
        <f aca="false">IF(OR($J34="",$J34=0),"",$J34/(1-Assumptions!$B$4))</f>
        <v/>
      </c>
      <c r="L34" s="39" t="str">
        <f aca="false">IF($K34="","",MAX($K34,$E34*Assumptions!$B$10))</f>
        <v/>
      </c>
      <c r="M34" s="27"/>
      <c r="N34" s="33"/>
    </row>
    <row r="35" customFormat="false" ht="15" hidden="false" customHeight="true" outlineLevel="0" collapsed="false">
      <c r="A35" s="43"/>
      <c r="B35" s="34" t="str">
        <f aca="false">IF($A35="","",IF(ISERROR(FIND(".",$A35)),"",LOWER(MID($A35,FIND(CHAR(1),SUBSTITUTE($A35,".",CHAR(1),LEN($A35)-LEN(SUBSTITUTE($A35,".",""))))+1,LEN($A35)))))</f>
        <v/>
      </c>
      <c r="C35" s="26"/>
      <c r="D35" s="50"/>
      <c r="E35" s="27"/>
      <c r="F35" s="36" t="str">
        <f aca="false">IF($B35="","",IFERROR(INDEX(Rubric!$C$15:$C$24,MATCH(LOWER($B35),Rubric!$A$15:$A$24,0)),INDEX(Rubric!$C$15:$C$24,MATCH("other",Rubric!$A$15:$A$24,0))))</f>
        <v/>
      </c>
      <c r="G35" s="37" t="str">
        <f aca="true">IF(OR($A35="",$D35=""),"",YEARFRAC($D35,TODAY()))</f>
        <v/>
      </c>
      <c r="H35" s="51" t="str">
        <f aca="false">IF($G35="","",MAX(0,INT($G35)))</f>
        <v/>
      </c>
      <c r="I35" s="39" t="str">
        <f aca="false">IF(OR($F35="",$H35=""),"",$F35*$H35)</f>
        <v/>
      </c>
      <c r="J35" s="39" t="str">
        <f aca="false">IF(OR($A35="",$E35=""),"",$E35+IF($I35="",0,$I35))</f>
        <v/>
      </c>
      <c r="K35" s="39" t="str">
        <f aca="false">IF(OR($J35="",$J35=0),"",$J35/(1-Assumptions!$B$4))</f>
        <v/>
      </c>
      <c r="L35" s="39" t="str">
        <f aca="false">IF($K35="","",MAX($K35,$E35*Assumptions!$B$10))</f>
        <v/>
      </c>
      <c r="M35" s="27"/>
      <c r="N35" s="33"/>
    </row>
    <row r="36" customFormat="false" ht="15" hidden="false" customHeight="true" outlineLevel="0" collapsed="false">
      <c r="A36" s="43"/>
      <c r="B36" s="34" t="str">
        <f aca="false">IF($A36="","",IF(ISERROR(FIND(".",$A36)),"",LOWER(MID($A36,FIND(CHAR(1),SUBSTITUTE($A36,".",CHAR(1),LEN($A36)-LEN(SUBSTITUTE($A36,".",""))))+1,LEN($A36)))))</f>
        <v/>
      </c>
      <c r="C36" s="26"/>
      <c r="D36" s="50"/>
      <c r="E36" s="27"/>
      <c r="F36" s="36" t="str">
        <f aca="false">IF($B36="","",IFERROR(INDEX(Rubric!$C$15:$C$24,MATCH(LOWER($B36),Rubric!$A$15:$A$24,0)),INDEX(Rubric!$C$15:$C$24,MATCH("other",Rubric!$A$15:$A$24,0))))</f>
        <v/>
      </c>
      <c r="G36" s="37" t="str">
        <f aca="true">IF(OR($A36="",$D36=""),"",YEARFRAC($D36,TODAY()))</f>
        <v/>
      </c>
      <c r="H36" s="51" t="str">
        <f aca="false">IF($G36="","",MAX(0,INT($G36)))</f>
        <v/>
      </c>
      <c r="I36" s="39" t="str">
        <f aca="false">IF(OR($F36="",$H36=""),"",$F36*$H36)</f>
        <v/>
      </c>
      <c r="J36" s="39" t="str">
        <f aca="false">IF(OR($A36="",$E36=""),"",$E36+IF($I36="",0,$I36))</f>
        <v/>
      </c>
      <c r="K36" s="39" t="str">
        <f aca="false">IF(OR($J36="",$J36=0),"",$J36/(1-Assumptions!$B$4))</f>
        <v/>
      </c>
      <c r="L36" s="39" t="str">
        <f aca="false">IF($K36="","",MAX($K36,$E36*Assumptions!$B$10))</f>
        <v/>
      </c>
      <c r="M36" s="27"/>
      <c r="N36" s="33"/>
    </row>
    <row r="37" customFormat="false" ht="15" hidden="false" customHeight="true" outlineLevel="0" collapsed="false">
      <c r="A37" s="43"/>
      <c r="B37" s="34" t="str">
        <f aca="false">IF($A37="","",IF(ISERROR(FIND(".",$A37)),"",LOWER(MID($A37,FIND(CHAR(1),SUBSTITUTE($A37,".",CHAR(1),LEN($A37)-LEN(SUBSTITUTE($A37,".",""))))+1,LEN($A37)))))</f>
        <v/>
      </c>
      <c r="C37" s="26"/>
      <c r="D37" s="50"/>
      <c r="E37" s="27"/>
      <c r="F37" s="36" t="str">
        <f aca="false">IF($B37="","",IFERROR(INDEX(Rubric!$C$15:$C$24,MATCH(LOWER($B37),Rubric!$A$15:$A$24,0)),INDEX(Rubric!$C$15:$C$24,MATCH("other",Rubric!$A$15:$A$24,0))))</f>
        <v/>
      </c>
      <c r="G37" s="37" t="str">
        <f aca="true">IF(OR($A37="",$D37=""),"",YEARFRAC($D37,TODAY()))</f>
        <v/>
      </c>
      <c r="H37" s="51" t="str">
        <f aca="false">IF($G37="","",MAX(0,INT($G37)))</f>
        <v/>
      </c>
      <c r="I37" s="39" t="str">
        <f aca="false">IF(OR($F37="",$H37=""),"",$F37*$H37)</f>
        <v/>
      </c>
      <c r="J37" s="39" t="str">
        <f aca="false">IF(OR($A37="",$E37=""),"",$E37+IF($I37="",0,$I37))</f>
        <v/>
      </c>
      <c r="K37" s="39" t="str">
        <f aca="false">IF(OR($J37="",$J37=0),"",$J37/(1-Assumptions!$B$4))</f>
        <v/>
      </c>
      <c r="L37" s="39" t="str">
        <f aca="false">IF($K37="","",MAX($K37,$E37*Assumptions!$B$10))</f>
        <v/>
      </c>
      <c r="M37" s="27"/>
      <c r="N37" s="33"/>
    </row>
    <row r="38" customFormat="false" ht="15" hidden="false" customHeight="true" outlineLevel="0" collapsed="false">
      <c r="A38" s="43"/>
      <c r="B38" s="34" t="str">
        <f aca="false">IF($A38="","",IF(ISERROR(FIND(".",$A38)),"",LOWER(MID($A38,FIND(CHAR(1),SUBSTITUTE($A38,".",CHAR(1),LEN($A38)-LEN(SUBSTITUTE($A38,".",""))))+1,LEN($A38)))))</f>
        <v/>
      </c>
      <c r="C38" s="26"/>
      <c r="D38" s="50"/>
      <c r="E38" s="27"/>
      <c r="F38" s="36" t="str">
        <f aca="false">IF($B38="","",IFERROR(INDEX(Rubric!$C$15:$C$24,MATCH(LOWER($B38),Rubric!$A$15:$A$24,0)),INDEX(Rubric!$C$15:$C$24,MATCH("other",Rubric!$A$15:$A$24,0))))</f>
        <v/>
      </c>
      <c r="G38" s="37" t="str">
        <f aca="true">IF(OR($A38="",$D38=""),"",YEARFRAC($D38,TODAY()))</f>
        <v/>
      </c>
      <c r="H38" s="51" t="str">
        <f aca="false">IF($G38="","",MAX(0,INT($G38)))</f>
        <v/>
      </c>
      <c r="I38" s="39" t="str">
        <f aca="false">IF(OR($F38="",$H38=""),"",$F38*$H38)</f>
        <v/>
      </c>
      <c r="J38" s="39" t="str">
        <f aca="false">IF(OR($A38="",$E38=""),"",$E38+IF($I38="",0,$I38))</f>
        <v/>
      </c>
      <c r="K38" s="39" t="str">
        <f aca="false">IF(OR($J38="",$J38=0),"",$J38/(1-Assumptions!$B$4))</f>
        <v/>
      </c>
      <c r="L38" s="39" t="str">
        <f aca="false">IF($K38="","",MAX($K38,$E38*Assumptions!$B$10))</f>
        <v/>
      </c>
      <c r="M38" s="27"/>
      <c r="N38" s="33"/>
    </row>
    <row r="39" customFormat="false" ht="15" hidden="false" customHeight="true" outlineLevel="0" collapsed="false">
      <c r="A39" s="43"/>
      <c r="B39" s="34" t="str">
        <f aca="false">IF($A39="","",IF(ISERROR(FIND(".",$A39)),"",LOWER(MID($A39,FIND(CHAR(1),SUBSTITUTE($A39,".",CHAR(1),LEN($A39)-LEN(SUBSTITUTE($A39,".",""))))+1,LEN($A39)))))</f>
        <v/>
      </c>
      <c r="C39" s="26"/>
      <c r="D39" s="50"/>
      <c r="E39" s="27"/>
      <c r="F39" s="36" t="str">
        <f aca="false">IF($B39="","",IFERROR(INDEX(Rubric!$C$15:$C$24,MATCH(LOWER($B39),Rubric!$A$15:$A$24,0)),INDEX(Rubric!$C$15:$C$24,MATCH("other",Rubric!$A$15:$A$24,0))))</f>
        <v/>
      </c>
      <c r="G39" s="37" t="str">
        <f aca="true">IF(OR($A39="",$D39=""),"",YEARFRAC($D39,TODAY()))</f>
        <v/>
      </c>
      <c r="H39" s="51" t="str">
        <f aca="false">IF($G39="","",MAX(0,INT($G39)))</f>
        <v/>
      </c>
      <c r="I39" s="39" t="str">
        <f aca="false">IF(OR($F39="",$H39=""),"",$F39*$H39)</f>
        <v/>
      </c>
      <c r="J39" s="39" t="str">
        <f aca="false">IF(OR($A39="",$E39=""),"",$E39+IF($I39="",0,$I39))</f>
        <v/>
      </c>
      <c r="K39" s="39" t="str">
        <f aca="false">IF(OR($J39="",$J39=0),"",$J39/(1-Assumptions!$B$4))</f>
        <v/>
      </c>
      <c r="L39" s="39" t="str">
        <f aca="false">IF($K39="","",MAX($K39,$E39*Assumptions!$B$10))</f>
        <v/>
      </c>
      <c r="M39" s="27"/>
      <c r="N39" s="33"/>
    </row>
    <row r="40" customFormat="false" ht="15" hidden="false" customHeight="true" outlineLevel="0" collapsed="false">
      <c r="A40" s="43"/>
      <c r="B40" s="34" t="str">
        <f aca="false">IF($A40="","",IF(ISERROR(FIND(".",$A40)),"",LOWER(MID($A40,FIND(CHAR(1),SUBSTITUTE($A40,".",CHAR(1),LEN($A40)-LEN(SUBSTITUTE($A40,".",""))))+1,LEN($A40)))))</f>
        <v/>
      </c>
      <c r="C40" s="26"/>
      <c r="D40" s="50"/>
      <c r="E40" s="27"/>
      <c r="F40" s="36" t="str">
        <f aca="false">IF($B40="","",IFERROR(INDEX(Rubric!$C$15:$C$24,MATCH(LOWER($B40),Rubric!$A$15:$A$24,0)),INDEX(Rubric!$C$15:$C$24,MATCH("other",Rubric!$A$15:$A$24,0))))</f>
        <v/>
      </c>
      <c r="G40" s="37" t="str">
        <f aca="true">IF(OR($A40="",$D40=""),"",YEARFRAC($D40,TODAY()))</f>
        <v/>
      </c>
      <c r="H40" s="51" t="str">
        <f aca="false">IF($G40="","",MAX(0,INT($G40)))</f>
        <v/>
      </c>
      <c r="I40" s="39" t="str">
        <f aca="false">IF(OR($F40="",$H40=""),"",$F40*$H40)</f>
        <v/>
      </c>
      <c r="J40" s="39" t="str">
        <f aca="false">IF(OR($A40="",$E40=""),"",$E40+IF($I40="",0,$I40))</f>
        <v/>
      </c>
      <c r="K40" s="39" t="str">
        <f aca="false">IF(OR($J40="",$J40=0),"",$J40/(1-Assumptions!$B$4))</f>
        <v/>
      </c>
      <c r="L40" s="39" t="str">
        <f aca="false">IF($K40="","",MAX($K40,$E40*Assumptions!$B$10))</f>
        <v/>
      </c>
      <c r="M40" s="27"/>
      <c r="N40" s="33"/>
    </row>
    <row r="41" customFormat="false" ht="15" hidden="false" customHeight="true" outlineLevel="0" collapsed="false">
      <c r="A41" s="43"/>
      <c r="B41" s="34" t="str">
        <f aca="false">IF($A41="","",IF(ISERROR(FIND(".",$A41)),"",LOWER(MID($A41,FIND(CHAR(1),SUBSTITUTE($A41,".",CHAR(1),LEN($A41)-LEN(SUBSTITUTE($A41,".",""))))+1,LEN($A41)))))</f>
        <v/>
      </c>
      <c r="C41" s="26"/>
      <c r="D41" s="50"/>
      <c r="E41" s="27"/>
      <c r="F41" s="36" t="str">
        <f aca="false">IF($B41="","",IFERROR(INDEX(Rubric!$C$15:$C$24,MATCH(LOWER($B41),Rubric!$A$15:$A$24,0)),INDEX(Rubric!$C$15:$C$24,MATCH("other",Rubric!$A$15:$A$24,0))))</f>
        <v/>
      </c>
      <c r="G41" s="37" t="str">
        <f aca="true">IF(OR($A41="",$D41=""),"",YEARFRAC($D41,TODAY()))</f>
        <v/>
      </c>
      <c r="H41" s="51" t="str">
        <f aca="false">IF($G41="","",MAX(0,INT($G41)))</f>
        <v/>
      </c>
      <c r="I41" s="39" t="str">
        <f aca="false">IF(OR($F41="",$H41=""),"",$F41*$H41)</f>
        <v/>
      </c>
      <c r="J41" s="39" t="str">
        <f aca="false">IF(OR($A41="",$E41=""),"",$E41+IF($I41="",0,$I41))</f>
        <v/>
      </c>
      <c r="K41" s="39" t="str">
        <f aca="false">IF(OR($J41="",$J41=0),"",$J41/(1-Assumptions!$B$4))</f>
        <v/>
      </c>
      <c r="L41" s="39" t="str">
        <f aca="false">IF($K41="","",MAX($K41,$E41*Assumptions!$B$10))</f>
        <v/>
      </c>
      <c r="M41" s="27"/>
      <c r="N41" s="33"/>
    </row>
    <row r="42" customFormat="false" ht="15" hidden="false" customHeight="true" outlineLevel="0" collapsed="false">
      <c r="A42" s="43"/>
      <c r="B42" s="34" t="str">
        <f aca="false">IF($A42="","",IF(ISERROR(FIND(".",$A42)),"",LOWER(MID($A42,FIND(CHAR(1),SUBSTITUTE($A42,".",CHAR(1),LEN($A42)-LEN(SUBSTITUTE($A42,".",""))))+1,LEN($A42)))))</f>
        <v/>
      </c>
      <c r="C42" s="26"/>
      <c r="D42" s="50"/>
      <c r="E42" s="27"/>
      <c r="F42" s="36" t="str">
        <f aca="false">IF($B42="","",IFERROR(INDEX(Rubric!$C$15:$C$24,MATCH(LOWER($B42),Rubric!$A$15:$A$24,0)),INDEX(Rubric!$C$15:$C$24,MATCH("other",Rubric!$A$15:$A$24,0))))</f>
        <v/>
      </c>
      <c r="G42" s="37" t="str">
        <f aca="true">IF(OR($A42="",$D42=""),"",YEARFRAC($D42,TODAY()))</f>
        <v/>
      </c>
      <c r="H42" s="51" t="str">
        <f aca="false">IF($G42="","",MAX(0,INT($G42)))</f>
        <v/>
      </c>
      <c r="I42" s="39" t="str">
        <f aca="false">IF(OR($F42="",$H42=""),"",$F42*$H42)</f>
        <v/>
      </c>
      <c r="J42" s="39" t="str">
        <f aca="false">IF(OR($A42="",$E42=""),"",$E42+IF($I42="",0,$I42))</f>
        <v/>
      </c>
      <c r="K42" s="39" t="str">
        <f aca="false">IF(OR($J42="",$J42=0),"",$J42/(1-Assumptions!$B$4))</f>
        <v/>
      </c>
      <c r="L42" s="39" t="str">
        <f aca="false">IF($K42="","",MAX($K42,$E42*Assumptions!$B$10))</f>
        <v/>
      </c>
      <c r="M42" s="27"/>
      <c r="N42" s="33"/>
    </row>
    <row r="43" customFormat="false" ht="15" hidden="false" customHeight="true" outlineLevel="0" collapsed="false">
      <c r="A43" s="43"/>
      <c r="B43" s="34" t="str">
        <f aca="false">IF($A43="","",IF(ISERROR(FIND(".",$A43)),"",LOWER(MID($A43,FIND(CHAR(1),SUBSTITUTE($A43,".",CHAR(1),LEN($A43)-LEN(SUBSTITUTE($A43,".",""))))+1,LEN($A43)))))</f>
        <v/>
      </c>
      <c r="C43" s="26"/>
      <c r="D43" s="50"/>
      <c r="E43" s="27"/>
      <c r="F43" s="36" t="str">
        <f aca="false">IF($B43="","",IFERROR(INDEX(Rubric!$C$15:$C$24,MATCH(LOWER($B43),Rubric!$A$15:$A$24,0)),INDEX(Rubric!$C$15:$C$24,MATCH("other",Rubric!$A$15:$A$24,0))))</f>
        <v/>
      </c>
      <c r="G43" s="37" t="str">
        <f aca="true">IF(OR($A43="",$D43=""),"",YEARFRAC($D43,TODAY()))</f>
        <v/>
      </c>
      <c r="H43" s="51" t="str">
        <f aca="false">IF($G43="","",MAX(0,INT($G43)))</f>
        <v/>
      </c>
      <c r="I43" s="39" t="str">
        <f aca="false">IF(OR($F43="",$H43=""),"",$F43*$H43)</f>
        <v/>
      </c>
      <c r="J43" s="39" t="str">
        <f aca="false">IF(OR($A43="",$E43=""),"",$E43+IF($I43="",0,$I43))</f>
        <v/>
      </c>
      <c r="K43" s="39" t="str">
        <f aca="false">IF(OR($J43="",$J43=0),"",$J43/(1-Assumptions!$B$4))</f>
        <v/>
      </c>
      <c r="L43" s="39" t="str">
        <f aca="false">IF($K43="","",MAX($K43,$E43*Assumptions!$B$10))</f>
        <v/>
      </c>
      <c r="M43" s="27"/>
      <c r="N43" s="33"/>
    </row>
    <row r="44" customFormat="false" ht="15" hidden="false" customHeight="true" outlineLevel="0" collapsed="false">
      <c r="A44" s="43"/>
      <c r="B44" s="34" t="str">
        <f aca="false">IF($A44="","",IF(ISERROR(FIND(".",$A44)),"",LOWER(MID($A44,FIND(CHAR(1),SUBSTITUTE($A44,".",CHAR(1),LEN($A44)-LEN(SUBSTITUTE($A44,".",""))))+1,LEN($A44)))))</f>
        <v/>
      </c>
      <c r="C44" s="26"/>
      <c r="D44" s="50"/>
      <c r="E44" s="27"/>
      <c r="F44" s="36" t="str">
        <f aca="false">IF($B44="","",IFERROR(INDEX(Rubric!$C$15:$C$24,MATCH(LOWER($B44),Rubric!$A$15:$A$24,0)),INDEX(Rubric!$C$15:$C$24,MATCH("other",Rubric!$A$15:$A$24,0))))</f>
        <v/>
      </c>
      <c r="G44" s="37" t="str">
        <f aca="true">IF(OR($A44="",$D44=""),"",YEARFRAC($D44,TODAY()))</f>
        <v/>
      </c>
      <c r="H44" s="51" t="str">
        <f aca="false">IF($G44="","",MAX(0,INT($G44)))</f>
        <v/>
      </c>
      <c r="I44" s="39" t="str">
        <f aca="false">IF(OR($F44="",$H44=""),"",$F44*$H44)</f>
        <v/>
      </c>
      <c r="J44" s="39" t="str">
        <f aca="false">IF(OR($A44="",$E44=""),"",$E44+IF($I44="",0,$I44))</f>
        <v/>
      </c>
      <c r="K44" s="39" t="str">
        <f aca="false">IF(OR($J44="",$J44=0),"",$J44/(1-Assumptions!$B$4))</f>
        <v/>
      </c>
      <c r="L44" s="39" t="str">
        <f aca="false">IF($K44="","",MAX($K44,$E44*Assumptions!$B$10))</f>
        <v/>
      </c>
      <c r="M44" s="27"/>
      <c r="N44" s="33"/>
    </row>
    <row r="45" customFormat="false" ht="15" hidden="false" customHeight="true" outlineLevel="0" collapsed="false">
      <c r="A45" s="43"/>
      <c r="B45" s="34" t="str">
        <f aca="false">IF($A45="","",IF(ISERROR(FIND(".",$A45)),"",LOWER(MID($A45,FIND(CHAR(1),SUBSTITUTE($A45,".",CHAR(1),LEN($A45)-LEN(SUBSTITUTE($A45,".",""))))+1,LEN($A45)))))</f>
        <v/>
      </c>
      <c r="C45" s="26"/>
      <c r="D45" s="50"/>
      <c r="E45" s="27"/>
      <c r="F45" s="36" t="str">
        <f aca="false">IF($B45="","",IFERROR(INDEX(Rubric!$C$15:$C$24,MATCH(LOWER($B45),Rubric!$A$15:$A$24,0)),INDEX(Rubric!$C$15:$C$24,MATCH("other",Rubric!$A$15:$A$24,0))))</f>
        <v/>
      </c>
      <c r="G45" s="37" t="str">
        <f aca="true">IF(OR($A45="",$D45=""),"",YEARFRAC($D45,TODAY()))</f>
        <v/>
      </c>
      <c r="H45" s="51" t="str">
        <f aca="false">IF($G45="","",MAX(0,INT($G45)))</f>
        <v/>
      </c>
      <c r="I45" s="39" t="str">
        <f aca="false">IF(OR($F45="",$H45=""),"",$F45*$H45)</f>
        <v/>
      </c>
      <c r="J45" s="39" t="str">
        <f aca="false">IF(OR($A45="",$E45=""),"",$E45+IF($I45="",0,$I45))</f>
        <v/>
      </c>
      <c r="K45" s="39" t="str">
        <f aca="false">IF(OR($J45="",$J45=0),"",$J45/(1-Assumptions!$B$4))</f>
        <v/>
      </c>
      <c r="L45" s="39" t="str">
        <f aca="false">IF($K45="","",MAX($K45,$E45*Assumptions!$B$10))</f>
        <v/>
      </c>
      <c r="M45" s="27"/>
      <c r="N45" s="33"/>
    </row>
    <row r="46" customFormat="false" ht="15" hidden="false" customHeight="true" outlineLevel="0" collapsed="false">
      <c r="A46" s="43"/>
      <c r="B46" s="34" t="str">
        <f aca="false">IF($A46="","",IF(ISERROR(FIND(".",$A46)),"",LOWER(MID($A46,FIND(CHAR(1),SUBSTITUTE($A46,".",CHAR(1),LEN($A46)-LEN(SUBSTITUTE($A46,".",""))))+1,LEN($A46)))))</f>
        <v/>
      </c>
      <c r="C46" s="26"/>
      <c r="D46" s="50"/>
      <c r="E46" s="27"/>
      <c r="F46" s="36" t="str">
        <f aca="false">IF($B46="","",IFERROR(INDEX(Rubric!$C$15:$C$24,MATCH(LOWER($B46),Rubric!$A$15:$A$24,0)),INDEX(Rubric!$C$15:$C$24,MATCH("other",Rubric!$A$15:$A$24,0))))</f>
        <v/>
      </c>
      <c r="G46" s="37" t="str">
        <f aca="true">IF(OR($A46="",$D46=""),"",YEARFRAC($D46,TODAY()))</f>
        <v/>
      </c>
      <c r="H46" s="51" t="str">
        <f aca="false">IF($G46="","",MAX(0,INT($G46)))</f>
        <v/>
      </c>
      <c r="I46" s="39" t="str">
        <f aca="false">IF(OR($F46="",$H46=""),"",$F46*$H46)</f>
        <v/>
      </c>
      <c r="J46" s="39" t="str">
        <f aca="false">IF(OR($A46="",$E46=""),"",$E46+IF($I46="",0,$I46))</f>
        <v/>
      </c>
      <c r="K46" s="39" t="str">
        <f aca="false">IF(OR($J46="",$J46=0),"",$J46/(1-Assumptions!$B$4))</f>
        <v/>
      </c>
      <c r="L46" s="39" t="str">
        <f aca="false">IF($K46="","",MAX($K46,$E46*Assumptions!$B$10))</f>
        <v/>
      </c>
      <c r="M46" s="27"/>
      <c r="N46" s="33"/>
    </row>
    <row r="47" customFormat="false" ht="15" hidden="false" customHeight="true" outlineLevel="0" collapsed="false">
      <c r="A47" s="43"/>
      <c r="B47" s="34" t="str">
        <f aca="false">IF($A47="","",IF(ISERROR(FIND(".",$A47)),"",LOWER(MID($A47,FIND(CHAR(1),SUBSTITUTE($A47,".",CHAR(1),LEN($A47)-LEN(SUBSTITUTE($A47,".",""))))+1,LEN($A47)))))</f>
        <v/>
      </c>
      <c r="C47" s="26"/>
      <c r="D47" s="50"/>
      <c r="E47" s="27"/>
      <c r="F47" s="36" t="str">
        <f aca="false">IF($B47="","",IFERROR(INDEX(Rubric!$C$15:$C$24,MATCH(LOWER($B47),Rubric!$A$15:$A$24,0)),INDEX(Rubric!$C$15:$C$24,MATCH("other",Rubric!$A$15:$A$24,0))))</f>
        <v/>
      </c>
      <c r="G47" s="37" t="str">
        <f aca="true">IF(OR($A47="",$D47=""),"",YEARFRAC($D47,TODAY()))</f>
        <v/>
      </c>
      <c r="H47" s="51" t="str">
        <f aca="false">IF($G47="","",MAX(0,INT($G47)))</f>
        <v/>
      </c>
      <c r="I47" s="39" t="str">
        <f aca="false">IF(OR($F47="",$H47=""),"",$F47*$H47)</f>
        <v/>
      </c>
      <c r="J47" s="39" t="str">
        <f aca="false">IF(OR($A47="",$E47=""),"",$E47+IF($I47="",0,$I47))</f>
        <v/>
      </c>
      <c r="K47" s="39" t="str">
        <f aca="false">IF(OR($J47="",$J47=0),"",$J47/(1-Assumptions!$B$4))</f>
        <v/>
      </c>
      <c r="L47" s="39" t="str">
        <f aca="false">IF($K47="","",MAX($K47,$E47*Assumptions!$B$10))</f>
        <v/>
      </c>
      <c r="M47" s="27"/>
      <c r="N47" s="33"/>
    </row>
    <row r="48" customFormat="false" ht="15" hidden="false" customHeight="true" outlineLevel="0" collapsed="false">
      <c r="A48" s="43"/>
      <c r="B48" s="34" t="str">
        <f aca="false">IF($A48="","",IF(ISERROR(FIND(".",$A48)),"",LOWER(MID($A48,FIND(CHAR(1),SUBSTITUTE($A48,".",CHAR(1),LEN($A48)-LEN(SUBSTITUTE($A48,".",""))))+1,LEN($A48)))))</f>
        <v/>
      </c>
      <c r="C48" s="26"/>
      <c r="D48" s="50"/>
      <c r="E48" s="27"/>
      <c r="F48" s="36" t="str">
        <f aca="false">IF($B48="","",IFERROR(INDEX(Rubric!$C$15:$C$24,MATCH(LOWER($B48),Rubric!$A$15:$A$24,0)),INDEX(Rubric!$C$15:$C$24,MATCH("other",Rubric!$A$15:$A$24,0))))</f>
        <v/>
      </c>
      <c r="G48" s="37" t="str">
        <f aca="true">IF(OR($A48="",$D48=""),"",YEARFRAC($D48,TODAY()))</f>
        <v/>
      </c>
      <c r="H48" s="51" t="str">
        <f aca="false">IF($G48="","",MAX(0,INT($G48)))</f>
        <v/>
      </c>
      <c r="I48" s="39" t="str">
        <f aca="false">IF(OR($F48="",$H48=""),"",$F48*$H48)</f>
        <v/>
      </c>
      <c r="J48" s="39" t="str">
        <f aca="false">IF(OR($A48="",$E48=""),"",$E48+IF($I48="",0,$I48))</f>
        <v/>
      </c>
      <c r="K48" s="39" t="str">
        <f aca="false">IF(OR($J48="",$J48=0),"",$J48/(1-Assumptions!$B$4))</f>
        <v/>
      </c>
      <c r="L48" s="39" t="str">
        <f aca="false">IF($K48="","",MAX($K48,$E48*Assumptions!$B$10))</f>
        <v/>
      </c>
      <c r="M48" s="27"/>
      <c r="N48" s="33"/>
    </row>
    <row r="49" customFormat="false" ht="15" hidden="false" customHeight="true" outlineLevel="0" collapsed="false">
      <c r="A49" s="43"/>
      <c r="B49" s="34" t="str">
        <f aca="false">IF($A49="","",IF(ISERROR(FIND(".",$A49)),"",LOWER(MID($A49,FIND(CHAR(1),SUBSTITUTE($A49,".",CHAR(1),LEN($A49)-LEN(SUBSTITUTE($A49,".",""))))+1,LEN($A49)))))</f>
        <v/>
      </c>
      <c r="C49" s="26"/>
      <c r="D49" s="50"/>
      <c r="E49" s="27"/>
      <c r="F49" s="36" t="str">
        <f aca="false">IF($B49="","",IFERROR(INDEX(Rubric!$C$15:$C$24,MATCH(LOWER($B49),Rubric!$A$15:$A$24,0)),INDEX(Rubric!$C$15:$C$24,MATCH("other",Rubric!$A$15:$A$24,0))))</f>
        <v/>
      </c>
      <c r="G49" s="37" t="str">
        <f aca="true">IF(OR($A49="",$D49=""),"",YEARFRAC($D49,TODAY()))</f>
        <v/>
      </c>
      <c r="H49" s="51" t="str">
        <f aca="false">IF($G49="","",MAX(0,INT($G49)))</f>
        <v/>
      </c>
      <c r="I49" s="39" t="str">
        <f aca="false">IF(OR($F49="",$H49=""),"",$F49*$H49)</f>
        <v/>
      </c>
      <c r="J49" s="39" t="str">
        <f aca="false">IF(OR($A49="",$E49=""),"",$E49+IF($I49="",0,$I49))</f>
        <v/>
      </c>
      <c r="K49" s="39" t="str">
        <f aca="false">IF(OR($J49="",$J49=0),"",$J49/(1-Assumptions!$B$4))</f>
        <v/>
      </c>
      <c r="L49" s="39" t="str">
        <f aca="false">IF($K49="","",MAX($K49,$E49*Assumptions!$B$10))</f>
        <v/>
      </c>
      <c r="M49" s="27"/>
      <c r="N49" s="33"/>
    </row>
    <row r="50" customFormat="false" ht="15" hidden="false" customHeight="true" outlineLevel="0" collapsed="false">
      <c r="A50" s="43"/>
      <c r="B50" s="34" t="str">
        <f aca="false">IF($A50="","",IF(ISERROR(FIND(".",$A50)),"",LOWER(MID($A50,FIND(CHAR(1),SUBSTITUTE($A50,".",CHAR(1),LEN($A50)-LEN(SUBSTITUTE($A50,".",""))))+1,LEN($A50)))))</f>
        <v/>
      </c>
      <c r="C50" s="26"/>
      <c r="D50" s="50"/>
      <c r="E50" s="27"/>
      <c r="F50" s="36" t="str">
        <f aca="false">IF($B50="","",IFERROR(INDEX(Rubric!$C$15:$C$24,MATCH(LOWER($B50),Rubric!$A$15:$A$24,0)),INDEX(Rubric!$C$15:$C$24,MATCH("other",Rubric!$A$15:$A$24,0))))</f>
        <v/>
      </c>
      <c r="G50" s="37" t="str">
        <f aca="true">IF(OR($A50="",$D50=""),"",YEARFRAC($D50,TODAY()))</f>
        <v/>
      </c>
      <c r="H50" s="51" t="str">
        <f aca="false">IF($G50="","",MAX(0,INT($G50)))</f>
        <v/>
      </c>
      <c r="I50" s="39" t="str">
        <f aca="false">IF(OR($F50="",$H50=""),"",$F50*$H50)</f>
        <v/>
      </c>
      <c r="J50" s="39" t="str">
        <f aca="false">IF(OR($A50="",$E50=""),"",$E50+IF($I50="",0,$I50))</f>
        <v/>
      </c>
      <c r="K50" s="39" t="str">
        <f aca="false">IF(OR($J50="",$J50=0),"",$J50/(1-Assumptions!$B$4))</f>
        <v/>
      </c>
      <c r="L50" s="39" t="str">
        <f aca="false">IF($K50="","",MAX($K50,$E50*Assumptions!$B$10))</f>
        <v/>
      </c>
      <c r="M50" s="27"/>
      <c r="N50" s="33"/>
    </row>
    <row r="51" customFormat="false" ht="15" hidden="false" customHeight="true" outlineLevel="0" collapsed="false">
      <c r="A51" s="43"/>
      <c r="B51" s="34" t="str">
        <f aca="false">IF($A51="","",IF(ISERROR(FIND(".",$A51)),"",LOWER(MID($A51,FIND(CHAR(1),SUBSTITUTE($A51,".",CHAR(1),LEN($A51)-LEN(SUBSTITUTE($A51,".",""))))+1,LEN($A51)))))</f>
        <v/>
      </c>
      <c r="C51" s="26"/>
      <c r="D51" s="50"/>
      <c r="E51" s="27"/>
      <c r="F51" s="36" t="str">
        <f aca="false">IF($B51="","",IFERROR(INDEX(Rubric!$C$15:$C$24,MATCH(LOWER($B51),Rubric!$A$15:$A$24,0)),INDEX(Rubric!$C$15:$C$24,MATCH("other",Rubric!$A$15:$A$24,0))))</f>
        <v/>
      </c>
      <c r="G51" s="37" t="str">
        <f aca="true">IF(OR($A51="",$D51=""),"",YEARFRAC($D51,TODAY()))</f>
        <v/>
      </c>
      <c r="H51" s="51" t="str">
        <f aca="false">IF($G51="","",MAX(0,INT($G51)))</f>
        <v/>
      </c>
      <c r="I51" s="39" t="str">
        <f aca="false">IF(OR($F51="",$H51=""),"",$F51*$H51)</f>
        <v/>
      </c>
      <c r="J51" s="39" t="str">
        <f aca="false">IF(OR($A51="",$E51=""),"",$E51+IF($I51="",0,$I51))</f>
        <v/>
      </c>
      <c r="K51" s="39" t="str">
        <f aca="false">IF(OR($J51="",$J51=0),"",$J51/(1-Assumptions!$B$4))</f>
        <v/>
      </c>
      <c r="L51" s="39" t="str">
        <f aca="false">IF($K51="","",MAX($K51,$E51*Assumptions!$B$10))</f>
        <v/>
      </c>
      <c r="M51" s="27"/>
      <c r="N51" s="33"/>
    </row>
    <row r="52" customFormat="false" ht="15" hidden="false" customHeight="true" outlineLevel="0" collapsed="false">
      <c r="A52" s="43"/>
      <c r="B52" s="34" t="str">
        <f aca="false">IF($A52="","",IF(ISERROR(FIND(".",$A52)),"",LOWER(MID($A52,FIND(CHAR(1),SUBSTITUTE($A52,".",CHAR(1),LEN($A52)-LEN(SUBSTITUTE($A52,".",""))))+1,LEN($A52)))))</f>
        <v/>
      </c>
      <c r="C52" s="26"/>
      <c r="D52" s="50"/>
      <c r="E52" s="27"/>
      <c r="F52" s="36" t="str">
        <f aca="false">IF($B52="","",IFERROR(INDEX(Rubric!$C$15:$C$24,MATCH(LOWER($B52),Rubric!$A$15:$A$24,0)),INDEX(Rubric!$C$15:$C$24,MATCH("other",Rubric!$A$15:$A$24,0))))</f>
        <v/>
      </c>
      <c r="G52" s="37" t="str">
        <f aca="true">IF(OR($A52="",$D52=""),"",YEARFRAC($D52,TODAY()))</f>
        <v/>
      </c>
      <c r="H52" s="51" t="str">
        <f aca="false">IF($G52="","",MAX(0,INT($G52)))</f>
        <v/>
      </c>
      <c r="I52" s="39" t="str">
        <f aca="false">IF(OR($F52="",$H52=""),"",$F52*$H52)</f>
        <v/>
      </c>
      <c r="J52" s="39" t="str">
        <f aca="false">IF(OR($A52="",$E52=""),"",$E52+IF($I52="",0,$I52))</f>
        <v/>
      </c>
      <c r="K52" s="39" t="str">
        <f aca="false">IF(OR($J52="",$J52=0),"",$J52/(1-Assumptions!$B$4))</f>
        <v/>
      </c>
      <c r="L52" s="39" t="str">
        <f aca="false">IF($K52="","",MAX($K52,$E52*Assumptions!$B$10))</f>
        <v/>
      </c>
      <c r="M52" s="27"/>
      <c r="N52" s="33"/>
    </row>
    <row r="53" customFormat="false" ht="15" hidden="false" customHeight="true" outlineLevel="0" collapsed="false">
      <c r="A53" s="43"/>
      <c r="B53" s="34" t="str">
        <f aca="false">IF($A53="","",IF(ISERROR(FIND(".",$A53)),"",LOWER(MID($A53,FIND(CHAR(1),SUBSTITUTE($A53,".",CHAR(1),LEN($A53)-LEN(SUBSTITUTE($A53,".",""))))+1,LEN($A53)))))</f>
        <v/>
      </c>
      <c r="C53" s="26"/>
      <c r="D53" s="50"/>
      <c r="E53" s="27"/>
      <c r="F53" s="36" t="str">
        <f aca="false">IF($B53="","",IFERROR(INDEX(Rubric!$C$15:$C$24,MATCH(LOWER($B53),Rubric!$A$15:$A$24,0)),INDEX(Rubric!$C$15:$C$24,MATCH("other",Rubric!$A$15:$A$24,0))))</f>
        <v/>
      </c>
      <c r="G53" s="37" t="str">
        <f aca="true">IF(OR($A53="",$D53=""),"",YEARFRAC($D53,TODAY()))</f>
        <v/>
      </c>
      <c r="H53" s="51" t="str">
        <f aca="false">IF($G53="","",MAX(0,INT($G53)))</f>
        <v/>
      </c>
      <c r="I53" s="39" t="str">
        <f aca="false">IF(OR($F53="",$H53=""),"",$F53*$H53)</f>
        <v/>
      </c>
      <c r="J53" s="39" t="str">
        <f aca="false">IF(OR($A53="",$E53=""),"",$E53+IF($I53="",0,$I53))</f>
        <v/>
      </c>
      <c r="K53" s="39" t="str">
        <f aca="false">IF(OR($J53="",$J53=0),"",$J53/(1-Assumptions!$B$4))</f>
        <v/>
      </c>
      <c r="L53" s="39" t="str">
        <f aca="false">IF($K53="","",MAX($K53,$E53*Assumptions!$B$10))</f>
        <v/>
      </c>
      <c r="M53" s="27"/>
      <c r="N53" s="33"/>
    </row>
    <row r="54" customFormat="false" ht="15" hidden="false" customHeight="true" outlineLevel="0" collapsed="false">
      <c r="A54" s="43"/>
      <c r="B54" s="34" t="str">
        <f aca="false">IF($A54="","",IF(ISERROR(FIND(".",$A54)),"",LOWER(MID($A54,FIND(CHAR(1),SUBSTITUTE($A54,".",CHAR(1),LEN($A54)-LEN(SUBSTITUTE($A54,".",""))))+1,LEN($A54)))))</f>
        <v/>
      </c>
      <c r="C54" s="26"/>
      <c r="D54" s="50"/>
      <c r="E54" s="27"/>
      <c r="F54" s="36" t="str">
        <f aca="false">IF($B54="","",IFERROR(INDEX(Rubric!$C$15:$C$24,MATCH(LOWER($B54),Rubric!$A$15:$A$24,0)),INDEX(Rubric!$C$15:$C$24,MATCH("other",Rubric!$A$15:$A$24,0))))</f>
        <v/>
      </c>
      <c r="G54" s="37" t="str">
        <f aca="true">IF(OR($A54="",$D54=""),"",YEARFRAC($D54,TODAY()))</f>
        <v/>
      </c>
      <c r="H54" s="51" t="str">
        <f aca="false">IF($G54="","",MAX(0,INT($G54)))</f>
        <v/>
      </c>
      <c r="I54" s="39" t="str">
        <f aca="false">IF(OR($F54="",$H54=""),"",$F54*$H54)</f>
        <v/>
      </c>
      <c r="J54" s="39" t="str">
        <f aca="false">IF(OR($A54="",$E54=""),"",$E54+IF($I54="",0,$I54))</f>
        <v/>
      </c>
      <c r="K54" s="39" t="str">
        <f aca="false">IF(OR($J54="",$J54=0),"",$J54/(1-Assumptions!$B$4))</f>
        <v/>
      </c>
      <c r="L54" s="39" t="str">
        <f aca="false">IF($K54="","",MAX($K54,$E54*Assumptions!$B$10))</f>
        <v/>
      </c>
      <c r="M54" s="27"/>
      <c r="N54" s="33"/>
    </row>
    <row r="55" customFormat="false" ht="15" hidden="false" customHeight="true" outlineLevel="0" collapsed="false">
      <c r="A55" s="43"/>
      <c r="B55" s="34" t="str">
        <f aca="false">IF($A55="","",IF(ISERROR(FIND(".",$A55)),"",LOWER(MID($A55,FIND(CHAR(1),SUBSTITUTE($A55,".",CHAR(1),LEN($A55)-LEN(SUBSTITUTE($A55,".",""))))+1,LEN($A55)))))</f>
        <v/>
      </c>
      <c r="C55" s="26"/>
      <c r="D55" s="50"/>
      <c r="E55" s="27"/>
      <c r="F55" s="36" t="str">
        <f aca="false">IF($B55="","",IFERROR(INDEX(Rubric!$C$15:$C$24,MATCH(LOWER($B55),Rubric!$A$15:$A$24,0)),INDEX(Rubric!$C$15:$C$24,MATCH("other",Rubric!$A$15:$A$24,0))))</f>
        <v/>
      </c>
      <c r="G55" s="37" t="str">
        <f aca="true">IF(OR($A55="",$D55=""),"",YEARFRAC($D55,TODAY()))</f>
        <v/>
      </c>
      <c r="H55" s="51" t="str">
        <f aca="false">IF($G55="","",MAX(0,INT($G55)))</f>
        <v/>
      </c>
      <c r="I55" s="39" t="str">
        <f aca="false">IF(OR($F55="",$H55=""),"",$F55*$H55)</f>
        <v/>
      </c>
      <c r="J55" s="39" t="str">
        <f aca="false">IF(OR($A55="",$E55=""),"",$E55+IF($I55="",0,$I55))</f>
        <v/>
      </c>
      <c r="K55" s="39" t="str">
        <f aca="false">IF(OR($J55="",$J55=0),"",$J55/(1-Assumptions!$B$4))</f>
        <v/>
      </c>
      <c r="L55" s="39" t="str">
        <f aca="false">IF($K55="","",MAX($K55,$E55*Assumptions!$B$10))</f>
        <v/>
      </c>
      <c r="M55" s="27"/>
      <c r="N55" s="33"/>
    </row>
    <row r="56" customFormat="false" ht="15" hidden="false" customHeight="true" outlineLevel="0" collapsed="false">
      <c r="A56" s="43"/>
      <c r="B56" s="34" t="str">
        <f aca="false">IF($A56="","",IF(ISERROR(FIND(".",$A56)),"",LOWER(MID($A56,FIND(CHAR(1),SUBSTITUTE($A56,".",CHAR(1),LEN($A56)-LEN(SUBSTITUTE($A56,".",""))))+1,LEN($A56)))))</f>
        <v/>
      </c>
      <c r="C56" s="26"/>
      <c r="D56" s="50"/>
      <c r="E56" s="27"/>
      <c r="F56" s="36" t="str">
        <f aca="false">IF($B56="","",IFERROR(INDEX(Rubric!$C$15:$C$24,MATCH(LOWER($B56),Rubric!$A$15:$A$24,0)),INDEX(Rubric!$C$15:$C$24,MATCH("other",Rubric!$A$15:$A$24,0))))</f>
        <v/>
      </c>
      <c r="G56" s="37" t="str">
        <f aca="true">IF(OR($A56="",$D56=""),"",YEARFRAC($D56,TODAY()))</f>
        <v/>
      </c>
      <c r="H56" s="51" t="str">
        <f aca="false">IF($G56="","",MAX(0,INT($G56)))</f>
        <v/>
      </c>
      <c r="I56" s="39" t="str">
        <f aca="false">IF(OR($F56="",$H56=""),"",$F56*$H56)</f>
        <v/>
      </c>
      <c r="J56" s="39" t="str">
        <f aca="false">IF(OR($A56="",$E56=""),"",$E56+IF($I56="",0,$I56))</f>
        <v/>
      </c>
      <c r="K56" s="39" t="str">
        <f aca="false">IF(OR($J56="",$J56=0),"",$J56/(1-Assumptions!$B$4))</f>
        <v/>
      </c>
      <c r="L56" s="39" t="str">
        <f aca="false">IF($K56="","",MAX($K56,$E56*Assumptions!$B$10))</f>
        <v/>
      </c>
      <c r="M56" s="27"/>
      <c r="N56" s="33"/>
    </row>
    <row r="57" customFormat="false" ht="15" hidden="false" customHeight="true" outlineLevel="0" collapsed="false">
      <c r="A57" s="43"/>
      <c r="B57" s="34" t="str">
        <f aca="false">IF($A57="","",IF(ISERROR(FIND(".",$A57)),"",LOWER(MID($A57,FIND(CHAR(1),SUBSTITUTE($A57,".",CHAR(1),LEN($A57)-LEN(SUBSTITUTE($A57,".",""))))+1,LEN($A57)))))</f>
        <v/>
      </c>
      <c r="C57" s="26"/>
      <c r="D57" s="50"/>
      <c r="E57" s="27"/>
      <c r="F57" s="36" t="str">
        <f aca="false">IF($B57="","",IFERROR(INDEX(Rubric!$C$15:$C$24,MATCH(LOWER($B57),Rubric!$A$15:$A$24,0)),INDEX(Rubric!$C$15:$C$24,MATCH("other",Rubric!$A$15:$A$24,0))))</f>
        <v/>
      </c>
      <c r="G57" s="37" t="str">
        <f aca="true">IF(OR($A57="",$D57=""),"",YEARFRAC($D57,TODAY()))</f>
        <v/>
      </c>
      <c r="H57" s="51" t="str">
        <f aca="false">IF($G57="","",MAX(0,INT($G57)))</f>
        <v/>
      </c>
      <c r="I57" s="39" t="str">
        <f aca="false">IF(OR($F57="",$H57=""),"",$F57*$H57)</f>
        <v/>
      </c>
      <c r="J57" s="39" t="str">
        <f aca="false">IF(OR($A57="",$E57=""),"",$E57+IF($I57="",0,$I57))</f>
        <v/>
      </c>
      <c r="K57" s="39" t="str">
        <f aca="false">IF(OR($J57="",$J57=0),"",$J57/(1-Assumptions!$B$4))</f>
        <v/>
      </c>
      <c r="L57" s="39" t="str">
        <f aca="false">IF($K57="","",MAX($K57,$E57*Assumptions!$B$10))</f>
        <v/>
      </c>
      <c r="M57" s="27"/>
      <c r="N57" s="33"/>
    </row>
    <row r="58" customFormat="false" ht="15" hidden="false" customHeight="true" outlineLevel="0" collapsed="false">
      <c r="A58" s="43"/>
      <c r="B58" s="34" t="str">
        <f aca="false">IF($A58="","",IF(ISERROR(FIND(".",$A58)),"",LOWER(MID($A58,FIND(CHAR(1),SUBSTITUTE($A58,".",CHAR(1),LEN($A58)-LEN(SUBSTITUTE($A58,".",""))))+1,LEN($A58)))))</f>
        <v/>
      </c>
      <c r="C58" s="26"/>
      <c r="D58" s="50"/>
      <c r="E58" s="27"/>
      <c r="F58" s="36" t="str">
        <f aca="false">IF($B58="","",IFERROR(INDEX(Rubric!$C$15:$C$24,MATCH(LOWER($B58),Rubric!$A$15:$A$24,0)),INDEX(Rubric!$C$15:$C$24,MATCH("other",Rubric!$A$15:$A$24,0))))</f>
        <v/>
      </c>
      <c r="G58" s="37" t="str">
        <f aca="true">IF(OR($A58="",$D58=""),"",YEARFRAC($D58,TODAY()))</f>
        <v/>
      </c>
      <c r="H58" s="51" t="str">
        <f aca="false">IF($G58="","",MAX(0,INT($G58)))</f>
        <v/>
      </c>
      <c r="I58" s="39" t="str">
        <f aca="false">IF(OR($F58="",$H58=""),"",$F58*$H58)</f>
        <v/>
      </c>
      <c r="J58" s="39" t="str">
        <f aca="false">IF(OR($A58="",$E58=""),"",$E58+IF($I58="",0,$I58))</f>
        <v/>
      </c>
      <c r="K58" s="39" t="str">
        <f aca="false">IF(OR($J58="",$J58=0),"",$J58/(1-Assumptions!$B$4))</f>
        <v/>
      </c>
      <c r="L58" s="39" t="str">
        <f aca="false">IF($K58="","",MAX($K58,$E58*Assumptions!$B$10))</f>
        <v/>
      </c>
      <c r="M58" s="27"/>
      <c r="N58" s="33"/>
    </row>
    <row r="59" customFormat="false" ht="15" hidden="false" customHeight="true" outlineLevel="0" collapsed="false">
      <c r="A59" s="43"/>
      <c r="B59" s="34" t="str">
        <f aca="false">IF($A59="","",IF(ISERROR(FIND(".",$A59)),"",LOWER(MID($A59,FIND(CHAR(1),SUBSTITUTE($A59,".",CHAR(1),LEN($A59)-LEN(SUBSTITUTE($A59,".",""))))+1,LEN($A59)))))</f>
        <v/>
      </c>
      <c r="C59" s="26"/>
      <c r="D59" s="50"/>
      <c r="E59" s="27"/>
      <c r="F59" s="36" t="str">
        <f aca="false">IF($B59="","",IFERROR(INDEX(Rubric!$C$15:$C$24,MATCH(LOWER($B59),Rubric!$A$15:$A$24,0)),INDEX(Rubric!$C$15:$C$24,MATCH("other",Rubric!$A$15:$A$24,0))))</f>
        <v/>
      </c>
      <c r="G59" s="37" t="str">
        <f aca="true">IF(OR($A59="",$D59=""),"",YEARFRAC($D59,TODAY()))</f>
        <v/>
      </c>
      <c r="H59" s="51" t="str">
        <f aca="false">IF($G59="","",MAX(0,INT($G59)))</f>
        <v/>
      </c>
      <c r="I59" s="39" t="str">
        <f aca="false">IF(OR($F59="",$H59=""),"",$F59*$H59)</f>
        <v/>
      </c>
      <c r="J59" s="39" t="str">
        <f aca="false">IF(OR($A59="",$E59=""),"",$E59+IF($I59="",0,$I59))</f>
        <v/>
      </c>
      <c r="K59" s="39" t="str">
        <f aca="false">IF(OR($J59="",$J59=0),"",$J59/(1-Assumptions!$B$4))</f>
        <v/>
      </c>
      <c r="L59" s="39" t="str">
        <f aca="false">IF($K59="","",MAX($K59,$E59*Assumptions!$B$10))</f>
        <v/>
      </c>
      <c r="M59" s="27"/>
      <c r="N59" s="33"/>
    </row>
    <row r="60" customFormat="false" ht="15" hidden="false" customHeight="true" outlineLevel="0" collapsed="false">
      <c r="A60" s="43"/>
      <c r="B60" s="34" t="str">
        <f aca="false">IF($A60="","",IF(ISERROR(FIND(".",$A60)),"",LOWER(MID($A60,FIND(CHAR(1),SUBSTITUTE($A60,".",CHAR(1),LEN($A60)-LEN(SUBSTITUTE($A60,".",""))))+1,LEN($A60)))))</f>
        <v/>
      </c>
      <c r="C60" s="26"/>
      <c r="D60" s="50"/>
      <c r="E60" s="27"/>
      <c r="F60" s="36" t="str">
        <f aca="false">IF($B60="","",IFERROR(INDEX(Rubric!$C$15:$C$24,MATCH(LOWER($B60),Rubric!$A$15:$A$24,0)),INDEX(Rubric!$C$15:$C$24,MATCH("other",Rubric!$A$15:$A$24,0))))</f>
        <v/>
      </c>
      <c r="G60" s="37" t="str">
        <f aca="true">IF(OR($A60="",$D60=""),"",YEARFRAC($D60,TODAY()))</f>
        <v/>
      </c>
      <c r="H60" s="51" t="str">
        <f aca="false">IF($G60="","",MAX(0,INT($G60)))</f>
        <v/>
      </c>
      <c r="I60" s="39" t="str">
        <f aca="false">IF(OR($F60="",$H60=""),"",$F60*$H60)</f>
        <v/>
      </c>
      <c r="J60" s="39" t="str">
        <f aca="false">IF(OR($A60="",$E60=""),"",$E60+IF($I60="",0,$I60))</f>
        <v/>
      </c>
      <c r="K60" s="39" t="str">
        <f aca="false">IF(OR($J60="",$J60=0),"",$J60/(1-Assumptions!$B$4))</f>
        <v/>
      </c>
      <c r="L60" s="39" t="str">
        <f aca="false">IF($K60="","",MAX($K60,$E60*Assumptions!$B$10))</f>
        <v/>
      </c>
      <c r="M60" s="27"/>
      <c r="N60" s="33"/>
    </row>
    <row r="61" customFormat="false" ht="15" hidden="false" customHeight="true" outlineLevel="0" collapsed="false">
      <c r="A61" s="43"/>
      <c r="B61" s="34" t="str">
        <f aca="false">IF($A61="","",IF(ISERROR(FIND(".",$A61)),"",LOWER(MID($A61,FIND(CHAR(1),SUBSTITUTE($A61,".",CHAR(1),LEN($A61)-LEN(SUBSTITUTE($A61,".",""))))+1,LEN($A61)))))</f>
        <v/>
      </c>
      <c r="C61" s="26"/>
      <c r="D61" s="50"/>
      <c r="E61" s="27"/>
      <c r="F61" s="36" t="str">
        <f aca="false">IF($B61="","",IFERROR(INDEX(Rubric!$C$15:$C$24,MATCH(LOWER($B61),Rubric!$A$15:$A$24,0)),INDEX(Rubric!$C$15:$C$24,MATCH("other",Rubric!$A$15:$A$24,0))))</f>
        <v/>
      </c>
      <c r="G61" s="37" t="str">
        <f aca="true">IF(OR($A61="",$D61=""),"",YEARFRAC($D61,TODAY()))</f>
        <v/>
      </c>
      <c r="H61" s="51" t="str">
        <f aca="false">IF($G61="","",MAX(0,INT($G61)))</f>
        <v/>
      </c>
      <c r="I61" s="39" t="str">
        <f aca="false">IF(OR($F61="",$H61=""),"",$F61*$H61)</f>
        <v/>
      </c>
      <c r="J61" s="39" t="str">
        <f aca="false">IF(OR($A61="",$E61=""),"",$E61+IF($I61="",0,$I61))</f>
        <v/>
      </c>
      <c r="K61" s="39" t="str">
        <f aca="false">IF(OR($J61="",$J61=0),"",$J61/(1-Assumptions!$B$4))</f>
        <v/>
      </c>
      <c r="L61" s="39" t="str">
        <f aca="false">IF($K61="","",MAX($K61,$E61*Assumptions!$B$10))</f>
        <v/>
      </c>
      <c r="M61" s="27"/>
      <c r="N61" s="33"/>
    </row>
    <row r="62" customFormat="false" ht="15" hidden="false" customHeight="true" outlineLevel="0" collapsed="false">
      <c r="A62" s="43"/>
      <c r="B62" s="34" t="str">
        <f aca="false">IF($A62="","",IF(ISERROR(FIND(".",$A62)),"",LOWER(MID($A62,FIND(CHAR(1),SUBSTITUTE($A62,".",CHAR(1),LEN($A62)-LEN(SUBSTITUTE($A62,".",""))))+1,LEN($A62)))))</f>
        <v/>
      </c>
      <c r="C62" s="26"/>
      <c r="D62" s="50"/>
      <c r="E62" s="27"/>
      <c r="F62" s="36" t="str">
        <f aca="false">IF($B62="","",IFERROR(INDEX(Rubric!$C$15:$C$24,MATCH(LOWER($B62),Rubric!$A$15:$A$24,0)),INDEX(Rubric!$C$15:$C$24,MATCH("other",Rubric!$A$15:$A$24,0))))</f>
        <v/>
      </c>
      <c r="G62" s="37" t="str">
        <f aca="true">IF(OR($A62="",$D62=""),"",YEARFRAC($D62,TODAY()))</f>
        <v/>
      </c>
      <c r="H62" s="51" t="str">
        <f aca="false">IF($G62="","",MAX(0,INT($G62)))</f>
        <v/>
      </c>
      <c r="I62" s="39" t="str">
        <f aca="false">IF(OR($F62="",$H62=""),"",$F62*$H62)</f>
        <v/>
      </c>
      <c r="J62" s="39" t="str">
        <f aca="false">IF(OR($A62="",$E62=""),"",$E62+IF($I62="",0,$I62))</f>
        <v/>
      </c>
      <c r="K62" s="39" t="str">
        <f aca="false">IF(OR($J62="",$J62=0),"",$J62/(1-Assumptions!$B$4))</f>
        <v/>
      </c>
      <c r="L62" s="39" t="str">
        <f aca="false">IF($K62="","",MAX($K62,$E62*Assumptions!$B$10))</f>
        <v/>
      </c>
      <c r="M62" s="27"/>
      <c r="N62" s="33"/>
    </row>
    <row r="63" customFormat="false" ht="15" hidden="false" customHeight="true" outlineLevel="0" collapsed="false">
      <c r="A63" s="43"/>
      <c r="B63" s="34" t="str">
        <f aca="false">IF($A63="","",IF(ISERROR(FIND(".",$A63)),"",LOWER(MID($A63,FIND(CHAR(1),SUBSTITUTE($A63,".",CHAR(1),LEN($A63)-LEN(SUBSTITUTE($A63,".",""))))+1,LEN($A63)))))</f>
        <v/>
      </c>
      <c r="C63" s="26"/>
      <c r="D63" s="50"/>
      <c r="E63" s="27"/>
      <c r="F63" s="36" t="str">
        <f aca="false">IF($B63="","",IFERROR(INDEX(Rubric!$C$15:$C$24,MATCH(LOWER($B63),Rubric!$A$15:$A$24,0)),INDEX(Rubric!$C$15:$C$24,MATCH("other",Rubric!$A$15:$A$24,0))))</f>
        <v/>
      </c>
      <c r="G63" s="37" t="str">
        <f aca="true">IF(OR($A63="",$D63=""),"",YEARFRAC($D63,TODAY()))</f>
        <v/>
      </c>
      <c r="H63" s="51" t="str">
        <f aca="false">IF($G63="","",MAX(0,INT($G63)))</f>
        <v/>
      </c>
      <c r="I63" s="39" t="str">
        <f aca="false">IF(OR($F63="",$H63=""),"",$F63*$H63)</f>
        <v/>
      </c>
      <c r="J63" s="39" t="str">
        <f aca="false">IF(OR($A63="",$E63=""),"",$E63+IF($I63="",0,$I63))</f>
        <v/>
      </c>
      <c r="K63" s="39" t="str">
        <f aca="false">IF(OR($J63="",$J63=0),"",$J63/(1-Assumptions!$B$4))</f>
        <v/>
      </c>
      <c r="L63" s="39" t="str">
        <f aca="false">IF($K63="","",MAX($K63,$E63*Assumptions!$B$10))</f>
        <v/>
      </c>
      <c r="M63" s="27"/>
      <c r="N63" s="33"/>
    </row>
    <row r="64" customFormat="false" ht="15" hidden="false" customHeight="true" outlineLevel="0" collapsed="false">
      <c r="A64" s="43"/>
      <c r="B64" s="34" t="str">
        <f aca="false">IF($A64="","",IF(ISERROR(FIND(".",$A64)),"",LOWER(MID($A64,FIND(CHAR(1),SUBSTITUTE($A64,".",CHAR(1),LEN($A64)-LEN(SUBSTITUTE($A64,".",""))))+1,LEN($A64)))))</f>
        <v/>
      </c>
      <c r="C64" s="26"/>
      <c r="D64" s="50"/>
      <c r="E64" s="27"/>
      <c r="F64" s="36" t="str">
        <f aca="false">IF($B64="","",IFERROR(INDEX(Rubric!$C$15:$C$24,MATCH(LOWER($B64),Rubric!$A$15:$A$24,0)),INDEX(Rubric!$C$15:$C$24,MATCH("other",Rubric!$A$15:$A$24,0))))</f>
        <v/>
      </c>
      <c r="G64" s="37" t="str">
        <f aca="true">IF(OR($A64="",$D64=""),"",YEARFRAC($D64,TODAY()))</f>
        <v/>
      </c>
      <c r="H64" s="51" t="str">
        <f aca="false">IF($G64="","",MAX(0,INT($G64)))</f>
        <v/>
      </c>
      <c r="I64" s="39" t="str">
        <f aca="false">IF(OR($F64="",$H64=""),"",$F64*$H64)</f>
        <v/>
      </c>
      <c r="J64" s="39" t="str">
        <f aca="false">IF(OR($A64="",$E64=""),"",$E64+IF($I64="",0,$I64))</f>
        <v/>
      </c>
      <c r="K64" s="39" t="str">
        <f aca="false">IF(OR($J64="",$J64=0),"",$J64/(1-Assumptions!$B$4))</f>
        <v/>
      </c>
      <c r="L64" s="39" t="str">
        <f aca="false">IF($K64="","",MAX($K64,$E64*Assumptions!$B$10))</f>
        <v/>
      </c>
      <c r="M64" s="27"/>
      <c r="N64" s="33"/>
    </row>
    <row r="65" customFormat="false" ht="15" hidden="false" customHeight="true" outlineLevel="0" collapsed="false">
      <c r="A65" s="43"/>
      <c r="B65" s="34" t="str">
        <f aca="false">IF($A65="","",IF(ISERROR(FIND(".",$A65)),"",LOWER(MID($A65,FIND(CHAR(1),SUBSTITUTE($A65,".",CHAR(1),LEN($A65)-LEN(SUBSTITUTE($A65,".",""))))+1,LEN($A65)))))</f>
        <v/>
      </c>
      <c r="C65" s="26"/>
      <c r="D65" s="50"/>
      <c r="E65" s="27"/>
      <c r="F65" s="36" t="str">
        <f aca="false">IF($B65="","",IFERROR(INDEX(Rubric!$C$15:$C$24,MATCH(LOWER($B65),Rubric!$A$15:$A$24,0)),INDEX(Rubric!$C$15:$C$24,MATCH("other",Rubric!$A$15:$A$24,0))))</f>
        <v/>
      </c>
      <c r="G65" s="37" t="str">
        <f aca="true">IF(OR($A65="",$D65=""),"",YEARFRAC($D65,TODAY()))</f>
        <v/>
      </c>
      <c r="H65" s="51" t="str">
        <f aca="false">IF($G65="","",MAX(0,INT($G65)))</f>
        <v/>
      </c>
      <c r="I65" s="39" t="str">
        <f aca="false">IF(OR($F65="",$H65=""),"",$F65*$H65)</f>
        <v/>
      </c>
      <c r="J65" s="39" t="str">
        <f aca="false">IF(OR($A65="",$E65=""),"",$E65+IF($I65="",0,$I65))</f>
        <v/>
      </c>
      <c r="K65" s="39" t="str">
        <f aca="false">IF(OR($J65="",$J65=0),"",$J65/(1-Assumptions!$B$4))</f>
        <v/>
      </c>
      <c r="L65" s="39" t="str">
        <f aca="false">IF($K65="","",MAX($K65,$E65*Assumptions!$B$10))</f>
        <v/>
      </c>
      <c r="M65" s="27"/>
      <c r="N65" s="33"/>
    </row>
    <row r="66" customFormat="false" ht="15" hidden="false" customHeight="true" outlineLevel="0" collapsed="false">
      <c r="A66" s="43"/>
      <c r="B66" s="34" t="str">
        <f aca="false">IF($A66="","",IF(ISERROR(FIND(".",$A66)),"",LOWER(MID($A66,FIND(CHAR(1),SUBSTITUTE($A66,".",CHAR(1),LEN($A66)-LEN(SUBSTITUTE($A66,".",""))))+1,LEN($A66)))))</f>
        <v/>
      </c>
      <c r="C66" s="26"/>
      <c r="D66" s="50"/>
      <c r="E66" s="27"/>
      <c r="F66" s="36" t="str">
        <f aca="false">IF($B66="","",IFERROR(INDEX(Rubric!$C$15:$C$24,MATCH(LOWER($B66),Rubric!$A$15:$A$24,0)),INDEX(Rubric!$C$15:$C$24,MATCH("other",Rubric!$A$15:$A$24,0))))</f>
        <v/>
      </c>
      <c r="G66" s="37" t="str">
        <f aca="true">IF(OR($A66="",$D66=""),"",YEARFRAC($D66,TODAY()))</f>
        <v/>
      </c>
      <c r="H66" s="51" t="str">
        <f aca="false">IF($G66="","",MAX(0,INT($G66)))</f>
        <v/>
      </c>
      <c r="I66" s="39" t="str">
        <f aca="false">IF(OR($F66="",$H66=""),"",$F66*$H66)</f>
        <v/>
      </c>
      <c r="J66" s="39" t="str">
        <f aca="false">IF(OR($A66="",$E66=""),"",$E66+IF($I66="",0,$I66))</f>
        <v/>
      </c>
      <c r="K66" s="39" t="str">
        <f aca="false">IF(OR($J66="",$J66=0),"",$J66/(1-Assumptions!$B$4))</f>
        <v/>
      </c>
      <c r="L66" s="39" t="str">
        <f aca="false">IF($K66="","",MAX($K66,$E66*Assumptions!$B$10))</f>
        <v/>
      </c>
      <c r="M66" s="27"/>
      <c r="N66" s="33"/>
    </row>
    <row r="67" customFormat="false" ht="15" hidden="false" customHeight="true" outlineLevel="0" collapsed="false">
      <c r="A67" s="43"/>
      <c r="B67" s="34" t="str">
        <f aca="false">IF($A67="","",IF(ISERROR(FIND(".",$A67)),"",LOWER(MID($A67,FIND(CHAR(1),SUBSTITUTE($A67,".",CHAR(1),LEN($A67)-LEN(SUBSTITUTE($A67,".",""))))+1,LEN($A67)))))</f>
        <v/>
      </c>
      <c r="C67" s="26"/>
      <c r="D67" s="50"/>
      <c r="E67" s="27"/>
      <c r="F67" s="36" t="str">
        <f aca="false">IF($B67="","",IFERROR(INDEX(Rubric!$C$15:$C$24,MATCH(LOWER($B67),Rubric!$A$15:$A$24,0)),INDEX(Rubric!$C$15:$C$24,MATCH("other",Rubric!$A$15:$A$24,0))))</f>
        <v/>
      </c>
      <c r="G67" s="37" t="str">
        <f aca="true">IF(OR($A67="",$D67=""),"",YEARFRAC($D67,TODAY()))</f>
        <v/>
      </c>
      <c r="H67" s="51" t="str">
        <f aca="false">IF($G67="","",MAX(0,INT($G67)))</f>
        <v/>
      </c>
      <c r="I67" s="39" t="str">
        <f aca="false">IF(OR($F67="",$H67=""),"",$F67*$H67)</f>
        <v/>
      </c>
      <c r="J67" s="39" t="str">
        <f aca="false">IF(OR($A67="",$E67=""),"",$E67+IF($I67="",0,$I67))</f>
        <v/>
      </c>
      <c r="K67" s="39" t="str">
        <f aca="false">IF(OR($J67="",$J67=0),"",$J67/(1-Assumptions!$B$4))</f>
        <v/>
      </c>
      <c r="L67" s="39" t="str">
        <f aca="false">IF($K67="","",MAX($K67,$E67*Assumptions!$B$10))</f>
        <v/>
      </c>
      <c r="M67" s="27"/>
      <c r="N67" s="33"/>
    </row>
    <row r="68" customFormat="false" ht="15" hidden="false" customHeight="true" outlineLevel="0" collapsed="false">
      <c r="A68" s="43"/>
      <c r="B68" s="34" t="str">
        <f aca="false">IF($A68="","",IF(ISERROR(FIND(".",$A68)),"",LOWER(MID($A68,FIND(CHAR(1),SUBSTITUTE($A68,".",CHAR(1),LEN($A68)-LEN(SUBSTITUTE($A68,".",""))))+1,LEN($A68)))))</f>
        <v/>
      </c>
      <c r="C68" s="26"/>
      <c r="D68" s="50"/>
      <c r="E68" s="27"/>
      <c r="F68" s="36" t="str">
        <f aca="false">IF($B68="","",IFERROR(INDEX(Rubric!$C$15:$C$24,MATCH(LOWER($B68),Rubric!$A$15:$A$24,0)),INDEX(Rubric!$C$15:$C$24,MATCH("other",Rubric!$A$15:$A$24,0))))</f>
        <v/>
      </c>
      <c r="G68" s="37" t="str">
        <f aca="true">IF(OR($A68="",$D68=""),"",YEARFRAC($D68,TODAY()))</f>
        <v/>
      </c>
      <c r="H68" s="51" t="str">
        <f aca="false">IF($G68="","",MAX(0,INT($G68)))</f>
        <v/>
      </c>
      <c r="I68" s="39" t="str">
        <f aca="false">IF(OR($F68="",$H68=""),"",$F68*$H68)</f>
        <v/>
      </c>
      <c r="J68" s="39" t="str">
        <f aca="false">IF(OR($A68="",$E68=""),"",$E68+IF($I68="",0,$I68))</f>
        <v/>
      </c>
      <c r="K68" s="39" t="str">
        <f aca="false">IF(OR($J68="",$J68=0),"",$J68/(1-Assumptions!$B$4))</f>
        <v/>
      </c>
      <c r="L68" s="39" t="str">
        <f aca="false">IF($K68="","",MAX($K68,$E68*Assumptions!$B$10))</f>
        <v/>
      </c>
      <c r="M68" s="27"/>
      <c r="N68" s="33"/>
    </row>
    <row r="69" customFormat="false" ht="15" hidden="false" customHeight="true" outlineLevel="0" collapsed="false">
      <c r="A69" s="43"/>
      <c r="B69" s="34" t="str">
        <f aca="false">IF($A69="","",IF(ISERROR(FIND(".",$A69)),"",LOWER(MID($A69,FIND(CHAR(1),SUBSTITUTE($A69,".",CHAR(1),LEN($A69)-LEN(SUBSTITUTE($A69,".",""))))+1,LEN($A69)))))</f>
        <v/>
      </c>
      <c r="C69" s="26"/>
      <c r="D69" s="50"/>
      <c r="E69" s="27"/>
      <c r="F69" s="36" t="str">
        <f aca="false">IF($B69="","",IFERROR(INDEX(Rubric!$C$15:$C$24,MATCH(LOWER($B69),Rubric!$A$15:$A$24,0)),INDEX(Rubric!$C$15:$C$24,MATCH("other",Rubric!$A$15:$A$24,0))))</f>
        <v/>
      </c>
      <c r="G69" s="37" t="str">
        <f aca="true">IF(OR($A69="",$D69=""),"",YEARFRAC($D69,TODAY()))</f>
        <v/>
      </c>
      <c r="H69" s="51" t="str">
        <f aca="false">IF($G69="","",MAX(0,INT($G69)))</f>
        <v/>
      </c>
      <c r="I69" s="39" t="str">
        <f aca="false">IF(OR($F69="",$H69=""),"",$F69*$H69)</f>
        <v/>
      </c>
      <c r="J69" s="39" t="str">
        <f aca="false">IF(OR($A69="",$E69=""),"",$E69+IF($I69="",0,$I69))</f>
        <v/>
      </c>
      <c r="K69" s="39" t="str">
        <f aca="false">IF(OR($J69="",$J69=0),"",$J69/(1-Assumptions!$B$4))</f>
        <v/>
      </c>
      <c r="L69" s="39" t="str">
        <f aca="false">IF($K69="","",MAX($K69,$E69*Assumptions!$B$10))</f>
        <v/>
      </c>
      <c r="M69" s="27"/>
      <c r="N69" s="33"/>
    </row>
    <row r="70" customFormat="false" ht="15" hidden="false" customHeight="true" outlineLevel="0" collapsed="false">
      <c r="A70" s="43"/>
      <c r="B70" s="34" t="str">
        <f aca="false">IF($A70="","",IF(ISERROR(FIND(".",$A70)),"",LOWER(MID($A70,FIND(CHAR(1),SUBSTITUTE($A70,".",CHAR(1),LEN($A70)-LEN(SUBSTITUTE($A70,".",""))))+1,LEN($A70)))))</f>
        <v/>
      </c>
      <c r="C70" s="26"/>
      <c r="D70" s="50"/>
      <c r="E70" s="27"/>
      <c r="F70" s="36" t="str">
        <f aca="false">IF($B70="","",IFERROR(INDEX(Rubric!$C$15:$C$24,MATCH(LOWER($B70),Rubric!$A$15:$A$24,0)),INDEX(Rubric!$C$15:$C$24,MATCH("other",Rubric!$A$15:$A$24,0))))</f>
        <v/>
      </c>
      <c r="G70" s="37" t="str">
        <f aca="true">IF(OR($A70="",$D70=""),"",YEARFRAC($D70,TODAY()))</f>
        <v/>
      </c>
      <c r="H70" s="51" t="str">
        <f aca="false">IF($G70="","",MAX(0,INT($G70)))</f>
        <v/>
      </c>
      <c r="I70" s="39" t="str">
        <f aca="false">IF(OR($F70="",$H70=""),"",$F70*$H70)</f>
        <v/>
      </c>
      <c r="J70" s="39" t="str">
        <f aca="false">IF(OR($A70="",$E70=""),"",$E70+IF($I70="",0,$I70))</f>
        <v/>
      </c>
      <c r="K70" s="39" t="str">
        <f aca="false">IF(OR($J70="",$J70=0),"",$J70/(1-Assumptions!$B$4))</f>
        <v/>
      </c>
      <c r="L70" s="39" t="str">
        <f aca="false">IF($K70="","",MAX($K70,$E70*Assumptions!$B$10))</f>
        <v/>
      </c>
      <c r="M70" s="27"/>
      <c r="N70" s="33"/>
    </row>
    <row r="71" customFormat="false" ht="15" hidden="false" customHeight="true" outlineLevel="0" collapsed="false">
      <c r="A71" s="43"/>
      <c r="B71" s="34" t="str">
        <f aca="false">IF($A71="","",IF(ISERROR(FIND(".",$A71)),"",LOWER(MID($A71,FIND(CHAR(1),SUBSTITUTE($A71,".",CHAR(1),LEN($A71)-LEN(SUBSTITUTE($A71,".",""))))+1,LEN($A71)))))</f>
        <v/>
      </c>
      <c r="C71" s="26"/>
      <c r="D71" s="50"/>
      <c r="E71" s="27"/>
      <c r="F71" s="36" t="str">
        <f aca="false">IF($B71="","",IFERROR(INDEX(Rubric!$C$15:$C$24,MATCH(LOWER($B71),Rubric!$A$15:$A$24,0)),INDEX(Rubric!$C$15:$C$24,MATCH("other",Rubric!$A$15:$A$24,0))))</f>
        <v/>
      </c>
      <c r="G71" s="37" t="str">
        <f aca="true">IF(OR($A71="",$D71=""),"",YEARFRAC($D71,TODAY()))</f>
        <v/>
      </c>
      <c r="H71" s="51" t="str">
        <f aca="false">IF($G71="","",MAX(0,INT($G71)))</f>
        <v/>
      </c>
      <c r="I71" s="39" t="str">
        <f aca="false">IF(OR($F71="",$H71=""),"",$F71*$H71)</f>
        <v/>
      </c>
      <c r="J71" s="39" t="str">
        <f aca="false">IF(OR($A71="",$E71=""),"",$E71+IF($I71="",0,$I71))</f>
        <v/>
      </c>
      <c r="K71" s="39" t="str">
        <f aca="false">IF(OR($J71="",$J71=0),"",$J71/(1-Assumptions!$B$4))</f>
        <v/>
      </c>
      <c r="L71" s="39" t="str">
        <f aca="false">IF($K71="","",MAX($K71,$E71*Assumptions!$B$10))</f>
        <v/>
      </c>
      <c r="M71" s="27"/>
      <c r="N71" s="33"/>
    </row>
    <row r="72" customFormat="false" ht="15" hidden="false" customHeight="true" outlineLevel="0" collapsed="false">
      <c r="A72" s="43"/>
      <c r="B72" s="34" t="str">
        <f aca="false">IF($A72="","",IF(ISERROR(FIND(".",$A72)),"",LOWER(MID($A72,FIND(CHAR(1),SUBSTITUTE($A72,".",CHAR(1),LEN($A72)-LEN(SUBSTITUTE($A72,".",""))))+1,LEN($A72)))))</f>
        <v/>
      </c>
      <c r="C72" s="26"/>
      <c r="D72" s="50"/>
      <c r="E72" s="27"/>
      <c r="F72" s="36" t="str">
        <f aca="false">IF($B72="","",IFERROR(INDEX(Rubric!$C$15:$C$24,MATCH(LOWER($B72),Rubric!$A$15:$A$24,0)),INDEX(Rubric!$C$15:$C$24,MATCH("other",Rubric!$A$15:$A$24,0))))</f>
        <v/>
      </c>
      <c r="G72" s="37" t="str">
        <f aca="true">IF(OR($A72="",$D72=""),"",YEARFRAC($D72,TODAY()))</f>
        <v/>
      </c>
      <c r="H72" s="51" t="str">
        <f aca="false">IF($G72="","",MAX(0,INT($G72)))</f>
        <v/>
      </c>
      <c r="I72" s="39" t="str">
        <f aca="false">IF(OR($F72="",$H72=""),"",$F72*$H72)</f>
        <v/>
      </c>
      <c r="J72" s="39" t="str">
        <f aca="false">IF(OR($A72="",$E72=""),"",$E72+IF($I72="",0,$I72))</f>
        <v/>
      </c>
      <c r="K72" s="39" t="str">
        <f aca="false">IF(OR($J72="",$J72=0),"",$J72/(1-Assumptions!$B$4))</f>
        <v/>
      </c>
      <c r="L72" s="39" t="str">
        <f aca="false">IF($K72="","",MAX($K72,$E72*Assumptions!$B$10))</f>
        <v/>
      </c>
      <c r="M72" s="27"/>
      <c r="N72" s="33"/>
    </row>
    <row r="73" customFormat="false" ht="15" hidden="false" customHeight="true" outlineLevel="0" collapsed="false">
      <c r="A73" s="43"/>
      <c r="B73" s="34" t="str">
        <f aca="false">IF($A73="","",IF(ISERROR(FIND(".",$A73)),"",LOWER(MID($A73,FIND(CHAR(1),SUBSTITUTE($A73,".",CHAR(1),LEN($A73)-LEN(SUBSTITUTE($A73,".",""))))+1,LEN($A73)))))</f>
        <v/>
      </c>
      <c r="C73" s="26"/>
      <c r="D73" s="50"/>
      <c r="E73" s="27"/>
      <c r="F73" s="36" t="str">
        <f aca="false">IF($B73="","",IFERROR(INDEX(Rubric!$C$15:$C$24,MATCH(LOWER($B73),Rubric!$A$15:$A$24,0)),INDEX(Rubric!$C$15:$C$24,MATCH("other",Rubric!$A$15:$A$24,0))))</f>
        <v/>
      </c>
      <c r="G73" s="37" t="str">
        <f aca="true">IF(OR($A73="",$D73=""),"",YEARFRAC($D73,TODAY()))</f>
        <v/>
      </c>
      <c r="H73" s="51" t="str">
        <f aca="false">IF($G73="","",MAX(0,INT($G73)))</f>
        <v/>
      </c>
      <c r="I73" s="39" t="str">
        <f aca="false">IF(OR($F73="",$H73=""),"",$F73*$H73)</f>
        <v/>
      </c>
      <c r="J73" s="39" t="str">
        <f aca="false">IF(OR($A73="",$E73=""),"",$E73+IF($I73="",0,$I73))</f>
        <v/>
      </c>
      <c r="K73" s="39" t="str">
        <f aca="false">IF(OR($J73="",$J73=0),"",$J73/(1-Assumptions!$B$4))</f>
        <v/>
      </c>
      <c r="L73" s="39" t="str">
        <f aca="false">IF($K73="","",MAX($K73,$E73*Assumptions!$B$10))</f>
        <v/>
      </c>
      <c r="M73" s="27"/>
      <c r="N73" s="33"/>
    </row>
    <row r="74" customFormat="false" ht="15" hidden="false" customHeight="true" outlineLevel="0" collapsed="false">
      <c r="A74" s="43"/>
      <c r="B74" s="34" t="str">
        <f aca="false">IF($A74="","",IF(ISERROR(FIND(".",$A74)),"",LOWER(MID($A74,FIND(CHAR(1),SUBSTITUTE($A74,".",CHAR(1),LEN($A74)-LEN(SUBSTITUTE($A74,".",""))))+1,LEN($A74)))))</f>
        <v/>
      </c>
      <c r="C74" s="26"/>
      <c r="D74" s="50"/>
      <c r="E74" s="27"/>
      <c r="F74" s="36" t="str">
        <f aca="false">IF($B74="","",IFERROR(INDEX(Rubric!$C$15:$C$24,MATCH(LOWER($B74),Rubric!$A$15:$A$24,0)),INDEX(Rubric!$C$15:$C$24,MATCH("other",Rubric!$A$15:$A$24,0))))</f>
        <v/>
      </c>
      <c r="G74" s="37" t="str">
        <f aca="true">IF(OR($A74="",$D74=""),"",YEARFRAC($D74,TODAY()))</f>
        <v/>
      </c>
      <c r="H74" s="51" t="str">
        <f aca="false">IF($G74="","",MAX(0,INT($G74)))</f>
        <v/>
      </c>
      <c r="I74" s="39" t="str">
        <f aca="false">IF(OR($F74="",$H74=""),"",$F74*$H74)</f>
        <v/>
      </c>
      <c r="J74" s="39" t="str">
        <f aca="false">IF(OR($A74="",$E74=""),"",$E74+IF($I74="",0,$I74))</f>
        <v/>
      </c>
      <c r="K74" s="39" t="str">
        <f aca="false">IF(OR($J74="",$J74=0),"",$J74/(1-Assumptions!$B$4))</f>
        <v/>
      </c>
      <c r="L74" s="39" t="str">
        <f aca="false">IF($K74="","",MAX($K74,$E74*Assumptions!$B$10))</f>
        <v/>
      </c>
      <c r="M74" s="27"/>
      <c r="N74" s="33"/>
    </row>
    <row r="75" customFormat="false" ht="15" hidden="false" customHeight="true" outlineLevel="0" collapsed="false">
      <c r="A75" s="43"/>
      <c r="B75" s="34" t="str">
        <f aca="false">IF($A75="","",IF(ISERROR(FIND(".",$A75)),"",LOWER(MID($A75,FIND(CHAR(1),SUBSTITUTE($A75,".",CHAR(1),LEN($A75)-LEN(SUBSTITUTE($A75,".",""))))+1,LEN($A75)))))</f>
        <v/>
      </c>
      <c r="C75" s="26"/>
      <c r="D75" s="50"/>
      <c r="E75" s="27"/>
      <c r="F75" s="36" t="str">
        <f aca="false">IF($B75="","",IFERROR(INDEX(Rubric!$C$15:$C$24,MATCH(LOWER($B75),Rubric!$A$15:$A$24,0)),INDEX(Rubric!$C$15:$C$24,MATCH("other",Rubric!$A$15:$A$24,0))))</f>
        <v/>
      </c>
      <c r="G75" s="37" t="str">
        <f aca="true">IF(OR($A75="",$D75=""),"",YEARFRAC($D75,TODAY()))</f>
        <v/>
      </c>
      <c r="H75" s="51" t="str">
        <f aca="false">IF($G75="","",MAX(0,INT($G75)))</f>
        <v/>
      </c>
      <c r="I75" s="39" t="str">
        <f aca="false">IF(OR($F75="",$H75=""),"",$F75*$H75)</f>
        <v/>
      </c>
      <c r="J75" s="39" t="str">
        <f aca="false">IF(OR($A75="",$E75=""),"",$E75+IF($I75="",0,$I75))</f>
        <v/>
      </c>
      <c r="K75" s="39" t="str">
        <f aca="false">IF(OR($J75="",$J75=0),"",$J75/(1-Assumptions!$B$4))</f>
        <v/>
      </c>
      <c r="L75" s="39" t="str">
        <f aca="false">IF($K75="","",MAX($K75,$E75*Assumptions!$B$10))</f>
        <v/>
      </c>
      <c r="M75" s="27"/>
      <c r="N75" s="33"/>
    </row>
    <row r="76" customFormat="false" ht="15" hidden="false" customHeight="true" outlineLevel="0" collapsed="false">
      <c r="A76" s="43"/>
      <c r="B76" s="34" t="str">
        <f aca="false">IF($A76="","",IF(ISERROR(FIND(".",$A76)),"",LOWER(MID($A76,FIND(CHAR(1),SUBSTITUTE($A76,".",CHAR(1),LEN($A76)-LEN(SUBSTITUTE($A76,".",""))))+1,LEN($A76)))))</f>
        <v/>
      </c>
      <c r="C76" s="26"/>
      <c r="D76" s="50"/>
      <c r="E76" s="27"/>
      <c r="F76" s="36" t="str">
        <f aca="false">IF($B76="","",IFERROR(INDEX(Rubric!$C$15:$C$24,MATCH(LOWER($B76),Rubric!$A$15:$A$24,0)),INDEX(Rubric!$C$15:$C$24,MATCH("other",Rubric!$A$15:$A$24,0))))</f>
        <v/>
      </c>
      <c r="G76" s="37" t="str">
        <f aca="true">IF(OR($A76="",$D76=""),"",YEARFRAC($D76,TODAY()))</f>
        <v/>
      </c>
      <c r="H76" s="51" t="str">
        <f aca="false">IF($G76="","",MAX(0,INT($G76)))</f>
        <v/>
      </c>
      <c r="I76" s="39" t="str">
        <f aca="false">IF(OR($F76="",$H76=""),"",$F76*$H76)</f>
        <v/>
      </c>
      <c r="J76" s="39" t="str">
        <f aca="false">IF(OR($A76="",$E76=""),"",$E76+IF($I76="",0,$I76))</f>
        <v/>
      </c>
      <c r="K76" s="39" t="str">
        <f aca="false">IF(OR($J76="",$J76=0),"",$J76/(1-Assumptions!$B$4))</f>
        <v/>
      </c>
      <c r="L76" s="39" t="str">
        <f aca="false">IF($K76="","",MAX($K76,$E76*Assumptions!$B$10))</f>
        <v/>
      </c>
      <c r="M76" s="27"/>
      <c r="N76" s="33"/>
    </row>
    <row r="77" customFormat="false" ht="15" hidden="false" customHeight="true" outlineLevel="0" collapsed="false">
      <c r="A77" s="43"/>
      <c r="B77" s="34" t="str">
        <f aca="false">IF($A77="","",IF(ISERROR(FIND(".",$A77)),"",LOWER(MID($A77,FIND(CHAR(1),SUBSTITUTE($A77,".",CHAR(1),LEN($A77)-LEN(SUBSTITUTE($A77,".",""))))+1,LEN($A77)))))</f>
        <v/>
      </c>
      <c r="C77" s="26"/>
      <c r="D77" s="50"/>
      <c r="E77" s="27"/>
      <c r="F77" s="36" t="str">
        <f aca="false">IF($B77="","",IFERROR(INDEX(Rubric!$C$15:$C$24,MATCH(LOWER($B77),Rubric!$A$15:$A$24,0)),INDEX(Rubric!$C$15:$C$24,MATCH("other",Rubric!$A$15:$A$24,0))))</f>
        <v/>
      </c>
      <c r="G77" s="37" t="str">
        <f aca="true">IF(OR($A77="",$D77=""),"",YEARFRAC($D77,TODAY()))</f>
        <v/>
      </c>
      <c r="H77" s="51" t="str">
        <f aca="false">IF($G77="","",MAX(0,INT($G77)))</f>
        <v/>
      </c>
      <c r="I77" s="39" t="str">
        <f aca="false">IF(OR($F77="",$H77=""),"",$F77*$H77)</f>
        <v/>
      </c>
      <c r="J77" s="39" t="str">
        <f aca="false">IF(OR($A77="",$E77=""),"",$E77+IF($I77="",0,$I77))</f>
        <v/>
      </c>
      <c r="K77" s="39" t="str">
        <f aca="false">IF(OR($J77="",$J77=0),"",$J77/(1-Assumptions!$B$4))</f>
        <v/>
      </c>
      <c r="L77" s="39" t="str">
        <f aca="false">IF($K77="","",MAX($K77,$E77*Assumptions!$B$10))</f>
        <v/>
      </c>
      <c r="M77" s="27"/>
      <c r="N77" s="33"/>
    </row>
    <row r="78" customFormat="false" ht="15" hidden="false" customHeight="true" outlineLevel="0" collapsed="false">
      <c r="A78" s="43"/>
      <c r="B78" s="34" t="str">
        <f aca="false">IF($A78="","",IF(ISERROR(FIND(".",$A78)),"",LOWER(MID($A78,FIND(CHAR(1),SUBSTITUTE($A78,".",CHAR(1),LEN($A78)-LEN(SUBSTITUTE($A78,".",""))))+1,LEN($A78)))))</f>
        <v/>
      </c>
      <c r="C78" s="26"/>
      <c r="D78" s="50"/>
      <c r="E78" s="27"/>
      <c r="F78" s="36" t="str">
        <f aca="false">IF($B78="","",IFERROR(INDEX(Rubric!$C$15:$C$24,MATCH(LOWER($B78),Rubric!$A$15:$A$24,0)),INDEX(Rubric!$C$15:$C$24,MATCH("other",Rubric!$A$15:$A$24,0))))</f>
        <v/>
      </c>
      <c r="G78" s="37" t="str">
        <f aca="true">IF(OR($A78="",$D78=""),"",YEARFRAC($D78,TODAY()))</f>
        <v/>
      </c>
      <c r="H78" s="51" t="str">
        <f aca="false">IF($G78="","",MAX(0,INT($G78)))</f>
        <v/>
      </c>
      <c r="I78" s="39" t="str">
        <f aca="false">IF(OR($F78="",$H78=""),"",$F78*$H78)</f>
        <v/>
      </c>
      <c r="J78" s="39" t="str">
        <f aca="false">IF(OR($A78="",$E78=""),"",$E78+IF($I78="",0,$I78))</f>
        <v/>
      </c>
      <c r="K78" s="39" t="str">
        <f aca="false">IF(OR($J78="",$J78=0),"",$J78/(1-Assumptions!$B$4))</f>
        <v/>
      </c>
      <c r="L78" s="39" t="str">
        <f aca="false">IF($K78="","",MAX($K78,$E78*Assumptions!$B$10))</f>
        <v/>
      </c>
      <c r="M78" s="27"/>
      <c r="N78" s="33"/>
    </row>
    <row r="79" customFormat="false" ht="15" hidden="false" customHeight="true" outlineLevel="0" collapsed="false">
      <c r="A79" s="43"/>
      <c r="B79" s="34" t="str">
        <f aca="false">IF($A79="","",IF(ISERROR(FIND(".",$A79)),"",LOWER(MID($A79,FIND(CHAR(1),SUBSTITUTE($A79,".",CHAR(1),LEN($A79)-LEN(SUBSTITUTE($A79,".",""))))+1,LEN($A79)))))</f>
        <v/>
      </c>
      <c r="C79" s="26"/>
      <c r="D79" s="50"/>
      <c r="E79" s="27"/>
      <c r="F79" s="36" t="str">
        <f aca="false">IF($B79="","",IFERROR(INDEX(Rubric!$C$15:$C$24,MATCH(LOWER($B79),Rubric!$A$15:$A$24,0)),INDEX(Rubric!$C$15:$C$24,MATCH("other",Rubric!$A$15:$A$24,0))))</f>
        <v/>
      </c>
      <c r="G79" s="37" t="str">
        <f aca="true">IF(OR($A79="",$D79=""),"",YEARFRAC($D79,TODAY()))</f>
        <v/>
      </c>
      <c r="H79" s="51" t="str">
        <f aca="false">IF($G79="","",MAX(0,INT($G79)))</f>
        <v/>
      </c>
      <c r="I79" s="39" t="str">
        <f aca="false">IF(OR($F79="",$H79=""),"",$F79*$H79)</f>
        <v/>
      </c>
      <c r="J79" s="39" t="str">
        <f aca="false">IF(OR($A79="",$E79=""),"",$E79+IF($I79="",0,$I79))</f>
        <v/>
      </c>
      <c r="K79" s="39" t="str">
        <f aca="false">IF(OR($J79="",$J79=0),"",$J79/(1-Assumptions!$B$4))</f>
        <v/>
      </c>
      <c r="L79" s="39" t="str">
        <f aca="false">IF($K79="","",MAX($K79,$E79*Assumptions!$B$10))</f>
        <v/>
      </c>
      <c r="M79" s="27"/>
      <c r="N79" s="33"/>
    </row>
    <row r="80" customFormat="false" ht="15" hidden="false" customHeight="true" outlineLevel="0" collapsed="false">
      <c r="A80" s="43"/>
      <c r="B80" s="34" t="str">
        <f aca="false">IF($A80="","",IF(ISERROR(FIND(".",$A80)),"",LOWER(MID($A80,FIND(CHAR(1),SUBSTITUTE($A80,".",CHAR(1),LEN($A80)-LEN(SUBSTITUTE($A80,".",""))))+1,LEN($A80)))))</f>
        <v/>
      </c>
      <c r="C80" s="26"/>
      <c r="D80" s="50"/>
      <c r="E80" s="27"/>
      <c r="F80" s="36" t="str">
        <f aca="false">IF($B80="","",IFERROR(INDEX(Rubric!$C$15:$C$24,MATCH(LOWER($B80),Rubric!$A$15:$A$24,0)),INDEX(Rubric!$C$15:$C$24,MATCH("other",Rubric!$A$15:$A$24,0))))</f>
        <v/>
      </c>
      <c r="G80" s="37" t="str">
        <f aca="true">IF(OR($A80="",$D80=""),"",YEARFRAC($D80,TODAY()))</f>
        <v/>
      </c>
      <c r="H80" s="51" t="str">
        <f aca="false">IF($G80="","",MAX(0,INT($G80)))</f>
        <v/>
      </c>
      <c r="I80" s="39" t="str">
        <f aca="false">IF(OR($F80="",$H80=""),"",$F80*$H80)</f>
        <v/>
      </c>
      <c r="J80" s="39" t="str">
        <f aca="false">IF(OR($A80="",$E80=""),"",$E80+IF($I80="",0,$I80))</f>
        <v/>
      </c>
      <c r="K80" s="39" t="str">
        <f aca="false">IF(OR($J80="",$J80=0),"",$J80/(1-Assumptions!$B$4))</f>
        <v/>
      </c>
      <c r="L80" s="39" t="str">
        <f aca="false">IF($K80="","",MAX($K80,$E80*Assumptions!$B$10))</f>
        <v/>
      </c>
      <c r="M80" s="27"/>
      <c r="N80" s="33"/>
    </row>
    <row r="81" customFormat="false" ht="15" hidden="false" customHeight="true" outlineLevel="0" collapsed="false">
      <c r="A81" s="43"/>
      <c r="B81" s="34" t="str">
        <f aca="false">IF($A81="","",IF(ISERROR(FIND(".",$A81)),"",LOWER(MID($A81,FIND(CHAR(1),SUBSTITUTE($A81,".",CHAR(1),LEN($A81)-LEN(SUBSTITUTE($A81,".",""))))+1,LEN($A81)))))</f>
        <v/>
      </c>
      <c r="C81" s="26"/>
      <c r="D81" s="50"/>
      <c r="E81" s="27"/>
      <c r="F81" s="36" t="str">
        <f aca="false">IF($B81="","",IFERROR(INDEX(Rubric!$C$15:$C$24,MATCH(LOWER($B81),Rubric!$A$15:$A$24,0)),INDEX(Rubric!$C$15:$C$24,MATCH("other",Rubric!$A$15:$A$24,0))))</f>
        <v/>
      </c>
      <c r="G81" s="37" t="str">
        <f aca="true">IF(OR($A81="",$D81=""),"",YEARFRAC($D81,TODAY()))</f>
        <v/>
      </c>
      <c r="H81" s="51" t="str">
        <f aca="false">IF($G81="","",MAX(0,INT($G81)))</f>
        <v/>
      </c>
      <c r="I81" s="39" t="str">
        <f aca="false">IF(OR($F81="",$H81=""),"",$F81*$H81)</f>
        <v/>
      </c>
      <c r="J81" s="39" t="str">
        <f aca="false">IF(OR($A81="",$E81=""),"",$E81+IF($I81="",0,$I81))</f>
        <v/>
      </c>
      <c r="K81" s="39" t="str">
        <f aca="false">IF(OR($J81="",$J81=0),"",$J81/(1-Assumptions!$B$4))</f>
        <v/>
      </c>
      <c r="L81" s="39" t="str">
        <f aca="false">IF($K81="","",MAX($K81,$E81*Assumptions!$B$10))</f>
        <v/>
      </c>
      <c r="M81" s="27"/>
      <c r="N81" s="33"/>
    </row>
    <row r="82" customFormat="false" ht="15" hidden="false" customHeight="true" outlineLevel="0" collapsed="false">
      <c r="A82" s="43"/>
      <c r="B82" s="34" t="str">
        <f aca="false">IF($A82="","",IF(ISERROR(FIND(".",$A82)),"",LOWER(MID($A82,FIND(CHAR(1),SUBSTITUTE($A82,".",CHAR(1),LEN($A82)-LEN(SUBSTITUTE($A82,".",""))))+1,LEN($A82)))))</f>
        <v/>
      </c>
      <c r="C82" s="26"/>
      <c r="D82" s="50"/>
      <c r="E82" s="27"/>
      <c r="F82" s="36" t="str">
        <f aca="false">IF($B82="","",IFERROR(INDEX(Rubric!$C$15:$C$24,MATCH(LOWER($B82),Rubric!$A$15:$A$24,0)),INDEX(Rubric!$C$15:$C$24,MATCH("other",Rubric!$A$15:$A$24,0))))</f>
        <v/>
      </c>
      <c r="G82" s="37" t="str">
        <f aca="true">IF(OR($A82="",$D82=""),"",YEARFRAC($D82,TODAY()))</f>
        <v/>
      </c>
      <c r="H82" s="51" t="str">
        <f aca="false">IF($G82="","",MAX(0,INT($G82)))</f>
        <v/>
      </c>
      <c r="I82" s="39" t="str">
        <f aca="false">IF(OR($F82="",$H82=""),"",$F82*$H82)</f>
        <v/>
      </c>
      <c r="J82" s="39" t="str">
        <f aca="false">IF(OR($A82="",$E82=""),"",$E82+IF($I82="",0,$I82))</f>
        <v/>
      </c>
      <c r="K82" s="39" t="str">
        <f aca="false">IF(OR($J82="",$J82=0),"",$J82/(1-Assumptions!$B$4))</f>
        <v/>
      </c>
      <c r="L82" s="39" t="str">
        <f aca="false">IF($K82="","",MAX($K82,$E82*Assumptions!$B$10))</f>
        <v/>
      </c>
      <c r="M82" s="27"/>
      <c r="N82" s="33"/>
    </row>
    <row r="83" customFormat="false" ht="15" hidden="false" customHeight="true" outlineLevel="0" collapsed="false">
      <c r="A83" s="43"/>
      <c r="B83" s="34" t="str">
        <f aca="false">IF($A83="","",IF(ISERROR(FIND(".",$A83)),"",LOWER(MID($A83,FIND(CHAR(1),SUBSTITUTE($A83,".",CHAR(1),LEN($A83)-LEN(SUBSTITUTE($A83,".",""))))+1,LEN($A83)))))</f>
        <v/>
      </c>
      <c r="C83" s="26"/>
      <c r="D83" s="50"/>
      <c r="E83" s="27"/>
      <c r="F83" s="36" t="str">
        <f aca="false">IF($B83="","",IFERROR(INDEX(Rubric!$C$15:$C$24,MATCH(LOWER($B83),Rubric!$A$15:$A$24,0)),INDEX(Rubric!$C$15:$C$24,MATCH("other",Rubric!$A$15:$A$24,0))))</f>
        <v/>
      </c>
      <c r="G83" s="37" t="str">
        <f aca="true">IF(OR($A83="",$D83=""),"",YEARFRAC($D83,TODAY()))</f>
        <v/>
      </c>
      <c r="H83" s="51" t="str">
        <f aca="false">IF($G83="","",MAX(0,INT($G83)))</f>
        <v/>
      </c>
      <c r="I83" s="39" t="str">
        <f aca="false">IF(OR($F83="",$H83=""),"",$F83*$H83)</f>
        <v/>
      </c>
      <c r="J83" s="39" t="str">
        <f aca="false">IF(OR($A83="",$E83=""),"",$E83+IF($I83="",0,$I83))</f>
        <v/>
      </c>
      <c r="K83" s="39" t="str">
        <f aca="false">IF(OR($J83="",$J83=0),"",$J83/(1-Assumptions!$B$4))</f>
        <v/>
      </c>
      <c r="L83" s="39" t="str">
        <f aca="false">IF($K83="","",MAX($K83,$E83*Assumptions!$B$10))</f>
        <v/>
      </c>
      <c r="M83" s="27"/>
      <c r="N83" s="33"/>
    </row>
    <row r="84" customFormat="false" ht="15" hidden="false" customHeight="true" outlineLevel="0" collapsed="false">
      <c r="A84" s="43"/>
      <c r="B84" s="34" t="str">
        <f aca="false">IF($A84="","",IF(ISERROR(FIND(".",$A84)),"",LOWER(MID($A84,FIND(CHAR(1),SUBSTITUTE($A84,".",CHAR(1),LEN($A84)-LEN(SUBSTITUTE($A84,".",""))))+1,LEN($A84)))))</f>
        <v/>
      </c>
      <c r="C84" s="26"/>
      <c r="D84" s="50"/>
      <c r="E84" s="27"/>
      <c r="F84" s="36" t="str">
        <f aca="false">IF($B84="","",IFERROR(INDEX(Rubric!$C$15:$C$24,MATCH(LOWER($B84),Rubric!$A$15:$A$24,0)),INDEX(Rubric!$C$15:$C$24,MATCH("other",Rubric!$A$15:$A$24,0))))</f>
        <v/>
      </c>
      <c r="G84" s="37" t="str">
        <f aca="true">IF(OR($A84="",$D84=""),"",YEARFRAC($D84,TODAY()))</f>
        <v/>
      </c>
      <c r="H84" s="51" t="str">
        <f aca="false">IF($G84="","",MAX(0,INT($G84)))</f>
        <v/>
      </c>
      <c r="I84" s="39" t="str">
        <f aca="false">IF(OR($F84="",$H84=""),"",$F84*$H84)</f>
        <v/>
      </c>
      <c r="J84" s="39" t="str">
        <f aca="false">IF(OR($A84="",$E84=""),"",$E84+IF($I84="",0,$I84))</f>
        <v/>
      </c>
      <c r="K84" s="39" t="str">
        <f aca="false">IF(OR($J84="",$J84=0),"",$J84/(1-Assumptions!$B$4))</f>
        <v/>
      </c>
      <c r="L84" s="39" t="str">
        <f aca="false">IF($K84="","",MAX($K84,$E84*Assumptions!$B$10))</f>
        <v/>
      </c>
      <c r="M84" s="27"/>
      <c r="N84" s="33"/>
    </row>
    <row r="85" customFormat="false" ht="15" hidden="false" customHeight="true" outlineLevel="0" collapsed="false">
      <c r="A85" s="43"/>
      <c r="B85" s="34" t="str">
        <f aca="false">IF($A85="","",IF(ISERROR(FIND(".",$A85)),"",LOWER(MID($A85,FIND(CHAR(1),SUBSTITUTE($A85,".",CHAR(1),LEN($A85)-LEN(SUBSTITUTE($A85,".",""))))+1,LEN($A85)))))</f>
        <v/>
      </c>
      <c r="C85" s="26"/>
      <c r="D85" s="50"/>
      <c r="E85" s="27"/>
      <c r="F85" s="36" t="str">
        <f aca="false">IF($B85="","",IFERROR(INDEX(Rubric!$C$15:$C$24,MATCH(LOWER($B85),Rubric!$A$15:$A$24,0)),INDEX(Rubric!$C$15:$C$24,MATCH("other",Rubric!$A$15:$A$24,0))))</f>
        <v/>
      </c>
      <c r="G85" s="37" t="str">
        <f aca="true">IF(OR($A85="",$D85=""),"",YEARFRAC($D85,TODAY()))</f>
        <v/>
      </c>
      <c r="H85" s="51" t="str">
        <f aca="false">IF($G85="","",MAX(0,INT($G85)))</f>
        <v/>
      </c>
      <c r="I85" s="39" t="str">
        <f aca="false">IF(OR($F85="",$H85=""),"",$F85*$H85)</f>
        <v/>
      </c>
      <c r="J85" s="39" t="str">
        <f aca="false">IF(OR($A85="",$E85=""),"",$E85+IF($I85="",0,$I85))</f>
        <v/>
      </c>
      <c r="K85" s="39" t="str">
        <f aca="false">IF(OR($J85="",$J85=0),"",$J85/(1-Assumptions!$B$4))</f>
        <v/>
      </c>
      <c r="L85" s="39" t="str">
        <f aca="false">IF($K85="","",MAX($K85,$E85*Assumptions!$B$10))</f>
        <v/>
      </c>
      <c r="M85" s="27"/>
      <c r="N85" s="33"/>
    </row>
    <row r="86" customFormat="false" ht="15" hidden="false" customHeight="true" outlineLevel="0" collapsed="false">
      <c r="A86" s="43"/>
      <c r="B86" s="34" t="str">
        <f aca="false">IF($A86="","",IF(ISERROR(FIND(".",$A86)),"",LOWER(MID($A86,FIND(CHAR(1),SUBSTITUTE($A86,".",CHAR(1),LEN($A86)-LEN(SUBSTITUTE($A86,".",""))))+1,LEN($A86)))))</f>
        <v/>
      </c>
      <c r="C86" s="26"/>
      <c r="D86" s="50"/>
      <c r="E86" s="27"/>
      <c r="F86" s="36" t="str">
        <f aca="false">IF($B86="","",IFERROR(INDEX(Rubric!$C$15:$C$24,MATCH(LOWER($B86),Rubric!$A$15:$A$24,0)),INDEX(Rubric!$C$15:$C$24,MATCH("other",Rubric!$A$15:$A$24,0))))</f>
        <v/>
      </c>
      <c r="G86" s="37" t="str">
        <f aca="true">IF(OR($A86="",$D86=""),"",YEARFRAC($D86,TODAY()))</f>
        <v/>
      </c>
      <c r="H86" s="51" t="str">
        <f aca="false">IF($G86="","",MAX(0,INT($G86)))</f>
        <v/>
      </c>
      <c r="I86" s="39" t="str">
        <f aca="false">IF(OR($F86="",$H86=""),"",$F86*$H86)</f>
        <v/>
      </c>
      <c r="J86" s="39" t="str">
        <f aca="false">IF(OR($A86="",$E86=""),"",$E86+IF($I86="",0,$I86))</f>
        <v/>
      </c>
      <c r="K86" s="39" t="str">
        <f aca="false">IF(OR($J86="",$J86=0),"",$J86/(1-Assumptions!$B$4))</f>
        <v/>
      </c>
      <c r="L86" s="39" t="str">
        <f aca="false">IF($K86="","",MAX($K86,$E86*Assumptions!$B$10))</f>
        <v/>
      </c>
      <c r="M86" s="27"/>
      <c r="N86" s="33"/>
    </row>
    <row r="87" customFormat="false" ht="15" hidden="false" customHeight="true" outlineLevel="0" collapsed="false">
      <c r="A87" s="43"/>
      <c r="B87" s="34" t="str">
        <f aca="false">IF($A87="","",IF(ISERROR(FIND(".",$A87)),"",LOWER(MID($A87,FIND(CHAR(1),SUBSTITUTE($A87,".",CHAR(1),LEN($A87)-LEN(SUBSTITUTE($A87,".",""))))+1,LEN($A87)))))</f>
        <v/>
      </c>
      <c r="C87" s="26"/>
      <c r="D87" s="50"/>
      <c r="E87" s="27"/>
      <c r="F87" s="36" t="str">
        <f aca="false">IF($B87="","",IFERROR(INDEX(Rubric!$C$15:$C$24,MATCH(LOWER($B87),Rubric!$A$15:$A$24,0)),INDEX(Rubric!$C$15:$C$24,MATCH("other",Rubric!$A$15:$A$24,0))))</f>
        <v/>
      </c>
      <c r="G87" s="37" t="str">
        <f aca="true">IF(OR($A87="",$D87=""),"",YEARFRAC($D87,TODAY()))</f>
        <v/>
      </c>
      <c r="H87" s="51" t="str">
        <f aca="false">IF($G87="","",MAX(0,INT($G87)))</f>
        <v/>
      </c>
      <c r="I87" s="39" t="str">
        <f aca="false">IF(OR($F87="",$H87=""),"",$F87*$H87)</f>
        <v/>
      </c>
      <c r="J87" s="39" t="str">
        <f aca="false">IF(OR($A87="",$E87=""),"",$E87+IF($I87="",0,$I87))</f>
        <v/>
      </c>
      <c r="K87" s="39" t="str">
        <f aca="false">IF(OR($J87="",$J87=0),"",$J87/(1-Assumptions!$B$4))</f>
        <v/>
      </c>
      <c r="L87" s="39" t="str">
        <f aca="false">IF($K87="","",MAX($K87,$E87*Assumptions!$B$10))</f>
        <v/>
      </c>
      <c r="M87" s="27"/>
      <c r="N87" s="33"/>
    </row>
    <row r="88" customFormat="false" ht="15" hidden="false" customHeight="true" outlineLevel="0" collapsed="false">
      <c r="A88" s="43"/>
      <c r="B88" s="34" t="str">
        <f aca="false">IF($A88="","",IF(ISERROR(FIND(".",$A88)),"",LOWER(MID($A88,FIND(CHAR(1),SUBSTITUTE($A88,".",CHAR(1),LEN($A88)-LEN(SUBSTITUTE($A88,".",""))))+1,LEN($A88)))))</f>
        <v/>
      </c>
      <c r="C88" s="26"/>
      <c r="D88" s="50"/>
      <c r="E88" s="27"/>
      <c r="F88" s="36" t="str">
        <f aca="false">IF($B88="","",IFERROR(INDEX(Rubric!$C$15:$C$24,MATCH(LOWER($B88),Rubric!$A$15:$A$24,0)),INDEX(Rubric!$C$15:$C$24,MATCH("other",Rubric!$A$15:$A$24,0))))</f>
        <v/>
      </c>
      <c r="G88" s="37" t="str">
        <f aca="true">IF(OR($A88="",$D88=""),"",YEARFRAC($D88,TODAY()))</f>
        <v/>
      </c>
      <c r="H88" s="51" t="str">
        <f aca="false">IF($G88="","",MAX(0,INT($G88)))</f>
        <v/>
      </c>
      <c r="I88" s="39" t="str">
        <f aca="false">IF(OR($F88="",$H88=""),"",$F88*$H88)</f>
        <v/>
      </c>
      <c r="J88" s="39" t="str">
        <f aca="false">IF(OR($A88="",$E88=""),"",$E88+IF($I88="",0,$I88))</f>
        <v/>
      </c>
      <c r="K88" s="39" t="str">
        <f aca="false">IF(OR($J88="",$J88=0),"",$J88/(1-Assumptions!$B$4))</f>
        <v/>
      </c>
      <c r="L88" s="39" t="str">
        <f aca="false">IF($K88="","",MAX($K88,$E88*Assumptions!$B$10))</f>
        <v/>
      </c>
      <c r="M88" s="27"/>
      <c r="N88" s="33"/>
    </row>
    <row r="89" customFormat="false" ht="15" hidden="false" customHeight="true" outlineLevel="0" collapsed="false">
      <c r="A89" s="43"/>
      <c r="B89" s="34" t="str">
        <f aca="false">IF($A89="","",IF(ISERROR(FIND(".",$A89)),"",LOWER(MID($A89,FIND(CHAR(1),SUBSTITUTE($A89,".",CHAR(1),LEN($A89)-LEN(SUBSTITUTE($A89,".",""))))+1,LEN($A89)))))</f>
        <v/>
      </c>
      <c r="C89" s="26"/>
      <c r="D89" s="50"/>
      <c r="E89" s="27"/>
      <c r="F89" s="36" t="str">
        <f aca="false">IF($B89="","",IFERROR(INDEX(Rubric!$C$15:$C$24,MATCH(LOWER($B89),Rubric!$A$15:$A$24,0)),INDEX(Rubric!$C$15:$C$24,MATCH("other",Rubric!$A$15:$A$24,0))))</f>
        <v/>
      </c>
      <c r="G89" s="37" t="str">
        <f aca="true">IF(OR($A89="",$D89=""),"",YEARFRAC($D89,TODAY()))</f>
        <v/>
      </c>
      <c r="H89" s="51" t="str">
        <f aca="false">IF($G89="","",MAX(0,INT($G89)))</f>
        <v/>
      </c>
      <c r="I89" s="39" t="str">
        <f aca="false">IF(OR($F89="",$H89=""),"",$F89*$H89)</f>
        <v/>
      </c>
      <c r="J89" s="39" t="str">
        <f aca="false">IF(OR($A89="",$E89=""),"",$E89+IF($I89="",0,$I89))</f>
        <v/>
      </c>
      <c r="K89" s="39" t="str">
        <f aca="false">IF(OR($J89="",$J89=0),"",$J89/(1-Assumptions!$B$4))</f>
        <v/>
      </c>
      <c r="L89" s="39" t="str">
        <f aca="false">IF($K89="","",MAX($K89,$E89*Assumptions!$B$10))</f>
        <v/>
      </c>
      <c r="M89" s="27"/>
      <c r="N89" s="33"/>
    </row>
    <row r="90" customFormat="false" ht="15" hidden="false" customHeight="true" outlineLevel="0" collapsed="false">
      <c r="A90" s="43"/>
      <c r="B90" s="34" t="str">
        <f aca="false">IF($A90="","",IF(ISERROR(FIND(".",$A90)),"",LOWER(MID($A90,FIND(CHAR(1),SUBSTITUTE($A90,".",CHAR(1),LEN($A90)-LEN(SUBSTITUTE($A90,".",""))))+1,LEN($A90)))))</f>
        <v/>
      </c>
      <c r="C90" s="26"/>
      <c r="D90" s="50"/>
      <c r="E90" s="27"/>
      <c r="F90" s="36" t="str">
        <f aca="false">IF($B90="","",IFERROR(INDEX(Rubric!$C$15:$C$24,MATCH(LOWER($B90),Rubric!$A$15:$A$24,0)),INDEX(Rubric!$C$15:$C$24,MATCH("other",Rubric!$A$15:$A$24,0))))</f>
        <v/>
      </c>
      <c r="G90" s="37" t="str">
        <f aca="true">IF(OR($A90="",$D90=""),"",YEARFRAC($D90,TODAY()))</f>
        <v/>
      </c>
      <c r="H90" s="51" t="str">
        <f aca="false">IF($G90="","",MAX(0,INT($G90)))</f>
        <v/>
      </c>
      <c r="I90" s="39" t="str">
        <f aca="false">IF(OR($F90="",$H90=""),"",$F90*$H90)</f>
        <v/>
      </c>
      <c r="J90" s="39" t="str">
        <f aca="false">IF(OR($A90="",$E90=""),"",$E90+IF($I90="",0,$I90))</f>
        <v/>
      </c>
      <c r="K90" s="39" t="str">
        <f aca="false">IF(OR($J90="",$J90=0),"",$J90/(1-Assumptions!$B$4))</f>
        <v/>
      </c>
      <c r="L90" s="39" t="str">
        <f aca="false">IF($K90="","",MAX($K90,$E90*Assumptions!$B$10))</f>
        <v/>
      </c>
      <c r="M90" s="27"/>
      <c r="N90" s="33"/>
    </row>
    <row r="91" customFormat="false" ht="15" hidden="false" customHeight="true" outlineLevel="0" collapsed="false">
      <c r="A91" s="43"/>
      <c r="B91" s="34" t="str">
        <f aca="false">IF($A91="","",IF(ISERROR(FIND(".",$A91)),"",LOWER(MID($A91,FIND(CHAR(1),SUBSTITUTE($A91,".",CHAR(1),LEN($A91)-LEN(SUBSTITUTE($A91,".",""))))+1,LEN($A91)))))</f>
        <v/>
      </c>
      <c r="C91" s="26"/>
      <c r="D91" s="50"/>
      <c r="E91" s="27"/>
      <c r="F91" s="36" t="str">
        <f aca="false">IF($B91="","",IFERROR(INDEX(Rubric!$C$15:$C$24,MATCH(LOWER($B91),Rubric!$A$15:$A$24,0)),INDEX(Rubric!$C$15:$C$24,MATCH("other",Rubric!$A$15:$A$24,0))))</f>
        <v/>
      </c>
      <c r="G91" s="37" t="str">
        <f aca="true">IF(OR($A91="",$D91=""),"",YEARFRAC($D91,TODAY()))</f>
        <v/>
      </c>
      <c r="H91" s="51" t="str">
        <f aca="false">IF($G91="","",MAX(0,INT($G91)))</f>
        <v/>
      </c>
      <c r="I91" s="39" t="str">
        <f aca="false">IF(OR($F91="",$H91=""),"",$F91*$H91)</f>
        <v/>
      </c>
      <c r="J91" s="39" t="str">
        <f aca="false">IF(OR($A91="",$E91=""),"",$E91+IF($I91="",0,$I91))</f>
        <v/>
      </c>
      <c r="K91" s="39" t="str">
        <f aca="false">IF(OR($J91="",$J91=0),"",$J91/(1-Assumptions!$B$4))</f>
        <v/>
      </c>
      <c r="L91" s="39" t="str">
        <f aca="false">IF($K91="","",MAX($K91,$E91*Assumptions!$B$10))</f>
        <v/>
      </c>
      <c r="M91" s="27"/>
      <c r="N91" s="33"/>
    </row>
    <row r="92" customFormat="false" ht="15" hidden="false" customHeight="true" outlineLevel="0" collapsed="false">
      <c r="A92" s="43"/>
      <c r="B92" s="34" t="str">
        <f aca="false">IF($A92="","",IF(ISERROR(FIND(".",$A92)),"",LOWER(MID($A92,FIND(CHAR(1),SUBSTITUTE($A92,".",CHAR(1),LEN($A92)-LEN(SUBSTITUTE($A92,".",""))))+1,LEN($A92)))))</f>
        <v/>
      </c>
      <c r="C92" s="26"/>
      <c r="D92" s="50"/>
      <c r="E92" s="27"/>
      <c r="F92" s="36" t="str">
        <f aca="false">IF($B92="","",IFERROR(INDEX(Rubric!$C$15:$C$24,MATCH(LOWER($B92),Rubric!$A$15:$A$24,0)),INDEX(Rubric!$C$15:$C$24,MATCH("other",Rubric!$A$15:$A$24,0))))</f>
        <v/>
      </c>
      <c r="G92" s="37" t="str">
        <f aca="true">IF(OR($A92="",$D92=""),"",YEARFRAC($D92,TODAY()))</f>
        <v/>
      </c>
      <c r="H92" s="51" t="str">
        <f aca="false">IF($G92="","",MAX(0,INT($G92)))</f>
        <v/>
      </c>
      <c r="I92" s="39" t="str">
        <f aca="false">IF(OR($F92="",$H92=""),"",$F92*$H92)</f>
        <v/>
      </c>
      <c r="J92" s="39" t="str">
        <f aca="false">IF(OR($A92="",$E92=""),"",$E92+IF($I92="",0,$I92))</f>
        <v/>
      </c>
      <c r="K92" s="39" t="str">
        <f aca="false">IF(OR($J92="",$J92=0),"",$J92/(1-Assumptions!$B$4))</f>
        <v/>
      </c>
      <c r="L92" s="39" t="str">
        <f aca="false">IF($K92="","",MAX($K92,$E92*Assumptions!$B$10))</f>
        <v/>
      </c>
      <c r="M92" s="27"/>
      <c r="N92" s="33"/>
    </row>
    <row r="93" customFormat="false" ht="15" hidden="false" customHeight="true" outlineLevel="0" collapsed="false">
      <c r="A93" s="43"/>
      <c r="B93" s="34" t="str">
        <f aca="false">IF($A93="","",IF(ISERROR(FIND(".",$A93)),"",LOWER(MID($A93,FIND(CHAR(1),SUBSTITUTE($A93,".",CHAR(1),LEN($A93)-LEN(SUBSTITUTE($A93,".",""))))+1,LEN($A93)))))</f>
        <v/>
      </c>
      <c r="C93" s="26"/>
      <c r="D93" s="50"/>
      <c r="E93" s="27"/>
      <c r="F93" s="36" t="str">
        <f aca="false">IF($B93="","",IFERROR(INDEX(Rubric!$C$15:$C$24,MATCH(LOWER($B93),Rubric!$A$15:$A$24,0)),INDEX(Rubric!$C$15:$C$24,MATCH("other",Rubric!$A$15:$A$24,0))))</f>
        <v/>
      </c>
      <c r="G93" s="37" t="str">
        <f aca="true">IF(OR($A93="",$D93=""),"",YEARFRAC($D93,TODAY()))</f>
        <v/>
      </c>
      <c r="H93" s="51" t="str">
        <f aca="false">IF($G93="","",MAX(0,INT($G93)))</f>
        <v/>
      </c>
      <c r="I93" s="39" t="str">
        <f aca="false">IF(OR($F93="",$H93=""),"",$F93*$H93)</f>
        <v/>
      </c>
      <c r="J93" s="39" t="str">
        <f aca="false">IF(OR($A93="",$E93=""),"",$E93+IF($I93="",0,$I93))</f>
        <v/>
      </c>
      <c r="K93" s="39" t="str">
        <f aca="false">IF(OR($J93="",$J93=0),"",$J93/(1-Assumptions!$B$4))</f>
        <v/>
      </c>
      <c r="L93" s="39" t="str">
        <f aca="false">IF($K93="","",MAX($K93,$E93*Assumptions!$B$10))</f>
        <v/>
      </c>
      <c r="M93" s="27"/>
      <c r="N93" s="33"/>
    </row>
    <row r="94" customFormat="false" ht="15" hidden="false" customHeight="true" outlineLevel="0" collapsed="false">
      <c r="A94" s="43"/>
      <c r="B94" s="34" t="str">
        <f aca="false">IF($A94="","",IF(ISERROR(FIND(".",$A94)),"",LOWER(MID($A94,FIND(CHAR(1),SUBSTITUTE($A94,".",CHAR(1),LEN($A94)-LEN(SUBSTITUTE($A94,".",""))))+1,LEN($A94)))))</f>
        <v/>
      </c>
      <c r="C94" s="26"/>
      <c r="D94" s="50"/>
      <c r="E94" s="27"/>
      <c r="F94" s="36" t="str">
        <f aca="false">IF($B94="","",IFERROR(INDEX(Rubric!$C$15:$C$24,MATCH(LOWER($B94),Rubric!$A$15:$A$24,0)),INDEX(Rubric!$C$15:$C$24,MATCH("other",Rubric!$A$15:$A$24,0))))</f>
        <v/>
      </c>
      <c r="G94" s="37" t="str">
        <f aca="true">IF(OR($A94="",$D94=""),"",YEARFRAC($D94,TODAY()))</f>
        <v/>
      </c>
      <c r="H94" s="51" t="str">
        <f aca="false">IF($G94="","",MAX(0,INT($G94)))</f>
        <v/>
      </c>
      <c r="I94" s="39" t="str">
        <f aca="false">IF(OR($F94="",$H94=""),"",$F94*$H94)</f>
        <v/>
      </c>
      <c r="J94" s="39" t="str">
        <f aca="false">IF(OR($A94="",$E94=""),"",$E94+IF($I94="",0,$I94))</f>
        <v/>
      </c>
      <c r="K94" s="39" t="str">
        <f aca="false">IF(OR($J94="",$J94=0),"",$J94/(1-Assumptions!$B$4))</f>
        <v/>
      </c>
      <c r="L94" s="39" t="str">
        <f aca="false">IF($K94="","",MAX($K94,$E94*Assumptions!$B$10))</f>
        <v/>
      </c>
      <c r="M94" s="27"/>
      <c r="N94" s="33"/>
    </row>
    <row r="95" customFormat="false" ht="15" hidden="false" customHeight="true" outlineLevel="0" collapsed="false">
      <c r="A95" s="43"/>
      <c r="B95" s="34" t="str">
        <f aca="false">IF($A95="","",IF(ISERROR(FIND(".",$A95)),"",LOWER(MID($A95,FIND(CHAR(1),SUBSTITUTE($A95,".",CHAR(1),LEN($A95)-LEN(SUBSTITUTE($A95,".",""))))+1,LEN($A95)))))</f>
        <v/>
      </c>
      <c r="C95" s="26"/>
      <c r="D95" s="50"/>
      <c r="E95" s="27"/>
      <c r="F95" s="36" t="str">
        <f aca="false">IF($B95="","",IFERROR(INDEX(Rubric!$C$15:$C$24,MATCH(LOWER($B95),Rubric!$A$15:$A$24,0)),INDEX(Rubric!$C$15:$C$24,MATCH("other",Rubric!$A$15:$A$24,0))))</f>
        <v/>
      </c>
      <c r="G95" s="37" t="str">
        <f aca="true">IF(OR($A95="",$D95=""),"",YEARFRAC($D95,TODAY()))</f>
        <v/>
      </c>
      <c r="H95" s="51" t="str">
        <f aca="false">IF($G95="","",MAX(0,INT($G95)))</f>
        <v/>
      </c>
      <c r="I95" s="39" t="str">
        <f aca="false">IF(OR($F95="",$H95=""),"",$F95*$H95)</f>
        <v/>
      </c>
      <c r="J95" s="39" t="str">
        <f aca="false">IF(OR($A95="",$E95=""),"",$E95+IF($I95="",0,$I95))</f>
        <v/>
      </c>
      <c r="K95" s="39" t="str">
        <f aca="false">IF(OR($J95="",$J95=0),"",$J95/(1-Assumptions!$B$4))</f>
        <v/>
      </c>
      <c r="L95" s="39" t="str">
        <f aca="false">IF($K95="","",MAX($K95,$E95*Assumptions!$B$10))</f>
        <v/>
      </c>
      <c r="M95" s="27"/>
      <c r="N95" s="33"/>
    </row>
    <row r="96" customFormat="false" ht="15" hidden="false" customHeight="true" outlineLevel="0" collapsed="false">
      <c r="A96" s="43"/>
      <c r="B96" s="34" t="str">
        <f aca="false">IF($A96="","",IF(ISERROR(FIND(".",$A96)),"",LOWER(MID($A96,FIND(CHAR(1),SUBSTITUTE($A96,".",CHAR(1),LEN($A96)-LEN(SUBSTITUTE($A96,".",""))))+1,LEN($A96)))))</f>
        <v/>
      </c>
      <c r="C96" s="26"/>
      <c r="D96" s="50"/>
      <c r="E96" s="27"/>
      <c r="F96" s="36" t="str">
        <f aca="false">IF($B96="","",IFERROR(INDEX(Rubric!$C$15:$C$24,MATCH(LOWER($B96),Rubric!$A$15:$A$24,0)),INDEX(Rubric!$C$15:$C$24,MATCH("other",Rubric!$A$15:$A$24,0))))</f>
        <v/>
      </c>
      <c r="G96" s="37" t="str">
        <f aca="true">IF(OR($A96="",$D96=""),"",YEARFRAC($D96,TODAY()))</f>
        <v/>
      </c>
      <c r="H96" s="51" t="str">
        <f aca="false">IF($G96="","",MAX(0,INT($G96)))</f>
        <v/>
      </c>
      <c r="I96" s="39" t="str">
        <f aca="false">IF(OR($F96="",$H96=""),"",$F96*$H96)</f>
        <v/>
      </c>
      <c r="J96" s="39" t="str">
        <f aca="false">IF(OR($A96="",$E96=""),"",$E96+IF($I96="",0,$I96))</f>
        <v/>
      </c>
      <c r="K96" s="39" t="str">
        <f aca="false">IF(OR($J96="",$J96=0),"",$J96/(1-Assumptions!$B$4))</f>
        <v/>
      </c>
      <c r="L96" s="39" t="str">
        <f aca="false">IF($K96="","",MAX($K96,$E96*Assumptions!$B$10))</f>
        <v/>
      </c>
      <c r="M96" s="27"/>
      <c r="N96" s="33"/>
    </row>
    <row r="97" customFormat="false" ht="15" hidden="false" customHeight="true" outlineLevel="0" collapsed="false">
      <c r="A97" s="43"/>
      <c r="B97" s="34" t="str">
        <f aca="false">IF($A97="","",IF(ISERROR(FIND(".",$A97)),"",LOWER(MID($A97,FIND(CHAR(1),SUBSTITUTE($A97,".",CHAR(1),LEN($A97)-LEN(SUBSTITUTE($A97,".",""))))+1,LEN($A97)))))</f>
        <v/>
      </c>
      <c r="C97" s="26"/>
      <c r="D97" s="50"/>
      <c r="E97" s="27"/>
      <c r="F97" s="36" t="str">
        <f aca="false">IF($B97="","",IFERROR(INDEX(Rubric!$C$15:$C$24,MATCH(LOWER($B97),Rubric!$A$15:$A$24,0)),INDEX(Rubric!$C$15:$C$24,MATCH("other",Rubric!$A$15:$A$24,0))))</f>
        <v/>
      </c>
      <c r="G97" s="37" t="str">
        <f aca="true">IF(OR($A97="",$D97=""),"",YEARFRAC($D97,TODAY()))</f>
        <v/>
      </c>
      <c r="H97" s="51" t="str">
        <f aca="false">IF($G97="","",MAX(0,INT($G97)))</f>
        <v/>
      </c>
      <c r="I97" s="39" t="str">
        <f aca="false">IF(OR($F97="",$H97=""),"",$F97*$H97)</f>
        <v/>
      </c>
      <c r="J97" s="39" t="str">
        <f aca="false">IF(OR($A97="",$E97=""),"",$E97+IF($I97="",0,$I97))</f>
        <v/>
      </c>
      <c r="K97" s="39" t="str">
        <f aca="false">IF(OR($J97="",$J97=0),"",$J97/(1-Assumptions!$B$4))</f>
        <v/>
      </c>
      <c r="L97" s="39" t="str">
        <f aca="false">IF($K97="","",MAX($K97,$E97*Assumptions!$B$10))</f>
        <v/>
      </c>
      <c r="M97" s="27"/>
      <c r="N97" s="33"/>
    </row>
    <row r="98" customFormat="false" ht="15" hidden="false" customHeight="true" outlineLevel="0" collapsed="false">
      <c r="A98" s="43"/>
      <c r="B98" s="34" t="str">
        <f aca="false">IF($A98="","",IF(ISERROR(FIND(".",$A98)),"",LOWER(MID($A98,FIND(CHAR(1),SUBSTITUTE($A98,".",CHAR(1),LEN($A98)-LEN(SUBSTITUTE($A98,".",""))))+1,LEN($A98)))))</f>
        <v/>
      </c>
      <c r="C98" s="26"/>
      <c r="D98" s="50"/>
      <c r="E98" s="27"/>
      <c r="F98" s="36" t="str">
        <f aca="false">IF($B98="","",IFERROR(INDEX(Rubric!$C$15:$C$24,MATCH(LOWER($B98),Rubric!$A$15:$A$24,0)),INDEX(Rubric!$C$15:$C$24,MATCH("other",Rubric!$A$15:$A$24,0))))</f>
        <v/>
      </c>
      <c r="G98" s="37" t="str">
        <f aca="true">IF(OR($A98="",$D98=""),"",YEARFRAC($D98,TODAY()))</f>
        <v/>
      </c>
      <c r="H98" s="51" t="str">
        <f aca="false">IF($G98="","",MAX(0,INT($G98)))</f>
        <v/>
      </c>
      <c r="I98" s="39" t="str">
        <f aca="false">IF(OR($F98="",$H98=""),"",$F98*$H98)</f>
        <v/>
      </c>
      <c r="J98" s="39" t="str">
        <f aca="false">IF(OR($A98="",$E98=""),"",$E98+IF($I98="",0,$I98))</f>
        <v/>
      </c>
      <c r="K98" s="39" t="str">
        <f aca="false">IF(OR($J98="",$J98=0),"",$J98/(1-Assumptions!$B$4))</f>
        <v/>
      </c>
      <c r="L98" s="39" t="str">
        <f aca="false">IF($K98="","",MAX($K98,$E98*Assumptions!$B$10))</f>
        <v/>
      </c>
      <c r="M98" s="27"/>
      <c r="N98" s="33"/>
    </row>
    <row r="99" customFormat="false" ht="15" hidden="false" customHeight="true" outlineLevel="0" collapsed="false">
      <c r="A99" s="43"/>
      <c r="B99" s="34" t="str">
        <f aca="false">IF($A99="","",IF(ISERROR(FIND(".",$A99)),"",LOWER(MID($A99,FIND(CHAR(1),SUBSTITUTE($A99,".",CHAR(1),LEN($A99)-LEN(SUBSTITUTE($A99,".",""))))+1,LEN($A99)))))</f>
        <v/>
      </c>
      <c r="C99" s="26"/>
      <c r="D99" s="50"/>
      <c r="E99" s="27"/>
      <c r="F99" s="36" t="str">
        <f aca="false">IF($B99="","",IFERROR(INDEX(Rubric!$C$15:$C$24,MATCH(LOWER($B99),Rubric!$A$15:$A$24,0)),INDEX(Rubric!$C$15:$C$24,MATCH("other",Rubric!$A$15:$A$24,0))))</f>
        <v/>
      </c>
      <c r="G99" s="37" t="str">
        <f aca="true">IF(OR($A99="",$D99=""),"",YEARFRAC($D99,TODAY()))</f>
        <v/>
      </c>
      <c r="H99" s="51" t="str">
        <f aca="false">IF($G99="","",MAX(0,INT($G99)))</f>
        <v/>
      </c>
      <c r="I99" s="39" t="str">
        <f aca="false">IF(OR($F99="",$H99=""),"",$F99*$H99)</f>
        <v/>
      </c>
      <c r="J99" s="39" t="str">
        <f aca="false">IF(OR($A99="",$E99=""),"",$E99+IF($I99="",0,$I99))</f>
        <v/>
      </c>
      <c r="K99" s="39" t="str">
        <f aca="false">IF(OR($J99="",$J99=0),"",$J99/(1-Assumptions!$B$4))</f>
        <v/>
      </c>
      <c r="L99" s="39" t="str">
        <f aca="false">IF($K99="","",MAX($K99,$E99*Assumptions!$B$10))</f>
        <v/>
      </c>
      <c r="M99" s="27"/>
      <c r="N99" s="33"/>
    </row>
    <row r="100" customFormat="false" ht="15" hidden="false" customHeight="true" outlineLevel="0" collapsed="false">
      <c r="A100" s="43"/>
      <c r="B100" s="34" t="str">
        <f aca="false">IF($A100="","",IF(ISERROR(FIND(".",$A100)),"",LOWER(MID($A100,FIND(CHAR(1),SUBSTITUTE($A100,".",CHAR(1),LEN($A100)-LEN(SUBSTITUTE($A100,".",""))))+1,LEN($A100)))))</f>
        <v/>
      </c>
      <c r="C100" s="26"/>
      <c r="D100" s="50"/>
      <c r="E100" s="27"/>
      <c r="F100" s="36" t="str">
        <f aca="false">IF($B100="","",IFERROR(INDEX(Rubric!$C$15:$C$24,MATCH(LOWER($B100),Rubric!$A$15:$A$24,0)),INDEX(Rubric!$C$15:$C$24,MATCH("other",Rubric!$A$15:$A$24,0))))</f>
        <v/>
      </c>
      <c r="G100" s="37" t="str">
        <f aca="true">IF(OR($A100="",$D100=""),"",YEARFRAC($D100,TODAY()))</f>
        <v/>
      </c>
      <c r="H100" s="51" t="str">
        <f aca="false">IF($G100="","",MAX(0,INT($G100)))</f>
        <v/>
      </c>
      <c r="I100" s="39" t="str">
        <f aca="false">IF(OR($F100="",$H100=""),"",$F100*$H100)</f>
        <v/>
      </c>
      <c r="J100" s="39" t="str">
        <f aca="false">IF(OR($A100="",$E100=""),"",$E100+IF($I100="",0,$I100))</f>
        <v/>
      </c>
      <c r="K100" s="39" t="str">
        <f aca="false">IF(OR($J100="",$J100=0),"",$J100/(1-Assumptions!$B$4))</f>
        <v/>
      </c>
      <c r="L100" s="39" t="str">
        <f aca="false">IF($K100="","",MAX($K100,$E100*Assumptions!$B$10))</f>
        <v/>
      </c>
      <c r="M100" s="27"/>
      <c r="N100" s="33"/>
    </row>
    <row r="101" customFormat="false" ht="15" hidden="false" customHeight="true" outlineLevel="0" collapsed="false">
      <c r="A101" s="43"/>
      <c r="B101" s="34" t="str">
        <f aca="false">IF($A101="","",IF(ISERROR(FIND(".",$A101)),"",LOWER(MID($A101,FIND(CHAR(1),SUBSTITUTE($A101,".",CHAR(1),LEN($A101)-LEN(SUBSTITUTE($A101,".",""))))+1,LEN($A101)))))</f>
        <v/>
      </c>
      <c r="C101" s="26"/>
      <c r="D101" s="50"/>
      <c r="E101" s="27"/>
      <c r="F101" s="36" t="str">
        <f aca="false">IF($B101="","",IFERROR(INDEX(Rubric!$C$15:$C$24,MATCH(LOWER($B101),Rubric!$A$15:$A$24,0)),INDEX(Rubric!$C$15:$C$24,MATCH("other",Rubric!$A$15:$A$24,0))))</f>
        <v/>
      </c>
      <c r="G101" s="37" t="str">
        <f aca="true">IF(OR($A101="",$D101=""),"",YEARFRAC($D101,TODAY()))</f>
        <v/>
      </c>
      <c r="H101" s="51" t="str">
        <f aca="false">IF($G101="","",MAX(0,INT($G101)))</f>
        <v/>
      </c>
      <c r="I101" s="39" t="str">
        <f aca="false">IF(OR($F101="",$H101=""),"",$F101*$H101)</f>
        <v/>
      </c>
      <c r="J101" s="39" t="str">
        <f aca="false">IF(OR($A101="",$E101=""),"",$E101+IF($I101="",0,$I101))</f>
        <v/>
      </c>
      <c r="K101" s="39" t="str">
        <f aca="false">IF(OR($J101="",$J101=0),"",$J101/(1-Assumptions!$B$4))</f>
        <v/>
      </c>
      <c r="L101" s="39" t="str">
        <f aca="false">IF($K101="","",MAX($K101,$E101*Assumptions!$B$10))</f>
        <v/>
      </c>
      <c r="M101" s="27"/>
      <c r="N101" s="33"/>
    </row>
    <row r="102" customFormat="false" ht="15" hidden="false" customHeight="true" outlineLevel="0" collapsed="false">
      <c r="A102" s="43"/>
      <c r="B102" s="34" t="str">
        <f aca="false">IF($A102="","",IF(ISERROR(FIND(".",$A102)),"",LOWER(MID($A102,FIND(CHAR(1),SUBSTITUTE($A102,".",CHAR(1),LEN($A102)-LEN(SUBSTITUTE($A102,".",""))))+1,LEN($A102)))))</f>
        <v/>
      </c>
      <c r="C102" s="26"/>
      <c r="D102" s="50"/>
      <c r="E102" s="27"/>
      <c r="F102" s="36" t="str">
        <f aca="false">IF($B102="","",IFERROR(INDEX(Rubric!$C$15:$C$24,MATCH(LOWER($B102),Rubric!$A$15:$A$24,0)),INDEX(Rubric!$C$15:$C$24,MATCH("other",Rubric!$A$15:$A$24,0))))</f>
        <v/>
      </c>
      <c r="G102" s="37" t="str">
        <f aca="true">IF(OR($A102="",$D102=""),"",YEARFRAC($D102,TODAY()))</f>
        <v/>
      </c>
      <c r="H102" s="51" t="str">
        <f aca="false">IF($G102="","",MAX(0,INT($G102)))</f>
        <v/>
      </c>
      <c r="I102" s="39" t="str">
        <f aca="false">IF(OR($F102="",$H102=""),"",$F102*$H102)</f>
        <v/>
      </c>
      <c r="J102" s="39" t="str">
        <f aca="false">IF(OR($A102="",$E102=""),"",$E102+IF($I102="",0,$I102))</f>
        <v/>
      </c>
      <c r="K102" s="39" t="str">
        <f aca="false">IF(OR($J102="",$J102=0),"",$J102/(1-Assumptions!$B$4))</f>
        <v/>
      </c>
      <c r="L102" s="39" t="str">
        <f aca="false">IF($K102="","",MAX($K102,$E102*Assumptions!$B$10))</f>
        <v/>
      </c>
      <c r="M102" s="27"/>
      <c r="N102" s="33"/>
    </row>
    <row r="103" customFormat="false" ht="15" hidden="false" customHeight="true" outlineLevel="0" collapsed="false">
      <c r="A103" s="43"/>
      <c r="B103" s="34" t="str">
        <f aca="false">IF($A103="","",IF(ISERROR(FIND(".",$A103)),"",LOWER(MID($A103,FIND(CHAR(1),SUBSTITUTE($A103,".",CHAR(1),LEN($A103)-LEN(SUBSTITUTE($A103,".",""))))+1,LEN($A103)))))</f>
        <v/>
      </c>
      <c r="C103" s="26"/>
      <c r="D103" s="50"/>
      <c r="E103" s="27"/>
      <c r="F103" s="36" t="str">
        <f aca="false">IF($B103="","",IFERROR(INDEX(Rubric!$C$15:$C$24,MATCH(LOWER($B103),Rubric!$A$15:$A$24,0)),INDEX(Rubric!$C$15:$C$24,MATCH("other",Rubric!$A$15:$A$24,0))))</f>
        <v/>
      </c>
      <c r="G103" s="37" t="str">
        <f aca="true">IF(OR($A103="",$D103=""),"",YEARFRAC($D103,TODAY()))</f>
        <v/>
      </c>
      <c r="H103" s="51" t="str">
        <f aca="false">IF($G103="","",MAX(0,INT($G103)))</f>
        <v/>
      </c>
      <c r="I103" s="39" t="str">
        <f aca="false">IF(OR($F103="",$H103=""),"",$F103*$H103)</f>
        <v/>
      </c>
      <c r="J103" s="39" t="str">
        <f aca="false">IF(OR($A103="",$E103=""),"",$E103+IF($I103="",0,$I103))</f>
        <v/>
      </c>
      <c r="K103" s="39" t="str">
        <f aca="false">IF(OR($J103="",$J103=0),"",$J103/(1-Assumptions!$B$4))</f>
        <v/>
      </c>
      <c r="L103" s="39" t="str">
        <f aca="false">IF($K103="","",MAX($K103,$E103*Assumptions!$B$10))</f>
        <v/>
      </c>
      <c r="M103" s="27"/>
      <c r="N103" s="33"/>
    </row>
    <row r="104" customFormat="false" ht="15" hidden="false" customHeight="true" outlineLevel="0" collapsed="false">
      <c r="A104" s="43"/>
      <c r="B104" s="34" t="str">
        <f aca="false">IF($A104="","",IF(ISERROR(FIND(".",$A104)),"",LOWER(MID($A104,FIND(CHAR(1),SUBSTITUTE($A104,".",CHAR(1),LEN($A104)-LEN(SUBSTITUTE($A104,".",""))))+1,LEN($A104)))))</f>
        <v/>
      </c>
      <c r="C104" s="26"/>
      <c r="D104" s="50"/>
      <c r="E104" s="27"/>
      <c r="F104" s="36" t="str">
        <f aca="false">IF($B104="","",IFERROR(INDEX(Rubric!$C$15:$C$24,MATCH(LOWER($B104),Rubric!$A$15:$A$24,0)),INDEX(Rubric!$C$15:$C$24,MATCH("other",Rubric!$A$15:$A$24,0))))</f>
        <v/>
      </c>
      <c r="G104" s="37" t="str">
        <f aca="true">IF(OR($A104="",$D104=""),"",YEARFRAC($D104,TODAY()))</f>
        <v/>
      </c>
      <c r="H104" s="51" t="str">
        <f aca="false">IF($G104="","",MAX(0,INT($G104)))</f>
        <v/>
      </c>
      <c r="I104" s="39" t="str">
        <f aca="false">IF(OR($F104="",$H104=""),"",$F104*$H104)</f>
        <v/>
      </c>
      <c r="J104" s="39" t="str">
        <f aca="false">IF(OR($A104="",$E104=""),"",$E104+IF($I104="",0,$I104))</f>
        <v/>
      </c>
      <c r="K104" s="39" t="str">
        <f aca="false">IF(OR($J104="",$J104=0),"",$J104/(1-Assumptions!$B$4))</f>
        <v/>
      </c>
      <c r="L104" s="39" t="str">
        <f aca="false">IF($K104="","",MAX($K104,$E104*Assumptions!$B$10))</f>
        <v/>
      </c>
      <c r="M104" s="27"/>
      <c r="N104" s="33"/>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3" min="2" style="1" width="13"/>
    <col collapsed="false" customWidth="true" hidden="false" outlineLevel="0" max="4" min="4" style="1" width="16"/>
    <col collapsed="false" customWidth="true" hidden="false" outlineLevel="0" max="5" min="5" style="1" width="13"/>
    <col collapsed="false" customWidth="true" hidden="false" outlineLevel="0" max="7" min="6" style="1" width="14"/>
    <col collapsed="false" customWidth="true" hidden="false" outlineLevel="0" max="8" min="8" style="1" width="15"/>
    <col collapsed="false" customWidth="true" hidden="false" outlineLevel="0" max="9" min="9" style="1" width="13"/>
    <col collapsed="false" customWidth="true" hidden="false" outlineLevel="0" max="10" min="10" style="1" width="10"/>
    <col collapsed="false" customWidth="true" hidden="false" outlineLevel="0" max="11" min="11" style="1" width="44"/>
  </cols>
  <sheetData>
    <row r="1" customFormat="false" ht="24" hidden="false" customHeight="true" outlineLevel="0" collapsed="false">
      <c r="A1" s="2" t="s">
        <v>399</v>
      </c>
      <c r="B1" s="2"/>
      <c r="C1" s="2"/>
      <c r="D1" s="2"/>
      <c r="E1" s="2"/>
      <c r="F1" s="2"/>
      <c r="G1" s="2"/>
      <c r="H1" s="2"/>
      <c r="I1" s="2"/>
      <c r="J1" s="2"/>
      <c r="K1" s="2"/>
    </row>
    <row r="2" customFormat="false" ht="15" hidden="false" customHeight="true" outlineLevel="0" collapsed="false">
      <c r="A2" s="18" t="s">
        <v>400</v>
      </c>
    </row>
    <row r="4" customFormat="false" ht="42" hidden="false" customHeight="true" outlineLevel="0" collapsed="false">
      <c r="A4" s="8" t="s">
        <v>401</v>
      </c>
      <c r="B4" s="8" t="s">
        <v>402</v>
      </c>
      <c r="C4" s="8" t="s">
        <v>403</v>
      </c>
      <c r="D4" s="8" t="s">
        <v>404</v>
      </c>
      <c r="E4" s="8" t="s">
        <v>405</v>
      </c>
      <c r="F4" s="8" t="s">
        <v>406</v>
      </c>
      <c r="G4" s="8" t="s">
        <v>407</v>
      </c>
      <c r="H4" s="8" t="s">
        <v>393</v>
      </c>
      <c r="I4" s="8" t="s">
        <v>408</v>
      </c>
      <c r="J4" s="8" t="s">
        <v>409</v>
      </c>
      <c r="K4" s="8" t="s">
        <v>167</v>
      </c>
    </row>
    <row r="5" customFormat="false" ht="15" hidden="false" customHeight="true" outlineLevel="0" collapsed="false">
      <c r="A5" s="44" t="s">
        <v>174</v>
      </c>
      <c r="B5" s="46" t="n">
        <v>46162</v>
      </c>
      <c r="C5" s="47" t="n">
        <v>11500</v>
      </c>
      <c r="D5" s="45" t="s">
        <v>410</v>
      </c>
      <c r="E5" s="52" t="n">
        <v>0.2</v>
      </c>
      <c r="F5" s="31" t="n">
        <f aca="false">IF(OR($A5="",$C5=""),"",MAX($C5*$E5,Assumptions!$B$5))</f>
        <v>2300</v>
      </c>
      <c r="G5" s="31" t="n">
        <f aca="false">IF($F5="","",$C5-$F5)</f>
        <v>9200</v>
      </c>
      <c r="H5" s="47" t="n">
        <v>2433</v>
      </c>
      <c r="I5" s="31" t="n">
        <f aca="false">IF(OR($G5="",$H5=""),"",$G5-$H5)</f>
        <v>6767</v>
      </c>
      <c r="J5" s="53" t="n">
        <f aca="false">IF(OR($I5="",$H5="",$H5=0),"",$I5/$H5)</f>
        <v>2.78133990957665</v>
      </c>
      <c r="K5" s="49" t="s">
        <v>398</v>
      </c>
    </row>
    <row r="6" customFormat="false" ht="15" hidden="false" customHeight="true" outlineLevel="0" collapsed="false">
      <c r="A6" s="43"/>
      <c r="B6" s="50"/>
      <c r="C6" s="27"/>
      <c r="D6" s="26"/>
      <c r="E6" s="40" t="str">
        <f aca="false">IF($A6="","",Assumptions!$B$4)</f>
        <v/>
      </c>
      <c r="F6" s="39" t="str">
        <f aca="false">IF(OR($A6="",$C6=""),"",MAX($C6*$E6,Assumptions!$B$5))</f>
        <v/>
      </c>
      <c r="G6" s="39" t="str">
        <f aca="false">IF($F6="","",$C6-$F6)</f>
        <v/>
      </c>
      <c r="H6" s="27"/>
      <c r="I6" s="39" t="str">
        <f aca="false">IF(OR($G6="",$H6=""),"",$G6-$H6)</f>
        <v/>
      </c>
      <c r="J6" s="54" t="str">
        <f aca="false">IF(OR($I6="",$H6="",$H6=0),"",$I6/$H6)</f>
        <v/>
      </c>
      <c r="K6" s="33"/>
    </row>
    <row r="7" customFormat="false" ht="15" hidden="false" customHeight="true" outlineLevel="0" collapsed="false">
      <c r="A7" s="43"/>
      <c r="B7" s="50"/>
      <c r="C7" s="27"/>
      <c r="D7" s="26"/>
      <c r="E7" s="40" t="str">
        <f aca="false">IF($A7="","",Assumptions!$B$4)</f>
        <v/>
      </c>
      <c r="F7" s="39" t="str">
        <f aca="false">IF(OR($A7="",$C7=""),"",MAX($C7*$E7,Assumptions!$B$5))</f>
        <v/>
      </c>
      <c r="G7" s="39" t="str">
        <f aca="false">IF($F7="","",$C7-$F7)</f>
        <v/>
      </c>
      <c r="H7" s="27"/>
      <c r="I7" s="39" t="str">
        <f aca="false">IF(OR($G7="",$H7=""),"",$G7-$H7)</f>
        <v/>
      </c>
      <c r="J7" s="54" t="str">
        <f aca="false">IF(OR($I7="",$H7="",$H7=0),"",$I7/$H7)</f>
        <v/>
      </c>
      <c r="K7" s="33"/>
    </row>
    <row r="8" customFormat="false" ht="15" hidden="false" customHeight="true" outlineLevel="0" collapsed="false">
      <c r="A8" s="43"/>
      <c r="B8" s="50"/>
      <c r="C8" s="27"/>
      <c r="D8" s="26"/>
      <c r="E8" s="40" t="str">
        <f aca="false">IF($A8="","",Assumptions!$B$4)</f>
        <v/>
      </c>
      <c r="F8" s="39" t="str">
        <f aca="false">IF(OR($A8="",$C8=""),"",MAX($C8*$E8,Assumptions!$B$5))</f>
        <v/>
      </c>
      <c r="G8" s="39" t="str">
        <f aca="false">IF($F8="","",$C8-$F8)</f>
        <v/>
      </c>
      <c r="H8" s="27"/>
      <c r="I8" s="39" t="str">
        <f aca="false">IF(OR($G8="",$H8=""),"",$G8-$H8)</f>
        <v/>
      </c>
      <c r="J8" s="54" t="str">
        <f aca="false">IF(OR($I8="",$H8="",$H8=0),"",$I8/$H8)</f>
        <v/>
      </c>
      <c r="K8" s="33"/>
    </row>
    <row r="9" customFormat="false" ht="15" hidden="false" customHeight="true" outlineLevel="0" collapsed="false">
      <c r="A9" s="43"/>
      <c r="B9" s="50"/>
      <c r="C9" s="27"/>
      <c r="D9" s="26"/>
      <c r="E9" s="40" t="str">
        <f aca="false">IF($A9="","",Assumptions!$B$4)</f>
        <v/>
      </c>
      <c r="F9" s="39" t="str">
        <f aca="false">IF(OR($A9="",$C9=""),"",MAX($C9*$E9,Assumptions!$B$5))</f>
        <v/>
      </c>
      <c r="G9" s="39" t="str">
        <f aca="false">IF($F9="","",$C9-$F9)</f>
        <v/>
      </c>
      <c r="H9" s="27"/>
      <c r="I9" s="39" t="str">
        <f aca="false">IF(OR($G9="",$H9=""),"",$G9-$H9)</f>
        <v/>
      </c>
      <c r="J9" s="54" t="str">
        <f aca="false">IF(OR($I9="",$H9="",$H9=0),"",$I9/$H9)</f>
        <v/>
      </c>
      <c r="K9" s="33"/>
    </row>
    <row r="10" customFormat="false" ht="15" hidden="false" customHeight="true" outlineLevel="0" collapsed="false">
      <c r="A10" s="43"/>
      <c r="B10" s="50"/>
      <c r="C10" s="27"/>
      <c r="D10" s="26"/>
      <c r="E10" s="40" t="str">
        <f aca="false">IF($A10="","",Assumptions!$B$4)</f>
        <v/>
      </c>
      <c r="F10" s="39" t="str">
        <f aca="false">IF(OR($A10="",$C10=""),"",MAX($C10*$E10,Assumptions!$B$5))</f>
        <v/>
      </c>
      <c r="G10" s="39" t="str">
        <f aca="false">IF($F10="","",$C10-$F10)</f>
        <v/>
      </c>
      <c r="H10" s="27"/>
      <c r="I10" s="39" t="str">
        <f aca="false">IF(OR($G10="",$H10=""),"",$G10-$H10)</f>
        <v/>
      </c>
      <c r="J10" s="54" t="str">
        <f aca="false">IF(OR($I10="",$H10="",$H10=0),"",$I10/$H10)</f>
        <v/>
      </c>
      <c r="K10" s="33"/>
    </row>
    <row r="11" customFormat="false" ht="15" hidden="false" customHeight="true" outlineLevel="0" collapsed="false">
      <c r="A11" s="43"/>
      <c r="B11" s="50"/>
      <c r="C11" s="27"/>
      <c r="D11" s="26"/>
      <c r="E11" s="40" t="str">
        <f aca="false">IF($A11="","",Assumptions!$B$4)</f>
        <v/>
      </c>
      <c r="F11" s="39" t="str">
        <f aca="false">IF(OR($A11="",$C11=""),"",MAX($C11*$E11,Assumptions!$B$5))</f>
        <v/>
      </c>
      <c r="G11" s="39" t="str">
        <f aca="false">IF($F11="","",$C11-$F11)</f>
        <v/>
      </c>
      <c r="H11" s="27"/>
      <c r="I11" s="39" t="str">
        <f aca="false">IF(OR($G11="",$H11=""),"",$G11-$H11)</f>
        <v/>
      </c>
      <c r="J11" s="54" t="str">
        <f aca="false">IF(OR($I11="",$H11="",$H11=0),"",$I11/$H11)</f>
        <v/>
      </c>
      <c r="K11" s="33"/>
    </row>
    <row r="12" customFormat="false" ht="15" hidden="false" customHeight="true" outlineLevel="0" collapsed="false">
      <c r="A12" s="43"/>
      <c r="B12" s="50"/>
      <c r="C12" s="27"/>
      <c r="D12" s="26"/>
      <c r="E12" s="40" t="str">
        <f aca="false">IF($A12="","",Assumptions!$B$4)</f>
        <v/>
      </c>
      <c r="F12" s="39" t="str">
        <f aca="false">IF(OR($A12="",$C12=""),"",MAX($C12*$E12,Assumptions!$B$5))</f>
        <v/>
      </c>
      <c r="G12" s="39" t="str">
        <f aca="false">IF($F12="","",$C12-$F12)</f>
        <v/>
      </c>
      <c r="H12" s="27"/>
      <c r="I12" s="39" t="str">
        <f aca="false">IF(OR($G12="",$H12=""),"",$G12-$H12)</f>
        <v/>
      </c>
      <c r="J12" s="54" t="str">
        <f aca="false">IF(OR($I12="",$H12="",$H12=0),"",$I12/$H12)</f>
        <v/>
      </c>
      <c r="K12" s="33"/>
    </row>
    <row r="13" customFormat="false" ht="15" hidden="false" customHeight="true" outlineLevel="0" collapsed="false">
      <c r="A13" s="43"/>
      <c r="B13" s="50"/>
      <c r="C13" s="27"/>
      <c r="D13" s="26"/>
      <c r="E13" s="40" t="str">
        <f aca="false">IF($A13="","",Assumptions!$B$4)</f>
        <v/>
      </c>
      <c r="F13" s="39" t="str">
        <f aca="false">IF(OR($A13="",$C13=""),"",MAX($C13*$E13,Assumptions!$B$5))</f>
        <v/>
      </c>
      <c r="G13" s="39" t="str">
        <f aca="false">IF($F13="","",$C13-$F13)</f>
        <v/>
      </c>
      <c r="H13" s="27"/>
      <c r="I13" s="39" t="str">
        <f aca="false">IF(OR($G13="",$H13=""),"",$G13-$H13)</f>
        <v/>
      </c>
      <c r="J13" s="54" t="str">
        <f aca="false">IF(OR($I13="",$H13="",$H13=0),"",$I13/$H13)</f>
        <v/>
      </c>
      <c r="K13" s="33"/>
    </row>
    <row r="14" customFormat="false" ht="15" hidden="false" customHeight="true" outlineLevel="0" collapsed="false">
      <c r="A14" s="43"/>
      <c r="B14" s="50"/>
      <c r="C14" s="27"/>
      <c r="D14" s="26"/>
      <c r="E14" s="40" t="str">
        <f aca="false">IF($A14="","",Assumptions!$B$4)</f>
        <v/>
      </c>
      <c r="F14" s="39" t="str">
        <f aca="false">IF(OR($A14="",$C14=""),"",MAX($C14*$E14,Assumptions!$B$5))</f>
        <v/>
      </c>
      <c r="G14" s="39" t="str">
        <f aca="false">IF($F14="","",$C14-$F14)</f>
        <v/>
      </c>
      <c r="H14" s="27"/>
      <c r="I14" s="39" t="str">
        <f aca="false">IF(OR($G14="",$H14=""),"",$G14-$H14)</f>
        <v/>
      </c>
      <c r="J14" s="54" t="str">
        <f aca="false">IF(OR($I14="",$H14="",$H14=0),"",$I14/$H14)</f>
        <v/>
      </c>
      <c r="K14" s="33"/>
    </row>
    <row r="15" customFormat="false" ht="15" hidden="false" customHeight="true" outlineLevel="0" collapsed="false">
      <c r="A15" s="43"/>
      <c r="B15" s="50"/>
      <c r="C15" s="27"/>
      <c r="D15" s="26"/>
      <c r="E15" s="40" t="str">
        <f aca="false">IF($A15="","",Assumptions!$B$4)</f>
        <v/>
      </c>
      <c r="F15" s="39" t="str">
        <f aca="false">IF(OR($A15="",$C15=""),"",MAX($C15*$E15,Assumptions!$B$5))</f>
        <v/>
      </c>
      <c r="G15" s="39" t="str">
        <f aca="false">IF($F15="","",$C15-$F15)</f>
        <v/>
      </c>
      <c r="H15" s="27"/>
      <c r="I15" s="39" t="str">
        <f aca="false">IF(OR($G15="",$H15=""),"",$G15-$H15)</f>
        <v/>
      </c>
      <c r="J15" s="54" t="str">
        <f aca="false">IF(OR($I15="",$H15="",$H15=0),"",$I15/$H15)</f>
        <v/>
      </c>
      <c r="K15" s="33"/>
    </row>
    <row r="16" customFormat="false" ht="15" hidden="false" customHeight="true" outlineLevel="0" collapsed="false">
      <c r="A16" s="43"/>
      <c r="B16" s="50"/>
      <c r="C16" s="27"/>
      <c r="D16" s="26"/>
      <c r="E16" s="40" t="str">
        <f aca="false">IF($A16="","",Assumptions!$B$4)</f>
        <v/>
      </c>
      <c r="F16" s="39" t="str">
        <f aca="false">IF(OR($A16="",$C16=""),"",MAX($C16*$E16,Assumptions!$B$5))</f>
        <v/>
      </c>
      <c r="G16" s="39" t="str">
        <f aca="false">IF($F16="","",$C16-$F16)</f>
        <v/>
      </c>
      <c r="H16" s="27"/>
      <c r="I16" s="39" t="str">
        <f aca="false">IF(OR($G16="",$H16=""),"",$G16-$H16)</f>
        <v/>
      </c>
      <c r="J16" s="54" t="str">
        <f aca="false">IF(OR($I16="",$H16="",$H16=0),"",$I16/$H16)</f>
        <v/>
      </c>
      <c r="K16" s="33"/>
    </row>
    <row r="17" customFormat="false" ht="15" hidden="false" customHeight="true" outlineLevel="0" collapsed="false">
      <c r="A17" s="43"/>
      <c r="B17" s="50"/>
      <c r="C17" s="27"/>
      <c r="D17" s="26"/>
      <c r="E17" s="40" t="str">
        <f aca="false">IF($A17="","",Assumptions!$B$4)</f>
        <v/>
      </c>
      <c r="F17" s="39" t="str">
        <f aca="false">IF(OR($A17="",$C17=""),"",MAX($C17*$E17,Assumptions!$B$5))</f>
        <v/>
      </c>
      <c r="G17" s="39" t="str">
        <f aca="false">IF($F17="","",$C17-$F17)</f>
        <v/>
      </c>
      <c r="H17" s="27"/>
      <c r="I17" s="39" t="str">
        <f aca="false">IF(OR($G17="",$H17=""),"",$G17-$H17)</f>
        <v/>
      </c>
      <c r="J17" s="54" t="str">
        <f aca="false">IF(OR($I17="",$H17="",$H17=0),"",$I17/$H17)</f>
        <v/>
      </c>
      <c r="K17" s="33"/>
    </row>
    <row r="18" customFormat="false" ht="15" hidden="false" customHeight="true" outlineLevel="0" collapsed="false">
      <c r="A18" s="43"/>
      <c r="B18" s="50"/>
      <c r="C18" s="27"/>
      <c r="D18" s="26"/>
      <c r="E18" s="40" t="str">
        <f aca="false">IF($A18="","",Assumptions!$B$4)</f>
        <v/>
      </c>
      <c r="F18" s="39" t="str">
        <f aca="false">IF(OR($A18="",$C18=""),"",MAX($C18*$E18,Assumptions!$B$5))</f>
        <v/>
      </c>
      <c r="G18" s="39" t="str">
        <f aca="false">IF($F18="","",$C18-$F18)</f>
        <v/>
      </c>
      <c r="H18" s="27"/>
      <c r="I18" s="39" t="str">
        <f aca="false">IF(OR($G18="",$H18=""),"",$G18-$H18)</f>
        <v/>
      </c>
      <c r="J18" s="54" t="str">
        <f aca="false">IF(OR($I18="",$H18="",$H18=0),"",$I18/$H18)</f>
        <v/>
      </c>
      <c r="K18" s="33"/>
    </row>
    <row r="19" customFormat="false" ht="15" hidden="false" customHeight="true" outlineLevel="0" collapsed="false">
      <c r="A19" s="43"/>
      <c r="B19" s="50"/>
      <c r="C19" s="27"/>
      <c r="D19" s="26"/>
      <c r="E19" s="40" t="str">
        <f aca="false">IF($A19="","",Assumptions!$B$4)</f>
        <v/>
      </c>
      <c r="F19" s="39" t="str">
        <f aca="false">IF(OR($A19="",$C19=""),"",MAX($C19*$E19,Assumptions!$B$5))</f>
        <v/>
      </c>
      <c r="G19" s="39" t="str">
        <f aca="false">IF($F19="","",$C19-$F19)</f>
        <v/>
      </c>
      <c r="H19" s="27"/>
      <c r="I19" s="39" t="str">
        <f aca="false">IF(OR($G19="",$H19=""),"",$G19-$H19)</f>
        <v/>
      </c>
      <c r="J19" s="54" t="str">
        <f aca="false">IF(OR($I19="",$H19="",$H19=0),"",$I19/$H19)</f>
        <v/>
      </c>
      <c r="K19" s="33"/>
    </row>
    <row r="20" customFormat="false" ht="15" hidden="false" customHeight="true" outlineLevel="0" collapsed="false">
      <c r="A20" s="43"/>
      <c r="B20" s="50"/>
      <c r="C20" s="27"/>
      <c r="D20" s="26"/>
      <c r="E20" s="40" t="str">
        <f aca="false">IF($A20="","",Assumptions!$B$4)</f>
        <v/>
      </c>
      <c r="F20" s="39" t="str">
        <f aca="false">IF(OR($A20="",$C20=""),"",MAX($C20*$E20,Assumptions!$B$5))</f>
        <v/>
      </c>
      <c r="G20" s="39" t="str">
        <f aca="false">IF($F20="","",$C20-$F20)</f>
        <v/>
      </c>
      <c r="H20" s="27"/>
      <c r="I20" s="39" t="str">
        <f aca="false">IF(OR($G20="",$H20=""),"",$G20-$H20)</f>
        <v/>
      </c>
      <c r="J20" s="54" t="str">
        <f aca="false">IF(OR($I20="",$H20="",$H20=0),"",$I20/$H20)</f>
        <v/>
      </c>
      <c r="K20" s="33"/>
    </row>
    <row r="21" customFormat="false" ht="15" hidden="false" customHeight="true" outlineLevel="0" collapsed="false">
      <c r="A21" s="43"/>
      <c r="B21" s="50"/>
      <c r="C21" s="27"/>
      <c r="D21" s="26"/>
      <c r="E21" s="40" t="str">
        <f aca="false">IF($A21="","",Assumptions!$B$4)</f>
        <v/>
      </c>
      <c r="F21" s="39" t="str">
        <f aca="false">IF(OR($A21="",$C21=""),"",MAX($C21*$E21,Assumptions!$B$5))</f>
        <v/>
      </c>
      <c r="G21" s="39" t="str">
        <f aca="false">IF($F21="","",$C21-$F21)</f>
        <v/>
      </c>
      <c r="H21" s="27"/>
      <c r="I21" s="39" t="str">
        <f aca="false">IF(OR($G21="",$H21=""),"",$G21-$H21)</f>
        <v/>
      </c>
      <c r="J21" s="54" t="str">
        <f aca="false">IF(OR($I21="",$H21="",$H21=0),"",$I21/$H21)</f>
        <v/>
      </c>
      <c r="K21" s="33"/>
    </row>
    <row r="22" customFormat="false" ht="15" hidden="false" customHeight="true" outlineLevel="0" collapsed="false">
      <c r="A22" s="43"/>
      <c r="B22" s="50"/>
      <c r="C22" s="27"/>
      <c r="D22" s="26"/>
      <c r="E22" s="40" t="str">
        <f aca="false">IF($A22="","",Assumptions!$B$4)</f>
        <v/>
      </c>
      <c r="F22" s="39" t="str">
        <f aca="false">IF(OR($A22="",$C22=""),"",MAX($C22*$E22,Assumptions!$B$5))</f>
        <v/>
      </c>
      <c r="G22" s="39" t="str">
        <f aca="false">IF($F22="","",$C22-$F22)</f>
        <v/>
      </c>
      <c r="H22" s="27"/>
      <c r="I22" s="39" t="str">
        <f aca="false">IF(OR($G22="",$H22=""),"",$G22-$H22)</f>
        <v/>
      </c>
      <c r="J22" s="54" t="str">
        <f aca="false">IF(OR($I22="",$H22="",$H22=0),"",$I22/$H22)</f>
        <v/>
      </c>
      <c r="K22" s="33"/>
    </row>
    <row r="23" customFormat="false" ht="15" hidden="false" customHeight="true" outlineLevel="0" collapsed="false">
      <c r="A23" s="43"/>
      <c r="B23" s="50"/>
      <c r="C23" s="27"/>
      <c r="D23" s="26"/>
      <c r="E23" s="40" t="str">
        <f aca="false">IF($A23="","",Assumptions!$B$4)</f>
        <v/>
      </c>
      <c r="F23" s="39" t="str">
        <f aca="false">IF(OR($A23="",$C23=""),"",MAX($C23*$E23,Assumptions!$B$5))</f>
        <v/>
      </c>
      <c r="G23" s="39" t="str">
        <f aca="false">IF($F23="","",$C23-$F23)</f>
        <v/>
      </c>
      <c r="H23" s="27"/>
      <c r="I23" s="39" t="str">
        <f aca="false">IF(OR($G23="",$H23=""),"",$G23-$H23)</f>
        <v/>
      </c>
      <c r="J23" s="54" t="str">
        <f aca="false">IF(OR($I23="",$H23="",$H23=0),"",$I23/$H23)</f>
        <v/>
      </c>
      <c r="K23" s="33"/>
    </row>
    <row r="24" customFormat="false" ht="15" hidden="false" customHeight="true" outlineLevel="0" collapsed="false">
      <c r="A24" s="43"/>
      <c r="B24" s="50"/>
      <c r="C24" s="27"/>
      <c r="D24" s="26"/>
      <c r="E24" s="40" t="str">
        <f aca="false">IF($A24="","",Assumptions!$B$4)</f>
        <v/>
      </c>
      <c r="F24" s="39" t="str">
        <f aca="false">IF(OR($A24="",$C24=""),"",MAX($C24*$E24,Assumptions!$B$5))</f>
        <v/>
      </c>
      <c r="G24" s="39" t="str">
        <f aca="false">IF($F24="","",$C24-$F24)</f>
        <v/>
      </c>
      <c r="H24" s="27"/>
      <c r="I24" s="39" t="str">
        <f aca="false">IF(OR($G24="",$H24=""),"",$G24-$H24)</f>
        <v/>
      </c>
      <c r="J24" s="54" t="str">
        <f aca="false">IF(OR($I24="",$H24="",$H24=0),"",$I24/$H24)</f>
        <v/>
      </c>
      <c r="K24" s="33"/>
    </row>
    <row r="25" customFormat="false" ht="15" hidden="false" customHeight="true" outlineLevel="0" collapsed="false">
      <c r="A25" s="43"/>
      <c r="B25" s="50"/>
      <c r="C25" s="27"/>
      <c r="D25" s="26"/>
      <c r="E25" s="40" t="str">
        <f aca="false">IF($A25="","",Assumptions!$B$4)</f>
        <v/>
      </c>
      <c r="F25" s="39" t="str">
        <f aca="false">IF(OR($A25="",$C25=""),"",MAX($C25*$E25,Assumptions!$B$5))</f>
        <v/>
      </c>
      <c r="G25" s="39" t="str">
        <f aca="false">IF($F25="","",$C25-$F25)</f>
        <v/>
      </c>
      <c r="H25" s="27"/>
      <c r="I25" s="39" t="str">
        <f aca="false">IF(OR($G25="",$H25=""),"",$G25-$H25)</f>
        <v/>
      </c>
      <c r="J25" s="54" t="str">
        <f aca="false">IF(OR($I25="",$H25="",$H25=0),"",$I25/$H25)</f>
        <v/>
      </c>
      <c r="K25" s="33"/>
    </row>
    <row r="26" customFormat="false" ht="15" hidden="false" customHeight="true" outlineLevel="0" collapsed="false">
      <c r="A26" s="43"/>
      <c r="B26" s="50"/>
      <c r="C26" s="27"/>
      <c r="D26" s="26"/>
      <c r="E26" s="40" t="str">
        <f aca="false">IF($A26="","",Assumptions!$B$4)</f>
        <v/>
      </c>
      <c r="F26" s="39" t="str">
        <f aca="false">IF(OR($A26="",$C26=""),"",MAX($C26*$E26,Assumptions!$B$5))</f>
        <v/>
      </c>
      <c r="G26" s="39" t="str">
        <f aca="false">IF($F26="","",$C26-$F26)</f>
        <v/>
      </c>
      <c r="H26" s="27"/>
      <c r="I26" s="39" t="str">
        <f aca="false">IF(OR($G26="",$H26=""),"",$G26-$H26)</f>
        <v/>
      </c>
      <c r="J26" s="54" t="str">
        <f aca="false">IF(OR($I26="",$H26="",$H26=0),"",$I26/$H26)</f>
        <v/>
      </c>
      <c r="K26" s="33"/>
    </row>
    <row r="27" customFormat="false" ht="15" hidden="false" customHeight="true" outlineLevel="0" collapsed="false">
      <c r="A27" s="43"/>
      <c r="B27" s="50"/>
      <c r="C27" s="27"/>
      <c r="D27" s="26"/>
      <c r="E27" s="40" t="str">
        <f aca="false">IF($A27="","",Assumptions!$B$4)</f>
        <v/>
      </c>
      <c r="F27" s="39" t="str">
        <f aca="false">IF(OR($A27="",$C27=""),"",MAX($C27*$E27,Assumptions!$B$5))</f>
        <v/>
      </c>
      <c r="G27" s="39" t="str">
        <f aca="false">IF($F27="","",$C27-$F27)</f>
        <v/>
      </c>
      <c r="H27" s="27"/>
      <c r="I27" s="39" t="str">
        <f aca="false">IF(OR($G27="",$H27=""),"",$G27-$H27)</f>
        <v/>
      </c>
      <c r="J27" s="54" t="str">
        <f aca="false">IF(OR($I27="",$H27="",$H27=0),"",$I27/$H27)</f>
        <v/>
      </c>
      <c r="K27" s="33"/>
    </row>
    <row r="28" customFormat="false" ht="15" hidden="false" customHeight="true" outlineLevel="0" collapsed="false">
      <c r="A28" s="43"/>
      <c r="B28" s="50"/>
      <c r="C28" s="27"/>
      <c r="D28" s="26"/>
      <c r="E28" s="40" t="str">
        <f aca="false">IF($A28="","",Assumptions!$B$4)</f>
        <v/>
      </c>
      <c r="F28" s="39" t="str">
        <f aca="false">IF(OR($A28="",$C28=""),"",MAX($C28*$E28,Assumptions!$B$5))</f>
        <v/>
      </c>
      <c r="G28" s="39" t="str">
        <f aca="false">IF($F28="","",$C28-$F28)</f>
        <v/>
      </c>
      <c r="H28" s="27"/>
      <c r="I28" s="39" t="str">
        <f aca="false">IF(OR($G28="",$H28=""),"",$G28-$H28)</f>
        <v/>
      </c>
      <c r="J28" s="54" t="str">
        <f aca="false">IF(OR($I28="",$H28="",$H28=0),"",$I28/$H28)</f>
        <v/>
      </c>
      <c r="K28" s="33"/>
    </row>
    <row r="29" customFormat="false" ht="15" hidden="false" customHeight="true" outlineLevel="0" collapsed="false">
      <c r="A29" s="43"/>
      <c r="B29" s="50"/>
      <c r="C29" s="27"/>
      <c r="D29" s="26"/>
      <c r="E29" s="40" t="str">
        <f aca="false">IF($A29="","",Assumptions!$B$4)</f>
        <v/>
      </c>
      <c r="F29" s="39" t="str">
        <f aca="false">IF(OR($A29="",$C29=""),"",MAX($C29*$E29,Assumptions!$B$5))</f>
        <v/>
      </c>
      <c r="G29" s="39" t="str">
        <f aca="false">IF($F29="","",$C29-$F29)</f>
        <v/>
      </c>
      <c r="H29" s="27"/>
      <c r="I29" s="39" t="str">
        <f aca="false">IF(OR($G29="",$H29=""),"",$G29-$H29)</f>
        <v/>
      </c>
      <c r="J29" s="54" t="str">
        <f aca="false">IF(OR($I29="",$H29="",$H29=0),"",$I29/$H29)</f>
        <v/>
      </c>
      <c r="K29" s="33"/>
    </row>
    <row r="30" customFormat="false" ht="15" hidden="false" customHeight="true" outlineLevel="0" collapsed="false">
      <c r="A30" s="43"/>
      <c r="B30" s="50"/>
      <c r="C30" s="27"/>
      <c r="D30" s="26"/>
      <c r="E30" s="40" t="str">
        <f aca="false">IF($A30="","",Assumptions!$B$4)</f>
        <v/>
      </c>
      <c r="F30" s="39" t="str">
        <f aca="false">IF(OR($A30="",$C30=""),"",MAX($C30*$E30,Assumptions!$B$5))</f>
        <v/>
      </c>
      <c r="G30" s="39" t="str">
        <f aca="false">IF($F30="","",$C30-$F30)</f>
        <v/>
      </c>
      <c r="H30" s="27"/>
      <c r="I30" s="39" t="str">
        <f aca="false">IF(OR($G30="",$H30=""),"",$G30-$H30)</f>
        <v/>
      </c>
      <c r="J30" s="54" t="str">
        <f aca="false">IF(OR($I30="",$H30="",$H30=0),"",$I30/$H30)</f>
        <v/>
      </c>
      <c r="K30" s="33"/>
    </row>
    <row r="31" customFormat="false" ht="15" hidden="false" customHeight="true" outlineLevel="0" collapsed="false">
      <c r="A31" s="43"/>
      <c r="B31" s="50"/>
      <c r="C31" s="27"/>
      <c r="D31" s="26"/>
      <c r="E31" s="40" t="str">
        <f aca="false">IF($A31="","",Assumptions!$B$4)</f>
        <v/>
      </c>
      <c r="F31" s="39" t="str">
        <f aca="false">IF(OR($A31="",$C31=""),"",MAX($C31*$E31,Assumptions!$B$5))</f>
        <v/>
      </c>
      <c r="G31" s="39" t="str">
        <f aca="false">IF($F31="","",$C31-$F31)</f>
        <v/>
      </c>
      <c r="H31" s="27"/>
      <c r="I31" s="39" t="str">
        <f aca="false">IF(OR($G31="",$H31=""),"",$G31-$H31)</f>
        <v/>
      </c>
      <c r="J31" s="54" t="str">
        <f aca="false">IF(OR($I31="",$H31="",$H31=0),"",$I31/$H31)</f>
        <v/>
      </c>
      <c r="K31" s="33"/>
    </row>
    <row r="32" customFormat="false" ht="15" hidden="false" customHeight="true" outlineLevel="0" collapsed="false">
      <c r="A32" s="43"/>
      <c r="B32" s="50"/>
      <c r="C32" s="27"/>
      <c r="D32" s="26"/>
      <c r="E32" s="40" t="str">
        <f aca="false">IF($A32="","",Assumptions!$B$4)</f>
        <v/>
      </c>
      <c r="F32" s="39" t="str">
        <f aca="false">IF(OR($A32="",$C32=""),"",MAX($C32*$E32,Assumptions!$B$5))</f>
        <v/>
      </c>
      <c r="G32" s="39" t="str">
        <f aca="false">IF($F32="","",$C32-$F32)</f>
        <v/>
      </c>
      <c r="H32" s="27"/>
      <c r="I32" s="39" t="str">
        <f aca="false">IF(OR($G32="",$H32=""),"",$G32-$H32)</f>
        <v/>
      </c>
      <c r="J32" s="54" t="str">
        <f aca="false">IF(OR($I32="",$H32="",$H32=0),"",$I32/$H32)</f>
        <v/>
      </c>
      <c r="K32" s="33"/>
    </row>
    <row r="33" customFormat="false" ht="15" hidden="false" customHeight="true" outlineLevel="0" collapsed="false">
      <c r="A33" s="43"/>
      <c r="B33" s="50"/>
      <c r="C33" s="27"/>
      <c r="D33" s="26"/>
      <c r="E33" s="40" t="str">
        <f aca="false">IF($A33="","",Assumptions!$B$4)</f>
        <v/>
      </c>
      <c r="F33" s="39" t="str">
        <f aca="false">IF(OR($A33="",$C33=""),"",MAX($C33*$E33,Assumptions!$B$5))</f>
        <v/>
      </c>
      <c r="G33" s="39" t="str">
        <f aca="false">IF($F33="","",$C33-$F33)</f>
        <v/>
      </c>
      <c r="H33" s="27"/>
      <c r="I33" s="39" t="str">
        <f aca="false">IF(OR($G33="",$H33=""),"",$G33-$H33)</f>
        <v/>
      </c>
      <c r="J33" s="54" t="str">
        <f aca="false">IF(OR($I33="",$H33="",$H33=0),"",$I33/$H33)</f>
        <v/>
      </c>
      <c r="K33" s="33"/>
    </row>
    <row r="34" customFormat="false" ht="15" hidden="false" customHeight="true" outlineLevel="0" collapsed="false">
      <c r="A34" s="43"/>
      <c r="B34" s="50"/>
      <c r="C34" s="27"/>
      <c r="D34" s="26"/>
      <c r="E34" s="40" t="str">
        <f aca="false">IF($A34="","",Assumptions!$B$4)</f>
        <v/>
      </c>
      <c r="F34" s="39" t="str">
        <f aca="false">IF(OR($A34="",$C34=""),"",MAX($C34*$E34,Assumptions!$B$5))</f>
        <v/>
      </c>
      <c r="G34" s="39" t="str">
        <f aca="false">IF($F34="","",$C34-$F34)</f>
        <v/>
      </c>
      <c r="H34" s="27"/>
      <c r="I34" s="39" t="str">
        <f aca="false">IF(OR($G34="",$H34=""),"",$G34-$H34)</f>
        <v/>
      </c>
      <c r="J34" s="54" t="str">
        <f aca="false">IF(OR($I34="",$H34="",$H34=0),"",$I34/$H34)</f>
        <v/>
      </c>
      <c r="K34" s="33"/>
    </row>
    <row r="35" customFormat="false" ht="15" hidden="false" customHeight="true" outlineLevel="0" collapsed="false">
      <c r="A35" s="43"/>
      <c r="B35" s="50"/>
      <c r="C35" s="27"/>
      <c r="D35" s="26"/>
      <c r="E35" s="40" t="str">
        <f aca="false">IF($A35="","",Assumptions!$B$4)</f>
        <v/>
      </c>
      <c r="F35" s="39" t="str">
        <f aca="false">IF(OR($A35="",$C35=""),"",MAX($C35*$E35,Assumptions!$B$5))</f>
        <v/>
      </c>
      <c r="G35" s="39" t="str">
        <f aca="false">IF($F35="","",$C35-$F35)</f>
        <v/>
      </c>
      <c r="H35" s="27"/>
      <c r="I35" s="39" t="str">
        <f aca="false">IF(OR($G35="",$H35=""),"",$G35-$H35)</f>
        <v/>
      </c>
      <c r="J35" s="54" t="str">
        <f aca="false">IF(OR($I35="",$H35="",$H35=0),"",$I35/$H35)</f>
        <v/>
      </c>
      <c r="K35" s="33"/>
    </row>
    <row r="36" customFormat="false" ht="15" hidden="false" customHeight="true" outlineLevel="0" collapsed="false">
      <c r="A36" s="43"/>
      <c r="B36" s="50"/>
      <c r="C36" s="27"/>
      <c r="D36" s="26"/>
      <c r="E36" s="40" t="str">
        <f aca="false">IF($A36="","",Assumptions!$B$4)</f>
        <v/>
      </c>
      <c r="F36" s="39" t="str">
        <f aca="false">IF(OR($A36="",$C36=""),"",MAX($C36*$E36,Assumptions!$B$5))</f>
        <v/>
      </c>
      <c r="G36" s="39" t="str">
        <f aca="false">IF($F36="","",$C36-$F36)</f>
        <v/>
      </c>
      <c r="H36" s="27"/>
      <c r="I36" s="39" t="str">
        <f aca="false">IF(OR($G36="",$H36=""),"",$G36-$H36)</f>
        <v/>
      </c>
      <c r="J36" s="54" t="str">
        <f aca="false">IF(OR($I36="",$H36="",$H36=0),"",$I36/$H36)</f>
        <v/>
      </c>
      <c r="K36" s="33"/>
    </row>
    <row r="37" customFormat="false" ht="15" hidden="false" customHeight="true" outlineLevel="0" collapsed="false">
      <c r="A37" s="43"/>
      <c r="B37" s="50"/>
      <c r="C37" s="27"/>
      <c r="D37" s="26"/>
      <c r="E37" s="40" t="str">
        <f aca="false">IF($A37="","",Assumptions!$B$4)</f>
        <v/>
      </c>
      <c r="F37" s="39" t="str">
        <f aca="false">IF(OR($A37="",$C37=""),"",MAX($C37*$E37,Assumptions!$B$5))</f>
        <v/>
      </c>
      <c r="G37" s="39" t="str">
        <f aca="false">IF($F37="","",$C37-$F37)</f>
        <v/>
      </c>
      <c r="H37" s="27"/>
      <c r="I37" s="39" t="str">
        <f aca="false">IF(OR($G37="",$H37=""),"",$G37-$H37)</f>
        <v/>
      </c>
      <c r="J37" s="54" t="str">
        <f aca="false">IF(OR($I37="",$H37="",$H37=0),"",$I37/$H37)</f>
        <v/>
      </c>
      <c r="K37" s="33"/>
    </row>
    <row r="38" customFormat="false" ht="15" hidden="false" customHeight="true" outlineLevel="0" collapsed="false">
      <c r="A38" s="43"/>
      <c r="B38" s="50"/>
      <c r="C38" s="27"/>
      <c r="D38" s="26"/>
      <c r="E38" s="40" t="str">
        <f aca="false">IF($A38="","",Assumptions!$B$4)</f>
        <v/>
      </c>
      <c r="F38" s="39" t="str">
        <f aca="false">IF(OR($A38="",$C38=""),"",MAX($C38*$E38,Assumptions!$B$5))</f>
        <v/>
      </c>
      <c r="G38" s="39" t="str">
        <f aca="false">IF($F38="","",$C38-$F38)</f>
        <v/>
      </c>
      <c r="H38" s="27"/>
      <c r="I38" s="39" t="str">
        <f aca="false">IF(OR($G38="",$H38=""),"",$G38-$H38)</f>
        <v/>
      </c>
      <c r="J38" s="54" t="str">
        <f aca="false">IF(OR($I38="",$H38="",$H38=0),"",$I38/$H38)</f>
        <v/>
      </c>
      <c r="K38" s="33"/>
    </row>
    <row r="39" customFormat="false" ht="15" hidden="false" customHeight="true" outlineLevel="0" collapsed="false">
      <c r="A39" s="43"/>
      <c r="B39" s="50"/>
      <c r="C39" s="27"/>
      <c r="D39" s="26"/>
      <c r="E39" s="40" t="str">
        <f aca="false">IF($A39="","",Assumptions!$B$4)</f>
        <v/>
      </c>
      <c r="F39" s="39" t="str">
        <f aca="false">IF(OR($A39="",$C39=""),"",MAX($C39*$E39,Assumptions!$B$5))</f>
        <v/>
      </c>
      <c r="G39" s="39" t="str">
        <f aca="false">IF($F39="","",$C39-$F39)</f>
        <v/>
      </c>
      <c r="H39" s="27"/>
      <c r="I39" s="39" t="str">
        <f aca="false">IF(OR($G39="",$H39=""),"",$G39-$H39)</f>
        <v/>
      </c>
      <c r="J39" s="54" t="str">
        <f aca="false">IF(OR($I39="",$H39="",$H39=0),"",$I39/$H39)</f>
        <v/>
      </c>
      <c r="K39" s="33"/>
    </row>
    <row r="40" customFormat="false" ht="15" hidden="false" customHeight="true" outlineLevel="0" collapsed="false">
      <c r="A40" s="43"/>
      <c r="B40" s="50"/>
      <c r="C40" s="27"/>
      <c r="D40" s="26"/>
      <c r="E40" s="40" t="str">
        <f aca="false">IF($A40="","",Assumptions!$B$4)</f>
        <v/>
      </c>
      <c r="F40" s="39" t="str">
        <f aca="false">IF(OR($A40="",$C40=""),"",MAX($C40*$E40,Assumptions!$B$5))</f>
        <v/>
      </c>
      <c r="G40" s="39" t="str">
        <f aca="false">IF($F40="","",$C40-$F40)</f>
        <v/>
      </c>
      <c r="H40" s="27"/>
      <c r="I40" s="39" t="str">
        <f aca="false">IF(OR($G40="",$H40=""),"",$G40-$H40)</f>
        <v/>
      </c>
      <c r="J40" s="54" t="str">
        <f aca="false">IF(OR($I40="",$H40="",$H40=0),"",$I40/$H40)</f>
        <v/>
      </c>
      <c r="K40" s="33"/>
    </row>
    <row r="41" customFormat="false" ht="15" hidden="false" customHeight="true" outlineLevel="0" collapsed="false">
      <c r="A41" s="43"/>
      <c r="B41" s="50"/>
      <c r="C41" s="27"/>
      <c r="D41" s="26"/>
      <c r="E41" s="40" t="str">
        <f aca="false">IF($A41="","",Assumptions!$B$4)</f>
        <v/>
      </c>
      <c r="F41" s="39" t="str">
        <f aca="false">IF(OR($A41="",$C41=""),"",MAX($C41*$E41,Assumptions!$B$5))</f>
        <v/>
      </c>
      <c r="G41" s="39" t="str">
        <f aca="false">IF($F41="","",$C41-$F41)</f>
        <v/>
      </c>
      <c r="H41" s="27"/>
      <c r="I41" s="39" t="str">
        <f aca="false">IF(OR($G41="",$H41=""),"",$G41-$H41)</f>
        <v/>
      </c>
      <c r="J41" s="54" t="str">
        <f aca="false">IF(OR($I41="",$H41="",$H41=0),"",$I41/$H41)</f>
        <v/>
      </c>
      <c r="K41" s="33"/>
    </row>
    <row r="42" customFormat="false" ht="15" hidden="false" customHeight="true" outlineLevel="0" collapsed="false">
      <c r="A42" s="43"/>
      <c r="B42" s="50"/>
      <c r="C42" s="27"/>
      <c r="D42" s="26"/>
      <c r="E42" s="40" t="str">
        <f aca="false">IF($A42="","",Assumptions!$B$4)</f>
        <v/>
      </c>
      <c r="F42" s="39" t="str">
        <f aca="false">IF(OR($A42="",$C42=""),"",MAX($C42*$E42,Assumptions!$B$5))</f>
        <v/>
      </c>
      <c r="G42" s="39" t="str">
        <f aca="false">IF($F42="","",$C42-$F42)</f>
        <v/>
      </c>
      <c r="H42" s="27"/>
      <c r="I42" s="39" t="str">
        <f aca="false">IF(OR($G42="",$H42=""),"",$G42-$H42)</f>
        <v/>
      </c>
      <c r="J42" s="54" t="str">
        <f aca="false">IF(OR($I42="",$H42="",$H42=0),"",$I42/$H42)</f>
        <v/>
      </c>
      <c r="K42" s="33"/>
    </row>
    <row r="43" customFormat="false" ht="15" hidden="false" customHeight="true" outlineLevel="0" collapsed="false">
      <c r="A43" s="43"/>
      <c r="B43" s="50"/>
      <c r="C43" s="27"/>
      <c r="D43" s="26"/>
      <c r="E43" s="40" t="str">
        <f aca="false">IF($A43="","",Assumptions!$B$4)</f>
        <v/>
      </c>
      <c r="F43" s="39" t="str">
        <f aca="false">IF(OR($A43="",$C43=""),"",MAX($C43*$E43,Assumptions!$B$5))</f>
        <v/>
      </c>
      <c r="G43" s="39" t="str">
        <f aca="false">IF($F43="","",$C43-$F43)</f>
        <v/>
      </c>
      <c r="H43" s="27"/>
      <c r="I43" s="39" t="str">
        <f aca="false">IF(OR($G43="",$H43=""),"",$G43-$H43)</f>
        <v/>
      </c>
      <c r="J43" s="54" t="str">
        <f aca="false">IF(OR($I43="",$H43="",$H43=0),"",$I43/$H43)</f>
        <v/>
      </c>
      <c r="K43" s="33"/>
    </row>
    <row r="44" customFormat="false" ht="15" hidden="false" customHeight="true" outlineLevel="0" collapsed="false">
      <c r="A44" s="43"/>
      <c r="B44" s="50"/>
      <c r="C44" s="27"/>
      <c r="D44" s="26"/>
      <c r="E44" s="40" t="str">
        <f aca="false">IF($A44="","",Assumptions!$B$4)</f>
        <v/>
      </c>
      <c r="F44" s="39" t="str">
        <f aca="false">IF(OR($A44="",$C44=""),"",MAX($C44*$E44,Assumptions!$B$5))</f>
        <v/>
      </c>
      <c r="G44" s="39" t="str">
        <f aca="false">IF($F44="","",$C44-$F44)</f>
        <v/>
      </c>
      <c r="H44" s="27"/>
      <c r="I44" s="39" t="str">
        <f aca="false">IF(OR($G44="",$H44=""),"",$G44-$H44)</f>
        <v/>
      </c>
      <c r="J44" s="54" t="str">
        <f aca="false">IF(OR($I44="",$H44="",$H44=0),"",$I44/$H44)</f>
        <v/>
      </c>
      <c r="K44" s="33"/>
    </row>
    <row r="45" customFormat="false" ht="15" hidden="false" customHeight="true" outlineLevel="0" collapsed="false">
      <c r="A45" s="43"/>
      <c r="B45" s="50"/>
      <c r="C45" s="27"/>
      <c r="D45" s="26"/>
      <c r="E45" s="40" t="str">
        <f aca="false">IF($A45="","",Assumptions!$B$4)</f>
        <v/>
      </c>
      <c r="F45" s="39" t="str">
        <f aca="false">IF(OR($A45="",$C45=""),"",MAX($C45*$E45,Assumptions!$B$5))</f>
        <v/>
      </c>
      <c r="G45" s="39" t="str">
        <f aca="false">IF($F45="","",$C45-$F45)</f>
        <v/>
      </c>
      <c r="H45" s="27"/>
      <c r="I45" s="39" t="str">
        <f aca="false">IF(OR($G45="",$H45=""),"",$G45-$H45)</f>
        <v/>
      </c>
      <c r="J45" s="54" t="str">
        <f aca="false">IF(OR($I45="",$H45="",$H45=0),"",$I45/$H45)</f>
        <v/>
      </c>
      <c r="K45" s="33"/>
    </row>
    <row r="46" customFormat="false" ht="15" hidden="false" customHeight="true" outlineLevel="0" collapsed="false">
      <c r="A46" s="43"/>
      <c r="B46" s="50"/>
      <c r="C46" s="27"/>
      <c r="D46" s="26"/>
      <c r="E46" s="40" t="str">
        <f aca="false">IF($A46="","",Assumptions!$B$4)</f>
        <v/>
      </c>
      <c r="F46" s="39" t="str">
        <f aca="false">IF(OR($A46="",$C46=""),"",MAX($C46*$E46,Assumptions!$B$5))</f>
        <v/>
      </c>
      <c r="G46" s="39" t="str">
        <f aca="false">IF($F46="","",$C46-$F46)</f>
        <v/>
      </c>
      <c r="H46" s="27"/>
      <c r="I46" s="39" t="str">
        <f aca="false">IF(OR($G46="",$H46=""),"",$G46-$H46)</f>
        <v/>
      </c>
      <c r="J46" s="54" t="str">
        <f aca="false">IF(OR($I46="",$H46="",$H46=0),"",$I46/$H46)</f>
        <v/>
      </c>
      <c r="K46" s="33"/>
    </row>
    <row r="47" customFormat="false" ht="15" hidden="false" customHeight="true" outlineLevel="0" collapsed="false">
      <c r="A47" s="43"/>
      <c r="B47" s="50"/>
      <c r="C47" s="27"/>
      <c r="D47" s="26"/>
      <c r="E47" s="40" t="str">
        <f aca="false">IF($A47="","",Assumptions!$B$4)</f>
        <v/>
      </c>
      <c r="F47" s="39" t="str">
        <f aca="false">IF(OR($A47="",$C47=""),"",MAX($C47*$E47,Assumptions!$B$5))</f>
        <v/>
      </c>
      <c r="G47" s="39" t="str">
        <f aca="false">IF($F47="","",$C47-$F47)</f>
        <v/>
      </c>
      <c r="H47" s="27"/>
      <c r="I47" s="39" t="str">
        <f aca="false">IF(OR($G47="",$H47=""),"",$G47-$H47)</f>
        <v/>
      </c>
      <c r="J47" s="54" t="str">
        <f aca="false">IF(OR($I47="",$H47="",$H47=0),"",$I47/$H47)</f>
        <v/>
      </c>
      <c r="K47" s="33"/>
    </row>
    <row r="48" customFormat="false" ht="15" hidden="false" customHeight="true" outlineLevel="0" collapsed="false">
      <c r="A48" s="43"/>
      <c r="B48" s="50"/>
      <c r="C48" s="27"/>
      <c r="D48" s="26"/>
      <c r="E48" s="40" t="str">
        <f aca="false">IF($A48="","",Assumptions!$B$4)</f>
        <v/>
      </c>
      <c r="F48" s="39" t="str">
        <f aca="false">IF(OR($A48="",$C48=""),"",MAX($C48*$E48,Assumptions!$B$5))</f>
        <v/>
      </c>
      <c r="G48" s="39" t="str">
        <f aca="false">IF($F48="","",$C48-$F48)</f>
        <v/>
      </c>
      <c r="H48" s="27"/>
      <c r="I48" s="39" t="str">
        <f aca="false">IF(OR($G48="",$H48=""),"",$G48-$H48)</f>
        <v/>
      </c>
      <c r="J48" s="54" t="str">
        <f aca="false">IF(OR($I48="",$H48="",$H48=0),"",$I48/$H48)</f>
        <v/>
      </c>
      <c r="K48" s="33"/>
    </row>
    <row r="49" customFormat="false" ht="15" hidden="false" customHeight="true" outlineLevel="0" collapsed="false">
      <c r="A49" s="43"/>
      <c r="B49" s="50"/>
      <c r="C49" s="27"/>
      <c r="D49" s="26"/>
      <c r="E49" s="40" t="str">
        <f aca="false">IF($A49="","",Assumptions!$B$4)</f>
        <v/>
      </c>
      <c r="F49" s="39" t="str">
        <f aca="false">IF(OR($A49="",$C49=""),"",MAX($C49*$E49,Assumptions!$B$5))</f>
        <v/>
      </c>
      <c r="G49" s="39" t="str">
        <f aca="false">IF($F49="","",$C49-$F49)</f>
        <v/>
      </c>
      <c r="H49" s="27"/>
      <c r="I49" s="39" t="str">
        <f aca="false">IF(OR($G49="",$H49=""),"",$G49-$H49)</f>
        <v/>
      </c>
      <c r="J49" s="54" t="str">
        <f aca="false">IF(OR($I49="",$H49="",$H49=0),"",$I49/$H49)</f>
        <v/>
      </c>
      <c r="K49" s="33"/>
    </row>
    <row r="50" customFormat="false" ht="15" hidden="false" customHeight="true" outlineLevel="0" collapsed="false">
      <c r="A50" s="43"/>
      <c r="B50" s="50"/>
      <c r="C50" s="27"/>
      <c r="D50" s="26"/>
      <c r="E50" s="40" t="str">
        <f aca="false">IF($A50="","",Assumptions!$B$4)</f>
        <v/>
      </c>
      <c r="F50" s="39" t="str">
        <f aca="false">IF(OR($A50="",$C50=""),"",MAX($C50*$E50,Assumptions!$B$5))</f>
        <v/>
      </c>
      <c r="G50" s="39" t="str">
        <f aca="false">IF($F50="","",$C50-$F50)</f>
        <v/>
      </c>
      <c r="H50" s="27"/>
      <c r="I50" s="39" t="str">
        <f aca="false">IF(OR($G50="",$H50=""),"",$G50-$H50)</f>
        <v/>
      </c>
      <c r="J50" s="54" t="str">
        <f aca="false">IF(OR($I50="",$H50="",$H50=0),"",$I50/$H50)</f>
        <v/>
      </c>
      <c r="K50" s="33"/>
    </row>
    <row r="51" customFormat="false" ht="15" hidden="false" customHeight="true" outlineLevel="0" collapsed="false">
      <c r="A51" s="43"/>
      <c r="B51" s="50"/>
      <c r="C51" s="27"/>
      <c r="D51" s="26"/>
      <c r="E51" s="40" t="str">
        <f aca="false">IF($A51="","",Assumptions!$B$4)</f>
        <v/>
      </c>
      <c r="F51" s="39" t="str">
        <f aca="false">IF(OR($A51="",$C51=""),"",MAX($C51*$E51,Assumptions!$B$5))</f>
        <v/>
      </c>
      <c r="G51" s="39" t="str">
        <f aca="false">IF($F51="","",$C51-$F51)</f>
        <v/>
      </c>
      <c r="H51" s="27"/>
      <c r="I51" s="39" t="str">
        <f aca="false">IF(OR($G51="",$H51=""),"",$G51-$H51)</f>
        <v/>
      </c>
      <c r="J51" s="54" t="str">
        <f aca="false">IF(OR($I51="",$H51="",$H51=0),"",$I51/$H51)</f>
        <v/>
      </c>
      <c r="K51" s="33"/>
    </row>
    <row r="52" customFormat="false" ht="15" hidden="false" customHeight="true" outlineLevel="0" collapsed="false">
      <c r="A52" s="43"/>
      <c r="B52" s="50"/>
      <c r="C52" s="27"/>
      <c r="D52" s="26"/>
      <c r="E52" s="40" t="str">
        <f aca="false">IF($A52="","",Assumptions!$B$4)</f>
        <v/>
      </c>
      <c r="F52" s="39" t="str">
        <f aca="false">IF(OR($A52="",$C52=""),"",MAX($C52*$E52,Assumptions!$B$5))</f>
        <v/>
      </c>
      <c r="G52" s="39" t="str">
        <f aca="false">IF($F52="","",$C52-$F52)</f>
        <v/>
      </c>
      <c r="H52" s="27"/>
      <c r="I52" s="39" t="str">
        <f aca="false">IF(OR($G52="",$H52=""),"",$G52-$H52)</f>
        <v/>
      </c>
      <c r="J52" s="54" t="str">
        <f aca="false">IF(OR($I52="",$H52="",$H52=0),"",$I52/$H52)</f>
        <v/>
      </c>
      <c r="K52" s="33"/>
    </row>
    <row r="53" customFormat="false" ht="15" hidden="false" customHeight="true" outlineLevel="0" collapsed="false">
      <c r="A53" s="43"/>
      <c r="B53" s="50"/>
      <c r="C53" s="27"/>
      <c r="D53" s="26"/>
      <c r="E53" s="40" t="str">
        <f aca="false">IF($A53="","",Assumptions!$B$4)</f>
        <v/>
      </c>
      <c r="F53" s="39" t="str">
        <f aca="false">IF(OR($A53="",$C53=""),"",MAX($C53*$E53,Assumptions!$B$5))</f>
        <v/>
      </c>
      <c r="G53" s="39" t="str">
        <f aca="false">IF($F53="","",$C53-$F53)</f>
        <v/>
      </c>
      <c r="H53" s="27"/>
      <c r="I53" s="39" t="str">
        <f aca="false">IF(OR($G53="",$H53=""),"",$G53-$H53)</f>
        <v/>
      </c>
      <c r="J53" s="54" t="str">
        <f aca="false">IF(OR($I53="",$H53="",$H53=0),"",$I53/$H53)</f>
        <v/>
      </c>
      <c r="K53" s="33"/>
    </row>
    <row r="54" customFormat="false" ht="15" hidden="false" customHeight="true" outlineLevel="0" collapsed="false">
      <c r="A54" s="43"/>
      <c r="B54" s="50"/>
      <c r="C54" s="27"/>
      <c r="D54" s="26"/>
      <c r="E54" s="40" t="str">
        <f aca="false">IF($A54="","",Assumptions!$B$4)</f>
        <v/>
      </c>
      <c r="F54" s="39" t="str">
        <f aca="false">IF(OR($A54="",$C54=""),"",MAX($C54*$E54,Assumptions!$B$5))</f>
        <v/>
      </c>
      <c r="G54" s="39" t="str">
        <f aca="false">IF($F54="","",$C54-$F54)</f>
        <v/>
      </c>
      <c r="H54" s="27"/>
      <c r="I54" s="39" t="str">
        <f aca="false">IF(OR($G54="",$H54=""),"",$G54-$H54)</f>
        <v/>
      </c>
      <c r="J54" s="54" t="str">
        <f aca="false">IF(OR($I54="",$H54="",$H54=0),"",$I54/$H54)</f>
        <v/>
      </c>
      <c r="K54" s="33"/>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4"/>
    <col collapsed="false" customWidth="true" hidden="false" outlineLevel="0" max="4" min="4" style="1" width="78"/>
  </cols>
  <sheetData>
    <row r="1" customFormat="false" ht="24" hidden="false" customHeight="true" outlineLevel="0" collapsed="false">
      <c r="A1" s="2" t="s">
        <v>411</v>
      </c>
      <c r="B1" s="2"/>
      <c r="C1" s="2"/>
      <c r="D1" s="2"/>
    </row>
    <row r="3" customFormat="false" ht="15" hidden="false" customHeight="true" outlineLevel="0" collapsed="false">
      <c r="A3" s="55" t="s">
        <v>412</v>
      </c>
      <c r="B3" s="56"/>
      <c r="C3" s="56"/>
      <c r="D3" s="56"/>
    </row>
    <row r="4" customFormat="false" ht="18" hidden="false" customHeight="true" outlineLevel="0" collapsed="false">
      <c r="A4" s="9" t="s">
        <v>413</v>
      </c>
      <c r="B4" s="57" t="n">
        <f aca="false">COUNTIF(Portfolio!$C$5:$C$104,"Active")</f>
        <v>1</v>
      </c>
      <c r="D4" s="58" t="s">
        <v>414</v>
      </c>
    </row>
    <row r="5" customFormat="false" ht="18" hidden="false" customHeight="true" outlineLevel="0" collapsed="false">
      <c r="A5" s="9" t="s">
        <v>415</v>
      </c>
      <c r="B5" s="59" t="n">
        <f aca="false">SUMIF(Portfolio!$C$5:$C$104,"Active",Portfolio!$E$5:$E$104)</f>
        <v>2400</v>
      </c>
      <c r="D5" s="58" t="s">
        <v>416</v>
      </c>
    </row>
    <row r="6" customFormat="false" ht="18" hidden="false" customHeight="true" outlineLevel="0" collapsed="false">
      <c r="A6" s="9" t="s">
        <v>417</v>
      </c>
      <c r="B6" s="59" t="n">
        <f aca="false">SUMIF(Portfolio!$C$5:$C$104,"Active",Portfolio!$I$5:$I$104)</f>
        <v>22</v>
      </c>
      <c r="D6" s="58" t="s">
        <v>418</v>
      </c>
    </row>
    <row r="7" customFormat="false" ht="18" hidden="false" customHeight="true" outlineLevel="0" collapsed="false">
      <c r="A7" s="9" t="s">
        <v>419</v>
      </c>
      <c r="B7" s="59" t="n">
        <f aca="false">SUMIF(Portfolio!$C$5:$C$104,"Active",Portfolio!$J$5:$J$104)</f>
        <v>2422</v>
      </c>
      <c r="D7" s="58" t="s">
        <v>420</v>
      </c>
    </row>
    <row r="8" customFormat="false" ht="31.5" hidden="false" customHeight="true" outlineLevel="0" collapsed="false">
      <c r="A8" s="9" t="s">
        <v>421</v>
      </c>
      <c r="B8" s="59" t="n">
        <f aca="false">SUMIF(Portfolio!$C$5:$C$104,"Active",Portfolio!$F$5:$F$104)</f>
        <v>11</v>
      </c>
      <c r="D8" s="58" t="s">
        <v>422</v>
      </c>
    </row>
    <row r="10" customFormat="false" ht="15" hidden="false" customHeight="true" outlineLevel="0" collapsed="false">
      <c r="A10" s="55" t="s">
        <v>423</v>
      </c>
      <c r="B10" s="56"/>
      <c r="C10" s="56"/>
      <c r="D10" s="56"/>
    </row>
    <row r="11" customFormat="false" ht="18" hidden="false" customHeight="true" outlineLevel="0" collapsed="false">
      <c r="A11" s="9" t="s">
        <v>424</v>
      </c>
      <c r="B11" s="57" t="n">
        <f aca="false">COUNTIF('Sales Log'!$A$5:$A$54,"&lt;&gt;")</f>
        <v>1</v>
      </c>
      <c r="D11" s="58" t="s">
        <v>425</v>
      </c>
    </row>
    <row r="12" customFormat="false" ht="18" hidden="false" customHeight="true" outlineLevel="0" collapsed="false">
      <c r="A12" s="9" t="s">
        <v>426</v>
      </c>
      <c r="B12" s="59" t="n">
        <f aca="false">SUM('Sales Log'!$C$5:$C$54)</f>
        <v>11500</v>
      </c>
      <c r="D12" s="58" t="s">
        <v>427</v>
      </c>
    </row>
    <row r="13" customFormat="false" ht="18" hidden="false" customHeight="true" outlineLevel="0" collapsed="false">
      <c r="A13" s="9" t="s">
        <v>428</v>
      </c>
      <c r="B13" s="59" t="n">
        <f aca="false">SUM('Sales Log'!$G$5:$G$54)</f>
        <v>9200</v>
      </c>
      <c r="D13" s="58" t="s">
        <v>429</v>
      </c>
    </row>
    <row r="14" customFormat="false" ht="18" hidden="false" customHeight="true" outlineLevel="0" collapsed="false">
      <c r="A14" s="9" t="s">
        <v>430</v>
      </c>
      <c r="B14" s="59" t="n">
        <f aca="false">SUM('Sales Log'!$I$5:$I$54)</f>
        <v>6767</v>
      </c>
      <c r="D14" s="58" t="s">
        <v>431</v>
      </c>
    </row>
    <row r="15" customFormat="false" ht="31.5" hidden="false" customHeight="true" outlineLevel="0" collapsed="false">
      <c r="A15" s="9" t="s">
        <v>432</v>
      </c>
      <c r="B15" s="60" t="n">
        <f aca="false">IF($B$8=0,"n/a",SUM('Sales Log'!$I$5:$I$54)/$B$8)</f>
        <v>615.181818181818</v>
      </c>
      <c r="D15" s="58" t="s">
        <v>433</v>
      </c>
    </row>
    <row r="17" customFormat="false" ht="15" hidden="false" customHeight="true" outlineLevel="0" collapsed="false">
      <c r="A17" s="55" t="s">
        <v>434</v>
      </c>
      <c r="B17" s="56"/>
      <c r="C17" s="56"/>
      <c r="D17" s="56"/>
    </row>
    <row r="18" customFormat="false" ht="31.5" hidden="false" customHeight="true" outlineLevel="0" collapsed="false">
      <c r="A18" s="9" t="s">
        <v>435</v>
      </c>
      <c r="B18" s="61" t="n">
        <f aca="false">IF(($B$4+COUNTIF('Sales Log'!$A$5:$A$54,"&lt;&gt;"))=0,"n/a",COUNTIF('Sales Log'!$A$5:$A$54,"&lt;&gt;")/($B$4+COUNTIF('Sales Log'!$A$5:$A$54,"&lt;&gt;")))</f>
        <v>0.5</v>
      </c>
      <c r="D18" s="58" t="s">
        <v>436</v>
      </c>
    </row>
    <row r="19" customFormat="false" ht="18" hidden="false" customHeight="true" outlineLevel="0" collapsed="false">
      <c r="A19" s="9" t="s">
        <v>437</v>
      </c>
      <c r="B19" s="61" t="n">
        <f aca="false">Assumptions!$B$6</f>
        <v>0.02</v>
      </c>
      <c r="D19" s="58" t="s">
        <v>438</v>
      </c>
    </row>
    <row r="20" customFormat="false" ht="18" hidden="false" customHeight="true" outlineLevel="0" collapsed="false">
      <c r="A20" s="9" t="s">
        <v>439</v>
      </c>
      <c r="B20" s="62" t="n">
        <f aca="false">$B$4*Assumptions!$B$6</f>
        <v>0.02</v>
      </c>
      <c r="D20" s="58" t="s">
        <v>440</v>
      </c>
    </row>
    <row r="22" customFormat="false" ht="15" hidden="false" customHeight="true" outlineLevel="0" collapsed="false">
      <c r="A22" s="55" t="s">
        <v>441</v>
      </c>
      <c r="B22" s="56"/>
      <c r="C22" s="56"/>
      <c r="D22" s="56"/>
    </row>
    <row r="23" customFormat="false" ht="18" hidden="false" customHeight="true" outlineLevel="0" collapsed="false">
      <c r="A23" s="9" t="s">
        <v>442</v>
      </c>
      <c r="B23" s="57" t="n">
        <f aca="false">COUNTIF(Candidates!$A$5:$A$204,"&lt;&gt;")</f>
        <v>108</v>
      </c>
      <c r="D23" s="58" t="s">
        <v>443</v>
      </c>
    </row>
    <row r="24" customFormat="false" ht="18" hidden="false" customHeight="true" outlineLevel="0" collapsed="false">
      <c r="A24" s="9" t="s">
        <v>444</v>
      </c>
      <c r="B24" s="57" t="n">
        <f aca="false">COUNTIF(Candidates!$T$5:$T$204,"BUY")</f>
        <v>39</v>
      </c>
      <c r="D24" s="58" t="s">
        <v>445</v>
      </c>
    </row>
    <row r="25" customFormat="false" ht="18" hidden="false" customHeight="true" outlineLevel="0" collapsed="false">
      <c r="A25" s="9" t="s">
        <v>446</v>
      </c>
      <c r="B25" s="57" t="n">
        <f aca="false">COUNTIF(Candidates!$T$5:$T$204,"BUY IF CHEAPER")</f>
        <v>10</v>
      </c>
      <c r="D25" s="58" t="s">
        <v>447</v>
      </c>
    </row>
    <row r="26" customFormat="false" ht="18" hidden="false" customHeight="true" outlineLevel="0" collapsed="false">
      <c r="A26" s="9" t="s">
        <v>448</v>
      </c>
      <c r="B26" s="57" t="n">
        <f aca="false">COUNTIF(Candidates!$T$5:$T$204,"WATCH")</f>
        <v>50</v>
      </c>
      <c r="D26" s="58" t="s">
        <v>449</v>
      </c>
    </row>
    <row r="27" customFormat="false" ht="18" hidden="false" customHeight="true" outlineLevel="0" collapsed="false">
      <c r="A27" s="9" t="s">
        <v>450</v>
      </c>
      <c r="B27" s="57" t="n">
        <f aca="false">COUNTIF(Candidates!$T$5:$T$204,"PASS")+COUNTIF(Candidates!$T$5:$T$204,"REJECT")</f>
        <v>9</v>
      </c>
      <c r="D27" s="58" t="s">
        <v>451</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58"/>
    <col collapsed="false" customWidth="true" hidden="false" outlineLevel="0" max="5" min="5" style="1" width="46"/>
  </cols>
  <sheetData>
    <row r="1" customFormat="false" ht="24" hidden="false" customHeight="true" outlineLevel="0" collapsed="false">
      <c r="A1" s="2" t="s">
        <v>452</v>
      </c>
      <c r="B1" s="2"/>
      <c r="C1" s="2"/>
      <c r="D1" s="2"/>
      <c r="E1" s="2"/>
    </row>
    <row r="3" customFormat="false" ht="45.75" hidden="false" customHeight="true" outlineLevel="0" collapsed="false">
      <c r="A3" s="63" t="s">
        <v>453</v>
      </c>
    </row>
    <row r="5" customFormat="false" ht="42" hidden="false" customHeight="true" outlineLevel="0" collapsed="false">
      <c r="A5" s="8" t="s">
        <v>454</v>
      </c>
      <c r="B5" s="8" t="s">
        <v>38</v>
      </c>
      <c r="C5" s="8" t="s">
        <v>455</v>
      </c>
      <c r="D5" s="8" t="s">
        <v>456</v>
      </c>
      <c r="E5" s="8" t="s">
        <v>457</v>
      </c>
    </row>
    <row r="6" customFormat="false" ht="30" hidden="false" customHeight="true" outlineLevel="0" collapsed="false">
      <c r="A6" s="19" t="s">
        <v>458</v>
      </c>
      <c r="B6" s="38" t="s">
        <v>459</v>
      </c>
      <c r="C6" s="38" t="s">
        <v>460</v>
      </c>
      <c r="D6" s="9" t="s">
        <v>461</v>
      </c>
      <c r="E6" s="9" t="s">
        <v>462</v>
      </c>
    </row>
    <row r="7" customFormat="false" ht="30" hidden="false" customHeight="true" outlineLevel="0" collapsed="false">
      <c r="A7" s="19" t="s">
        <v>463</v>
      </c>
      <c r="B7" s="38" t="s">
        <v>464</v>
      </c>
      <c r="C7" s="38" t="s">
        <v>460</v>
      </c>
      <c r="D7" s="9" t="s">
        <v>465</v>
      </c>
      <c r="E7" s="9" t="s">
        <v>462</v>
      </c>
    </row>
    <row r="8" customFormat="false" ht="30" hidden="false" customHeight="true" outlineLevel="0" collapsed="false">
      <c r="A8" s="19" t="s">
        <v>466</v>
      </c>
      <c r="B8" s="38" t="s">
        <v>467</v>
      </c>
      <c r="C8" s="38" t="s">
        <v>460</v>
      </c>
      <c r="D8" s="9" t="s">
        <v>468</v>
      </c>
      <c r="E8" s="9" t="s">
        <v>462</v>
      </c>
    </row>
    <row r="9" customFormat="false" ht="30" hidden="false" customHeight="true" outlineLevel="0" collapsed="false">
      <c r="A9" s="19" t="s">
        <v>469</v>
      </c>
      <c r="B9" s="38" t="s">
        <v>470</v>
      </c>
      <c r="C9" s="38" t="s">
        <v>471</v>
      </c>
      <c r="D9" s="9" t="s">
        <v>472</v>
      </c>
      <c r="E9" s="9" t="s">
        <v>473</v>
      </c>
    </row>
    <row r="10" customFormat="false" ht="30" hidden="false" customHeight="true" outlineLevel="0" collapsed="false">
      <c r="A10" s="19" t="s">
        <v>474</v>
      </c>
      <c r="B10" s="38" t="s">
        <v>475</v>
      </c>
      <c r="C10" s="38" t="s">
        <v>460</v>
      </c>
      <c r="D10" s="9" t="s">
        <v>476</v>
      </c>
      <c r="E10" s="9" t="s">
        <v>462</v>
      </c>
    </row>
    <row r="11" customFormat="false" ht="30" hidden="false" customHeight="true" outlineLevel="0" collapsed="false">
      <c r="A11" s="19" t="s">
        <v>477</v>
      </c>
      <c r="B11" s="38" t="s">
        <v>478</v>
      </c>
      <c r="C11" s="38" t="s">
        <v>460</v>
      </c>
      <c r="D11" s="9" t="s">
        <v>479</v>
      </c>
      <c r="E11" s="9" t="s">
        <v>462</v>
      </c>
    </row>
    <row r="12" customFormat="false" ht="30" hidden="false" customHeight="true" outlineLevel="0" collapsed="false">
      <c r="A12" s="19" t="s">
        <v>480</v>
      </c>
      <c r="B12" s="38" t="s">
        <v>481</v>
      </c>
      <c r="C12" s="38" t="s">
        <v>460</v>
      </c>
      <c r="D12" s="9" t="s">
        <v>482</v>
      </c>
      <c r="E12" s="9" t="s">
        <v>462</v>
      </c>
    </row>
    <row r="13" customFormat="false" ht="30" hidden="false" customHeight="true" outlineLevel="0" collapsed="false">
      <c r="A13" s="19" t="s">
        <v>483</v>
      </c>
      <c r="B13" s="38" t="s">
        <v>484</v>
      </c>
      <c r="C13" s="38" t="s">
        <v>460</v>
      </c>
      <c r="D13" s="9" t="s">
        <v>482</v>
      </c>
      <c r="E13" s="9" t="s">
        <v>462</v>
      </c>
    </row>
    <row r="14" customFormat="false" ht="30" hidden="false" customHeight="true" outlineLevel="0" collapsed="false">
      <c r="A14" s="19" t="s">
        <v>485</v>
      </c>
      <c r="B14" s="38" t="s">
        <v>486</v>
      </c>
      <c r="C14" s="38" t="s">
        <v>460</v>
      </c>
      <c r="D14" s="9" t="s">
        <v>487</v>
      </c>
      <c r="E14" s="9" t="s">
        <v>462</v>
      </c>
    </row>
    <row r="15" customFormat="false" ht="30" hidden="false" customHeight="true" outlineLevel="0" collapsed="false">
      <c r="A15" s="19" t="s">
        <v>488</v>
      </c>
      <c r="B15" s="38" t="s">
        <v>489</v>
      </c>
      <c r="C15" s="38" t="s">
        <v>460</v>
      </c>
      <c r="D15" s="9" t="s">
        <v>490</v>
      </c>
      <c r="E15" s="9" t="s">
        <v>473</v>
      </c>
    </row>
    <row r="16" customFormat="false" ht="30" hidden="false" customHeight="true" outlineLevel="0" collapsed="false">
      <c r="A16" s="19" t="s">
        <v>491</v>
      </c>
      <c r="B16" s="38" t="s">
        <v>492</v>
      </c>
      <c r="C16" s="38" t="s">
        <v>471</v>
      </c>
      <c r="D16" s="9" t="s">
        <v>493</v>
      </c>
      <c r="E16" s="9" t="s">
        <v>473</v>
      </c>
    </row>
    <row r="17" customFormat="false" ht="30" hidden="false" customHeight="true" outlineLevel="0" collapsed="false">
      <c r="A17" s="19" t="s">
        <v>494</v>
      </c>
      <c r="B17" s="38" t="s">
        <v>495</v>
      </c>
      <c r="C17" s="38" t="s">
        <v>460</v>
      </c>
      <c r="D17" s="9" t="s">
        <v>496</v>
      </c>
      <c r="E17" s="9" t="s">
        <v>497</v>
      </c>
    </row>
    <row r="18" customFormat="false" ht="30" hidden="false" customHeight="true" outlineLevel="0" collapsed="false">
      <c r="A18" s="19" t="s">
        <v>498</v>
      </c>
      <c r="B18" s="38" t="s">
        <v>499</v>
      </c>
      <c r="C18" s="38" t="s">
        <v>460</v>
      </c>
      <c r="D18" s="9" t="s">
        <v>500</v>
      </c>
      <c r="E18" s="9" t="s">
        <v>501</v>
      </c>
    </row>
    <row r="19" customFormat="false" ht="30" hidden="false" customHeight="true" outlineLevel="0" collapsed="false">
      <c r="A19" s="19" t="s">
        <v>502</v>
      </c>
      <c r="B19" s="38" t="s">
        <v>503</v>
      </c>
      <c r="C19" s="38" t="s">
        <v>460</v>
      </c>
      <c r="D19" s="9" t="s">
        <v>504</v>
      </c>
      <c r="E19" s="9" t="s">
        <v>505</v>
      </c>
    </row>
    <row r="20" customFormat="false" ht="30" hidden="false" customHeight="true" outlineLevel="0" collapsed="false">
      <c r="A20" s="19" t="s">
        <v>506</v>
      </c>
      <c r="B20" s="38" t="s">
        <v>507</v>
      </c>
      <c r="C20" s="38" t="s">
        <v>460</v>
      </c>
      <c r="D20" s="9" t="s">
        <v>508</v>
      </c>
      <c r="E20" s="9" t="s">
        <v>509</v>
      </c>
    </row>
    <row r="21" customFormat="false" ht="30" hidden="false" customHeight="true" outlineLevel="0" collapsed="false">
      <c r="A21" s="19" t="s">
        <v>510</v>
      </c>
      <c r="B21" s="38" t="s">
        <v>511</v>
      </c>
      <c r="C21" s="38" t="s">
        <v>460</v>
      </c>
      <c r="D21" s="9" t="s">
        <v>512</v>
      </c>
      <c r="E21" s="9" t="s">
        <v>509</v>
      </c>
    </row>
    <row r="22" customFormat="false" ht="30" hidden="false" customHeight="true" outlineLevel="0" collapsed="false">
      <c r="A22" s="19" t="s">
        <v>513</v>
      </c>
      <c r="B22" s="38" t="s">
        <v>514</v>
      </c>
      <c r="C22" s="38" t="s">
        <v>460</v>
      </c>
      <c r="D22" s="9" t="s">
        <v>515</v>
      </c>
      <c r="E22" s="9" t="s">
        <v>516</v>
      </c>
    </row>
    <row r="24" customFormat="false" ht="15" hidden="false" customHeight="true" outlineLevel="0" collapsed="false">
      <c r="A24" s="64" t="s">
        <v>517</v>
      </c>
    </row>
    <row r="25" customFormat="false" ht="15" hidden="false" customHeight="true" outlineLevel="0" collapsed="false">
      <c r="A25" s="65" t="s">
        <v>518</v>
      </c>
      <c r="B25" s="65"/>
      <c r="C25" s="65"/>
      <c r="D25" s="65"/>
      <c r="E25" s="65"/>
    </row>
    <row r="26" customFormat="false" ht="15" hidden="false" customHeight="true" outlineLevel="0" collapsed="false">
      <c r="A26" s="65" t="s">
        <v>519</v>
      </c>
      <c r="B26" s="65"/>
      <c r="C26" s="65"/>
      <c r="D26" s="65"/>
      <c r="E26" s="65"/>
    </row>
    <row r="27" customFormat="false" ht="15" hidden="false" customHeight="true" outlineLevel="0" collapsed="false">
      <c r="A27" s="65" t="s">
        <v>520</v>
      </c>
      <c r="B27" s="65"/>
      <c r="C27" s="65"/>
      <c r="D27" s="65"/>
      <c r="E27" s="65"/>
    </row>
    <row r="28" customFormat="false" ht="15" hidden="false" customHeight="true" outlineLevel="0" collapsed="false">
      <c r="A28" s="65" t="s">
        <v>521</v>
      </c>
      <c r="B28" s="65"/>
      <c r="C28" s="65"/>
      <c r="D28" s="65"/>
      <c r="E28" s="65"/>
    </row>
    <row r="29" customFormat="false" ht="15" hidden="false" customHeight="true" outlineLevel="0" collapsed="false">
      <c r="A29" s="65" t="s">
        <v>522</v>
      </c>
      <c r="B29" s="65"/>
      <c r="C29" s="65"/>
      <c r="D29" s="65"/>
      <c r="E29" s="65"/>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2026-08-03T16:44:41Z</dcterms:created>
  <dc:creator>openpyxl</dc:creator>
  <dc:description/>
  <dc:language>en-US</dc:language>
  <cp:lastModifiedBy/>
  <dcterms:modified xsi:type="dcterms:W3CDTF">2026-08-03T18:09:00Z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