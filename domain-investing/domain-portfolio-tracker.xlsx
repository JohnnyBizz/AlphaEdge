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Rubric" sheetId="3" state="visible" r:id="rId5"/>
    <sheet name="Candidates" sheetId="4" state="visible" r:id="rId6"/>
    <sheet name="Portfolio" sheetId="5" state="visible" r:id="rId7"/>
    <sheet name="Sales Log" sheetId="6" state="visible" r:id="rId8"/>
    <sheet name="Dashboard" sheetId="7" state="visible" r:id="rId9"/>
    <sheet name="Comps" sheetId="8" state="visible" r:id="rId10"/>
  </sheets>
  <definedNames>
    <definedName function="false" hidden="true" localSheetId="3" name="_xlnm._FilterDatabase" vbProcedure="false">Candidates!$A$4:$V$84</definedName>
    <definedName function="false" hidden="true" localSheetId="4" name="_xlnm._FilterDatabase" vbProcedure="false">Portfolio!$A$4:$N$104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E4" authorId="0">
      <text>
        <r>
          <rPr>
            <sz val="10"/>
            <rFont val="Arial"/>
            <family val="2"/>
          </rPr>
          <t xml:space="preserve">Score this against the Comps tab. If you cannot name a comparable sale, this is a 1 or 2 — not a 3.</t>
        </r>
      </text>
    </comment>
    <comment ref="S4" authorId="0">
      <text>
        <r>
          <rPr>
            <sz val="10"/>
            <rFont val="Arial"/>
            <family val="2"/>
          </rPr>
          <t xml:space="preserve">Max Rational Bid = (net proceeds after commission x probability of selling within the horizon) minus total renewal carry over that horizon. Pay more than this and the name is negative expected value even if your resale estimate is right.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Recalculates against today's date every time the file is opened.</t>
        </r>
      </text>
    </comment>
    <comment ref="K4" authorId="0">
      <text>
        <r>
          <rPr>
            <sz val="10"/>
            <rFont val="Arial"/>
            <family val="2"/>
          </rPr>
          <t xml:space="preserve">Total cost basis grossed up for commission: basis / (1 - commission rate). List below this and the sale loses money after GoDaddy takes its cut.</t>
        </r>
      </text>
    </comment>
  </commentList>
</comments>
</file>

<file path=xl/sharedStrings.xml><?xml version="1.0" encoding="utf-8"?>
<sst xmlns="http://schemas.openxmlformats.org/spreadsheetml/2006/main" count="630" uniqueCount="419">
  <si>
    <t xml:space="preserve">Domain Investing — Rubric &amp; Portfolio Tracker</t>
  </si>
  <si>
    <t xml:space="preserve">HOW TO USE THIS FILE</t>
  </si>
  <si>
    <t xml:space="preserve">1. Assumptions</t>
  </si>
  <si>
    <t xml:space="preserve">Set your commission rate, sell-through rate and holding horizon FIRST. Every max-bid and break-even number in the file is driven off this tab.</t>
  </si>
  <si>
    <t xml:space="preserve">2. Rubric</t>
  </si>
  <si>
    <t xml:space="preserve">Read the scoring definitions. Adjust the six weights if you disagree — they must sum to 100%. The Weight Check cell turns red if they don't.</t>
  </si>
  <si>
    <t xml:space="preserve">3. Candidates</t>
  </si>
  <si>
    <t xml:space="preserve">One row per name you are considering. Score the five manual criteria 1-5, enter your acquisition cost and honest resale estimate. The sheet returns a weighted score, a max rational bid, and a verdict.</t>
  </si>
  <si>
    <t xml:space="preserve">4. Portfolio</t>
  </si>
  <si>
    <t xml:space="preserve">One row per name you actually own. Tracks cumulative renewal carry and the list price you need to break even after commission.</t>
  </si>
  <si>
    <t xml:space="preserve">5. Sales Log</t>
  </si>
  <si>
    <t xml:space="preserve">One row per sale. Feeds realised P&amp;L and your true sell-through rate.</t>
  </si>
  <si>
    <t xml:space="preserve">6. Dashboard</t>
  </si>
  <si>
    <t xml:space="preserve">Read-only summary. The number to watch is Annual Renewal Burden vs. Realised Net Profit.</t>
  </si>
  <si>
    <t xml:space="preserve">7. Comps</t>
  </si>
  <si>
    <t xml:space="preserve">Reference sales and market benchmarks with sources, for calibrating the Comp Support score.</t>
  </si>
  <si>
    <t xml:space="preserve">COLOUR LEGEND</t>
  </si>
  <si>
    <t xml:space="preserve">Blue text</t>
  </si>
  <si>
    <t xml:space="preserve">You type here. These are inputs.</t>
  </si>
  <si>
    <t xml:space="preserve">Yellow fill</t>
  </si>
  <si>
    <t xml:space="preserve">Key assumption — the numbers most worth arguing about.</t>
  </si>
  <si>
    <t xml:space="preserve">Black text</t>
  </si>
  <si>
    <t xml:space="preserve">Formula. Do not overwrite.</t>
  </si>
  <si>
    <t xml:space="preserve">Green text</t>
  </si>
  <si>
    <t xml:space="preserve">Formula that pulls from another sheet. Do not overwrite.</t>
  </si>
  <si>
    <t xml:space="preserve">Orange row</t>
  </si>
  <si>
    <t xml:space="preserve">EXAMPLE ROW showing the expected format. Delete it before you start.</t>
  </si>
  <si>
    <t xml:space="preserve">THE ONE THING TO REMEMBER</t>
  </si>
  <si>
    <t xml:space="preserve">Carry kills portfolios</t>
  </si>
  <si>
    <t xml:space="preserve">At a 2% sell-through rate you sell roughly one name per fifty per year, while paying renewals on all fifty. A name is only worth owning if its expected net proceeds beat its expected carry over your holding horizon. That comparison is the Max Rational Bid column on the Candidates tab — if your acquisition cost is above it, the name loses money on average no matter how good it sounds.</t>
  </si>
  <si>
    <t xml:space="preserve">Availability</t>
  </si>
  <si>
    <t xml:space="preserve">This file does not check whether a domain is registered. Column A holds the full domain, so select it, copy, and paste straight into GoDaddy's bulk search (up to 500 at a time), then mark the result in the Availability column. The Ext column derives itself from column A — do not type into it.</t>
  </si>
  <si>
    <t xml:space="preserve">Appraisals</t>
  </si>
  <si>
    <t xml:space="preserve">GoDaddy's automated appraisal is not evidence. Use the Comp Support score instead — it asks whether comparable names have actually sold, which is the only valuation signal with a buyer behind it.</t>
  </si>
  <si>
    <t xml:space="preserve">Built</t>
  </si>
  <si>
    <t xml:space="preserve">2026-08-03. Market benchmarks on the Comps tab are as-published; re-check before relying on them.</t>
  </si>
  <si>
    <t xml:space="preserve">Assumptions — set these before anything else</t>
  </si>
  <si>
    <t xml:space="preserve">Assumption</t>
  </si>
  <si>
    <t xml:space="preserve">Value</t>
  </si>
  <si>
    <t xml:space="preserve">Unit</t>
  </si>
  <si>
    <t xml:space="preserve">Why it matters / source</t>
  </si>
  <si>
    <t xml:space="preserve">Commission rate on sale</t>
  </si>
  <si>
    <t xml:space="preserve">%</t>
  </si>
  <si>
    <t xml:space="preserve">Afternic/GoDaddy: 30% on Boost, 25% Basic; drops to 20% (Boost) or 15% (Basic) if you point the domain at GoDaddy aftermarket nameservers. 20% assumes Boost + GD nameservers.</t>
  </si>
  <si>
    <t xml:space="preserve">Minimum commission per sale</t>
  </si>
  <si>
    <t xml:space="preserve">USD</t>
  </si>
  <si>
    <t xml:space="preserve">GoDaddy applies a $15 floor. Only bites on sub-$100 sales.</t>
  </si>
  <si>
    <t xml:space="preserve">Expected sell-through rate (per year)</t>
  </si>
  <si>
    <t xml:space="preserve">Industry norm is 1.5-2% of listed names per year; 1-5% is considered healthy. Raise this only once your own Sales Log justifies it.</t>
  </si>
  <si>
    <t xml:space="preserve">Holding horizon (years)</t>
  </si>
  <si>
    <t xml:space="preserve">years</t>
  </si>
  <si>
    <t xml:space="preserve">Typical time-to-sale for ordinary inventory is 5-10 years. This is the window the max-bid maths assumes you are willing to fund renewals for.</t>
  </si>
  <si>
    <t xml:space="preserve">Default annual renewal — .com</t>
  </si>
  <si>
    <t xml:space="preserve">Typical .com renewal. Override per name where different.</t>
  </si>
  <si>
    <t xml:space="preserve">Default annual renewal — premium TLD</t>
  </si>
  <si>
    <t xml:space="preserve">.ai/.io renewals run far higher and are the main reason trendy-TLD portfolios lose money at low sell-through rates.</t>
  </si>
  <si>
    <t xml:space="preserve">Required return multiple on cost</t>
  </si>
  <si>
    <t xml:space="preserve">x</t>
  </si>
  <si>
    <t xml:space="preserve">Minimum sale-price-to-acquisition-cost ratio you will accept, used to set target list prices. 10x on a $12 hand-reg is a $120 name — set this high, most names never sell at all.</t>
  </si>
  <si>
    <t xml:space="preserve">DERIVED — do not edit</t>
  </si>
  <si>
    <t xml:space="preserve">Probability a listed name sells within the horizon</t>
  </si>
  <si>
    <t xml:space="preserve">1 minus the chance it fails to sell every year running. This single number is why most portfolios lose money: over 5 years at a 2% annual rate, roughly 9 names in 10 do not sell at all.</t>
  </si>
  <si>
    <t xml:space="preserve">Expected renewal carry per name over horizon (.com)</t>
  </si>
  <si>
    <t xml:space="preserve">What you pay to keep one .com alive for the full horizon, win or lose.</t>
  </si>
  <si>
    <t xml:space="preserve">Scoring Rubric — six weighted criteria, scored 1 to 5</t>
  </si>
  <si>
    <t xml:space="preserve">Weights drive the Candidates tab. Edit the blue cells if you disagree; they must sum to 100%.</t>
  </si>
  <si>
    <t xml:space="preserve">Criterion</t>
  </si>
  <si>
    <t xml:space="preserve">Weight</t>
  </si>
  <si>
    <t xml:space="preserve">Score 1 — avoid</t>
  </si>
  <si>
    <t xml:space="preserve">Score 3 — marginal</t>
  </si>
  <si>
    <t xml:space="preserve">Score 5 — strong</t>
  </si>
  <si>
    <t xml:space="preserve">Extension</t>
  </si>
  <si>
    <t xml:space="preserve">New gTLD (.shop, .xyz, .link) or an obscure ccTLD. Supply is about to expand further when ICANN reopens the new-gTLD window.</t>
  </si>
  <si>
    <t xml:space="preserve">.co, .net, .org, or a strong country ccTLD. Sells, but at a fraction of .com.</t>
  </si>
  <si>
    <t xml:space="preserve">.com. Every one of 2026's largest sales was a .com. .ai is a genuine second tier for AI-native buyers but carries a much higher renewal.</t>
  </si>
  <si>
    <t xml:space="preserve">Commercial intent</t>
  </si>
  <si>
    <t xml:space="preserve">Hobby, meme, or personal-interest term. Nobody monetises it, so nobody bids.</t>
  </si>
  <si>
    <t xml:space="preserve">Real commercial term, but low customer value or a thin buyer pool.</t>
  </si>
  <si>
    <t xml:space="preserve">Term in a sector where one customer is worth thousands — finance, insurance, legal, medical, real estate, B2B SaaS. A $3k domain is a rounding error to that buyer.</t>
  </si>
  <si>
    <t xml:space="preserve">Comp support</t>
  </si>
  <si>
    <t xml:space="preserve">No comparable sale you can point to. You are guessing.</t>
  </si>
  <si>
    <t xml:space="preserve">Loosely similar names have sold, but at scattered prices or years ago.</t>
  </si>
  <si>
    <t xml:space="preserve">Several closely comparable names sold recently at prices you can cite. This is the only valuation input with an actual buyer behind it.</t>
  </si>
  <si>
    <t xml:space="preserve">Length &amp; memorability</t>
  </si>
  <si>
    <t xml:space="preserve">Four or more words, over ~20 characters, or a forgettable string.</t>
  </si>
  <si>
    <t xml:space="preserve">Two or three words, reasonable length, unremarkable.</t>
  </si>
  <si>
    <t xml:space="preserve">One strong dictionary word, or a tight two-word pairing. Short 4-5 character .com remains the most valuable class there is.</t>
  </si>
  <si>
    <t xml:space="preserve">Radio test</t>
  </si>
  <si>
    <t xml:space="preserve">Has to be spelled out. Homophone traps, doubled letters, invented spellings.</t>
  </si>
  <si>
    <t xml:space="preserve">Mostly clear, occasional spelling correction needed.</t>
  </si>
  <si>
    <t xml:space="preserve">Say it once on a phone call and the other person types it correctly.</t>
  </si>
  <si>
    <t xml:space="preserve">Acquisition margin</t>
  </si>
  <si>
    <t xml:space="preserve">Asking price is at or above what you think it resells for.</t>
  </si>
  <si>
    <t xml:space="preserve">Some headroom, but thin after commission and carry.</t>
  </si>
  <si>
    <t xml:space="preserve">Buying well under estimated resale value — expired auction, drop catch, or an underpriced listing.</t>
  </si>
  <si>
    <t xml:space="preserve">Weight check</t>
  </si>
  <si>
    <t xml:space="preserve">EXTENSION LOOKUP — used automatically by the Candidates tab</t>
  </si>
  <si>
    <t xml:space="preserve">Score</t>
  </si>
  <si>
    <t xml:space="preserve">Typical annual renewal</t>
  </si>
  <si>
    <t xml:space="preserve">Note</t>
  </si>
  <si>
    <t xml:space="preserve">com</t>
  </si>
  <si>
    <t xml:space="preserve">The default. Dominates every top-sales chart.</t>
  </si>
  <si>
    <t xml:space="preserve">ai</t>
  </si>
  <si>
    <t xml:space="preserve">Real demand, premium resale averages around $6.5k — but the renewal is the trap.</t>
  </si>
  <si>
    <t xml:space="preserve">io</t>
  </si>
  <si>
    <t xml:space="preserve">Startup-friendly, high renewal, softening as .ai takes the tech mindshare.</t>
  </si>
  <si>
    <t xml:space="preserve">co</t>
  </si>
  <si>
    <t xml:space="preserve">Credible .com alternative, sells at a steep discount to it.</t>
  </si>
  <si>
    <t xml:space="preserve">net</t>
  </si>
  <si>
    <t xml:space="preserve">Old and trusted, limited upside.</t>
  </si>
  <si>
    <t xml:space="preserve">org</t>
  </si>
  <si>
    <t xml:space="preserve">Strong for nonprofit/institutional buyers, narrow otherwise.</t>
  </si>
  <si>
    <t xml:space="preserve">app</t>
  </si>
  <si>
    <t xml:space="preserve">Niche, mostly end-user rather than investor demand.</t>
  </si>
  <si>
    <t xml:space="preserve">dev</t>
  </si>
  <si>
    <t xml:space="preserve">Same — developer tools, thin aftermarket.</t>
  </si>
  <si>
    <t xml:space="preserve">xyz</t>
  </si>
  <si>
    <t xml:space="preserve">High volume, low realised prices.</t>
  </si>
  <si>
    <t xml:space="preserve">other</t>
  </si>
  <si>
    <t xml:space="preserve">Default for anything unlisted. Assume the market is thin.</t>
  </si>
  <si>
    <t xml:space="preserve">HARD FILTERS — any one of these rejects the name regardless of score</t>
  </si>
  <si>
    <t xml:space="preserve">REJECT if:</t>
  </si>
  <si>
    <t xml:space="preserve">Trademark risk — contains or closely mimics an existing brand. A UDRP complaint costs you the name and the legal fee, and intent to resell is exactly what the process punishes.</t>
  </si>
  <si>
    <t xml:space="preserve">Contains a hyphen or a digit. Both collapse resale value and fail the radio test.</t>
  </si>
  <si>
    <t xml:space="preserve">Four or more words.</t>
  </si>
  <si>
    <t xml:space="preserve">Plural/singular confusion with an established site you would be trading off.</t>
  </si>
  <si>
    <t xml:space="preserve">VERDICT THRESHOLDS</t>
  </si>
  <si>
    <t xml:space="preserve">Verdict</t>
  </si>
  <si>
    <t xml:space="preserve">Condition</t>
  </si>
  <si>
    <t xml:space="preserve">Meaning</t>
  </si>
  <si>
    <t xml:space="preserve">BUY</t>
  </si>
  <si>
    <t xml:space="preserve">Score &gt;= 4.00 and cost &lt;= max rational bid</t>
  </si>
  <si>
    <t xml:space="preserve">Passes both the quality bar and the maths.</t>
  </si>
  <si>
    <t xml:space="preserve">BUY IF CHEAPER</t>
  </si>
  <si>
    <t xml:space="preserve">Score &gt;= 4.00 but cost &gt; max rational bid</t>
  </si>
  <si>
    <t xml:space="preserve">Good name, wrong price. Bid the max rational bid and walk if it goes higher.</t>
  </si>
  <si>
    <t xml:space="preserve">WATCH</t>
  </si>
  <si>
    <t xml:space="preserve">Score 3.20 - 3.99</t>
  </si>
  <si>
    <t xml:space="preserve">Borderline. Only take it at a low acquisition cost.</t>
  </si>
  <si>
    <t xml:space="preserve">PASS</t>
  </si>
  <si>
    <t xml:space="preserve">Score &lt; 3.20</t>
  </si>
  <si>
    <t xml:space="preserve">Below the bar.</t>
  </si>
  <si>
    <t xml:space="preserve">REJECT</t>
  </si>
  <si>
    <t xml:space="preserve">Any hard filter failed</t>
  </si>
  <si>
    <t xml:space="preserve">Do not buy at any price.</t>
  </si>
  <si>
    <t xml:space="preserve">Candidate Pipeline — names under consideration</t>
  </si>
  <si>
    <t xml:space="preserve">Niche 1: equipment financing &amp; commercial lending. Availability and pricing checked at GoDaddy 2026-08-03: 20 of 56 available (6 at registration price, 14 premium-listed), 36 taken. Premium figures are ASKING prices set by the current holder, not sale comps — do not feed them back into Est. Resale Value.</t>
  </si>
  <si>
    <t xml:space="preserve">Domain (full, e.g. name.com)</t>
  </si>
  <si>
    <t xml:space="preserve">Ext</t>
  </si>
  <si>
    <t xml:space="preserve">Ext Score</t>
  </si>
  <si>
    <t xml:space="preserve">Commercial Intent (1-5)</t>
  </si>
  <si>
    <t xml:space="preserve">Comp Support (1-5)</t>
  </si>
  <si>
    <t xml:space="preserve">Length &amp; Memorability (1-5)</t>
  </si>
  <si>
    <t xml:space="preserve">Radio Test (1-5)</t>
  </si>
  <si>
    <t xml:space="preserve">Acquisition Margin (1-5)</t>
  </si>
  <si>
    <t xml:space="preserve">TM Risk? (Y/N)</t>
  </si>
  <si>
    <t xml:space="preserve">Hyphen/Digit? (Y/N)</t>
  </si>
  <si>
    <t xml:space="preserve">Acquisition Cost</t>
  </si>
  <si>
    <t xml:space="preserve">Est. Resale Value</t>
  </si>
  <si>
    <t xml:space="preserve">Annual Renewal</t>
  </si>
  <si>
    <t xml:space="preserve">Weighted Score</t>
  </si>
  <si>
    <t xml:space="preserve">Hard Filter</t>
  </si>
  <si>
    <t xml:space="preserve">Net After Commission</t>
  </si>
  <si>
    <t xml:space="preserve">P(sale in horizon)</t>
  </si>
  <si>
    <t xml:space="preserve">Expected Carry</t>
  </si>
  <si>
    <t xml:space="preserve">Max Rational Bid</t>
  </si>
  <si>
    <t xml:space="preserve">Availability Checked</t>
  </si>
  <si>
    <t xml:space="preserve">Notes</t>
  </si>
  <si>
    <t xml:space="preserve">workingcapital.com</t>
  </si>
  <si>
    <t xml:space="preserve">N</t>
  </si>
  <si>
    <t xml:space="preserve">Taken</t>
  </si>
  <si>
    <t xml:space="preserve">[T1] Core term, huge buyer pool. Certainly registered — auction/broker target only.</t>
  </si>
  <si>
    <t xml:space="preserve">commerciallending.com</t>
  </si>
  <si>
    <t xml:space="preserve">[T1] Category-defining term. Aftermarket only.</t>
  </si>
  <si>
    <t xml:space="preserve">equipmentfinancing.com</t>
  </si>
  <si>
    <t xml:space="preserve">[T1] The exact-match phrase for the niche. Aftermarket only.</t>
  </si>
  <si>
    <t xml:space="preserve">equipmentleasing.com</t>
  </si>
  <si>
    <t xml:space="preserve">[T1] ELFA's own vocabulary. Aftermarket only.</t>
  </si>
  <si>
    <t xml:space="preserve">invoicefactoring.com</t>
  </si>
  <si>
    <t xml:space="preserve">[T1] High-CPC lending vertical. Aftermarket only.</t>
  </si>
  <si>
    <t xml:space="preserve">merchantcashadvance.com</t>
  </si>
  <si>
    <t xml:space="preserve">[T1] Very high CPC, long string. Aftermarket only.</t>
  </si>
  <si>
    <t xml:space="preserve">assetbasedlending.com</t>
  </si>
  <si>
    <t xml:space="preserve">[T1] ABL is a real institutional category. Aftermarket only.</t>
  </si>
  <si>
    <t xml:space="preserve">saleleaseback.com</t>
  </si>
  <si>
    <t xml:space="preserve">[T1] Structure term; narrower buyer pool than it looks.</t>
  </si>
  <si>
    <t xml:space="preserve">vendorfinancing.com</t>
  </si>
  <si>
    <t xml:space="preserve">[T1] Vendor programs are a major equipment-finance channel.</t>
  </si>
  <si>
    <t xml:space="preserve">equipmentloans.com</t>
  </si>
  <si>
    <t xml:space="preserve">[T1] Shorter and cleaner than 'financing'. Aftermarket only.</t>
  </si>
  <si>
    <t xml:space="preserve">machineryfinancing.com</t>
  </si>
  <si>
    <t xml:space="preserve">[T2] Machine tools / CNC buyers. Check availability.</t>
  </si>
  <si>
    <t xml:space="preserve">forkliftfinancing.com</t>
  </si>
  <si>
    <t xml:space="preserve">[T2] Material handling is a large, financeable category.</t>
  </si>
  <si>
    <t xml:space="preserve">fleetfinancing.com</t>
  </si>
  <si>
    <t xml:space="preserve">[T2] Fleet is high-ticket and repeat-purchase.</t>
  </si>
  <si>
    <t xml:space="preserve">cranefinancing.com</t>
  </si>
  <si>
    <t xml:space="preserve">Available - premium</t>
  </si>
  <si>
    <t xml:space="preserve">[T2] Heavy construction niche, small but wealthy buyer pool.</t>
  </si>
  <si>
    <t xml:space="preserve">truckfinancing.com</t>
  </si>
  <si>
    <t xml:space="preserve">[T2] Trucking is the single biggest equipment-finance vertical.</t>
  </si>
  <si>
    <t xml:space="preserve">trailerfinancing.com</t>
  </si>
  <si>
    <t xml:space="preserve">[T2] Adjacent to trucking.</t>
  </si>
  <si>
    <t xml:space="preserve">dentalfinancing.com</t>
  </si>
  <si>
    <t xml:space="preserve">[T2] Dental practices finance chairs and imaging constantly.</t>
  </si>
  <si>
    <t xml:space="preserve">medicalleasing.com</t>
  </si>
  <si>
    <t xml:space="preserve">[T2] Imaging and diagnostic equipment leasing.</t>
  </si>
  <si>
    <t xml:space="preserve">solarfinancing.com</t>
  </si>
  <si>
    <t xml:space="preserve">[T2] Commercial solar is heavily financed.</t>
  </si>
  <si>
    <t xml:space="preserve">brewingfinancing.com</t>
  </si>
  <si>
    <t xml:space="preserve">Available - reg</t>
  </si>
  <si>
    <t xml:space="preserve">[T2] Narrow. Included as a deliberate low-scorer for contrast.</t>
  </si>
  <si>
    <t xml:space="preserve">kitchenfinancing.com</t>
  </si>
  <si>
    <t xml:space="preserve">[T2] Restaurant build-outs. Ambiguous — reads residential.</t>
  </si>
  <si>
    <t xml:space="preserve">hvacfinancing.com</t>
  </si>
  <si>
    <t xml:space="preserve">[T2] Contractor equipment plus consumer-facing crossover.</t>
  </si>
  <si>
    <t xml:space="preserve">printfinancing.com</t>
  </si>
  <si>
    <t xml:space="preserve">[T2] Commercial printing is a shrinking sector.</t>
  </si>
  <si>
    <t xml:space="preserve">laundryfinancing.com</t>
  </si>
  <si>
    <t xml:space="preserve">[T2] Laundromat equipment is genuinely financed, small pool.</t>
  </si>
  <si>
    <t xml:space="preserve">gymfinancing.com</t>
  </si>
  <si>
    <t xml:space="preserve">[T2] Fitness equipment leasing.</t>
  </si>
  <si>
    <t xml:space="preserve">farmfinancing.com</t>
  </si>
  <si>
    <t xml:space="preserve">[T2] Ag equipment is a major financed category.</t>
  </si>
  <si>
    <t xml:space="preserve">agequipmentloans.com</t>
  </si>
  <si>
    <t xml:space="preserve">[T2] 'ag' reads as ambiguous when spoken. Weak radio test.</t>
  </si>
  <si>
    <t xml:space="preserve">minefinancing.com</t>
  </si>
  <si>
    <t xml:space="preserve">[T2] Mining equipment. 'mine' is a homophone trap.</t>
  </si>
  <si>
    <t xml:space="preserve">equipmentcapital.com</t>
  </si>
  <si>
    <t xml:space="preserve">[T3] Reads like a lender's own name — strong end-user appeal.</t>
  </si>
  <si>
    <t xml:space="preserve">equipmentfunding.com</t>
  </si>
  <si>
    <t xml:space="preserve">[T3] Same pattern as above.</t>
  </si>
  <si>
    <t xml:space="preserve">equipmentlending.com</t>
  </si>
  <si>
    <t xml:space="preserve">leasingcapital.com</t>
  </si>
  <si>
    <t xml:space="preserve">[T3] Generic enough to suit many lessors.</t>
  </si>
  <si>
    <t xml:space="preserve">lendingdesk.com</t>
  </si>
  <si>
    <t xml:space="preserve">[T3] 'Desk' is real institutional finance vocabulary.</t>
  </si>
  <si>
    <t xml:space="preserve">fundingdesk.com</t>
  </si>
  <si>
    <t xml:space="preserve">[T3] Same.</t>
  </si>
  <si>
    <t xml:space="preserve">capitaldesk.com</t>
  </si>
  <si>
    <t xml:space="preserve">creditdesk.com</t>
  </si>
  <si>
    <t xml:space="preserve">termsheet.com</t>
  </si>
  <si>
    <t xml:space="preserve">[T3] One word, real industry term. Almost certainly registered.</t>
  </si>
  <si>
    <t xml:space="preserve">underwrite.com</t>
  </si>
  <si>
    <t xml:space="preserve">[T3] Single dictionary verb, core to lending. Likely registered.</t>
  </si>
  <si>
    <t xml:space="preserve">sba504.com</t>
  </si>
  <si>
    <t xml:space="preserve">Y</t>
  </si>
  <si>
    <t xml:space="preserve">[T3] HARD FILTER DEMO — contains digits. Auto-rejects.</t>
  </si>
  <si>
    <t xml:space="preserve">section179financing.com</t>
  </si>
  <si>
    <t xml:space="preserve">[T3] HARD FILTER DEMO — digits. Also a tax-code term; verify before use.</t>
  </si>
  <si>
    <t xml:space="preserve">commercial-lending.com</t>
  </si>
  <si>
    <t xml:space="preserve">[T3] HARD FILTER DEMO — hyphen. Auto-rejects.</t>
  </si>
  <si>
    <t xml:space="preserve">anvilcapital.com</t>
  </si>
  <si>
    <t xml:space="preserve">[T4] Industrial metaphor, fits equipment finance. Verify TM.</t>
  </si>
  <si>
    <t xml:space="preserve">keelcapital.com</t>
  </si>
  <si>
    <t xml:space="preserve">[T4] Stability metaphor. Verify TM.</t>
  </si>
  <si>
    <t xml:space="preserve">forgelending.com</t>
  </si>
  <si>
    <t xml:space="preserve">[T4] Industrial, credible for a lender.</t>
  </si>
  <si>
    <t xml:space="preserve">quarrycapital.com</t>
  </si>
  <si>
    <t xml:space="preserve">[T4] Extraction/heavy-industry feel.</t>
  </si>
  <si>
    <t xml:space="preserve">millcapital.com</t>
  </si>
  <si>
    <t xml:space="preserve">[T4] Short, industrial.</t>
  </si>
  <si>
    <t xml:space="preserve">girdercapital.com</t>
  </si>
  <si>
    <t xml:space="preserve">[T4] Construction metaphor, slightly obscure.</t>
  </si>
  <si>
    <t xml:space="preserve">axlecapital.com</t>
  </si>
  <si>
    <t xml:space="preserve">[T4] Fleet/trucking flavour.</t>
  </si>
  <si>
    <t xml:space="preserve">torquelending.com</t>
  </si>
  <si>
    <t xml:space="preserve">[T4] Machinery flavour. Torque Capital Group exists — check TM.</t>
  </si>
  <si>
    <t xml:space="preserve">bedrocklending.com</t>
  </si>
  <si>
    <t xml:space="preserve">[T4] TM FLAG — Bedrock Capital is an existing firm. Marked Y to show the filter working.</t>
  </si>
  <si>
    <t xml:space="preserve">lendcraft.com</t>
  </si>
  <si>
    <t xml:space="preserve">[T4] Coined but obvious. Good radio test.</t>
  </si>
  <si>
    <t xml:space="preserve">capstack.com</t>
  </si>
  <si>
    <t xml:space="preserve">[T4] 'Capital stack' is genuine finance vocabulary. Likely registered.</t>
  </si>
  <si>
    <t xml:space="preserve">leaseflow.com</t>
  </si>
  <si>
    <t xml:space="preserve">[T4] SaaS-ish; could suit a lessor or a software buyer.</t>
  </si>
  <si>
    <t xml:space="preserve">fundrig.com</t>
  </si>
  <si>
    <t xml:space="preserve">[T4] Short, oilfield/equipment flavour. Slightly odd.</t>
  </si>
  <si>
    <t xml:space="preserve">assetly.com</t>
  </si>
  <si>
    <t xml:space="preserve">[T4] -ly brandable. Generic, crowded pattern.</t>
  </si>
  <si>
    <t xml:space="preserve">ledgerlend.com</t>
  </si>
  <si>
    <t xml:space="preserve">[T4] Alliterative, a little clunky.</t>
  </si>
  <si>
    <t xml:space="preserve">Portfolio — names you actually own</t>
  </si>
  <si>
    <t xml:space="preserve">Enter the FULL domain in column A (name.com) — Ext derives itself. Blue columns are yours; carry, cost basis and break-even are formulas that update with today's date. Row 5 is an example — delete it.</t>
  </si>
  <si>
    <t xml:space="preserve">Status</t>
  </si>
  <si>
    <t xml:space="preserve">Acquired</t>
  </si>
  <si>
    <t xml:space="preserve">Years Held</t>
  </si>
  <si>
    <t xml:space="preserve">Renewals Paid</t>
  </si>
  <si>
    <t xml:space="preserve">Cumulative Carry</t>
  </si>
  <si>
    <t xml:space="preserve">Total Cost Basis</t>
  </si>
  <si>
    <t xml:space="preserve">Break-Even List Price</t>
  </si>
  <si>
    <t xml:space="preserve">Target List Price</t>
  </si>
  <si>
    <t xml:space="preserve">Currently Listed At</t>
  </si>
  <si>
    <t xml:space="preserve">Active</t>
  </si>
  <si>
    <t xml:space="preserve">EXAMPLE ROW — delete.</t>
  </si>
  <si>
    <t xml:space="preserve">Sales Log — every completed sale</t>
  </si>
  <si>
    <t xml:space="preserve">Copy Total Cost Basis across from the Portfolio tab at the moment of sale. Row 5 is an example — delete it.</t>
  </si>
  <si>
    <t xml:space="preserve">Domain</t>
  </si>
  <si>
    <t xml:space="preserve">Sale Date</t>
  </si>
  <si>
    <t xml:space="preserve">Sale Price</t>
  </si>
  <si>
    <t xml:space="preserve">Venue</t>
  </si>
  <si>
    <t xml:space="preserve">Commission Rate</t>
  </si>
  <si>
    <t xml:space="preserve">Commission Paid</t>
  </si>
  <si>
    <t xml:space="preserve">Net Proceeds</t>
  </si>
  <si>
    <t xml:space="preserve">Net Profit</t>
  </si>
  <si>
    <t xml:space="preserve">ROI</t>
  </si>
  <si>
    <t xml:space="preserve">Afternic</t>
  </si>
  <si>
    <t xml:space="preserve">Dashboard — read only</t>
  </si>
  <si>
    <t xml:space="preserve">PORTFOLIO</t>
  </si>
  <si>
    <t xml:space="preserve">Active names held</t>
  </si>
  <si>
    <t xml:space="preserve">Names currently owned and renewing.</t>
  </si>
  <si>
    <t xml:space="preserve">Total acquisition invested</t>
  </si>
  <si>
    <t xml:space="preserve">Cash spent buying the names you still hold.</t>
  </si>
  <si>
    <t xml:space="preserve">Cumulative renewal carry paid</t>
  </si>
  <si>
    <t xml:space="preserve">Renewals paid to date on names you still hold. This only ever goes up.</t>
  </si>
  <si>
    <t xml:space="preserve">Total cost basis</t>
  </si>
  <si>
    <t xml:space="preserve">Acquisition plus carry. What the portfolio must clear to break even.</t>
  </si>
  <si>
    <t xml:space="preserve">Annual renewal burden</t>
  </si>
  <si>
    <t xml:space="preserve">What you owe every year to keep the portfolio alive, before a single sale. Compare this against Realised Net Profit below — if it is larger, the portfolio is shrinking.</t>
  </si>
  <si>
    <t xml:space="preserve">REALISED RESULTS</t>
  </si>
  <si>
    <t xml:space="preserve">Sales completed</t>
  </si>
  <si>
    <t xml:space="preserve">Rows on the Sales Log.</t>
  </si>
  <si>
    <t xml:space="preserve">Gross sales value</t>
  </si>
  <si>
    <t xml:space="preserve">Before commission.</t>
  </si>
  <si>
    <t xml:space="preserve">Net proceeds after commission</t>
  </si>
  <si>
    <t xml:space="preserve">What actually reached you.</t>
  </si>
  <si>
    <t xml:space="preserve">Realised net profit</t>
  </si>
  <si>
    <t xml:space="preserve">Net proceeds minus the cost basis of the names sold.</t>
  </si>
  <si>
    <t xml:space="preserve">Profit vs. annual renewal burden</t>
  </si>
  <si>
    <t xml:space="preserve">How many years of renewals your realised profit covers. Below 1.0x, the portfolio is funded by fresh cash rather than by sales.</t>
  </si>
  <si>
    <t xml:space="preserve">SELL-THROUGH</t>
  </si>
  <si>
    <t xml:space="preserve">Realised sell-through (lifetime)</t>
  </si>
  <si>
    <t xml:space="preserve">Sales divided by all names ever held. Compare with the 2% assumption. Fewer than ~50 names makes this statistically meaningless — read it as a sanity check, not a result.</t>
  </si>
  <si>
    <t xml:space="preserve">Assumed sell-through (Assumptions tab)</t>
  </si>
  <si>
    <t xml:space="preserve">If your realised rate sits persistently below this, your max-bid maths is too generous.</t>
  </si>
  <si>
    <t xml:space="preserve">Expected sales per year at assumed rate</t>
  </si>
  <si>
    <t xml:space="preserve">Active names times the assumed rate. Below 1.0, expect years with no sales at all.</t>
  </si>
  <si>
    <t xml:space="preserve">PIPELINE</t>
  </si>
  <si>
    <t xml:space="preserve">Candidates evaluated</t>
  </si>
  <si>
    <t xml:space="preserve">Rows on the Candidates tab.</t>
  </si>
  <si>
    <t xml:space="preserve">Verdict: BUY</t>
  </si>
  <si>
    <t xml:space="preserve">Passes the score bar and the price maths.</t>
  </si>
  <si>
    <t xml:space="preserve">Verdict: BUY IF CHEAPER</t>
  </si>
  <si>
    <t xml:space="preserve">Good names above your max rational bid. Bid the max and walk.</t>
  </si>
  <si>
    <t xml:space="preserve">Verdict: WATCH</t>
  </si>
  <si>
    <t xml:space="preserve">Borderline.</t>
  </si>
  <si>
    <t xml:space="preserve">Verdict: PASS / REJECT</t>
  </si>
  <si>
    <t xml:space="preserve">Below the bar or hard-filtered.</t>
  </si>
  <si>
    <t xml:space="preserve">Market benchmarks &amp; comparable sales — for scoring Comp Support</t>
  </si>
  <si>
    <t xml:space="preserve">Reference points gathered from published industry reporting. Add your own comps below as you research specific niches — your own sector comps will always beat these headline numbers.</t>
  </si>
  <si>
    <t xml:space="preserve">Benchmark / Sale</t>
  </si>
  <si>
    <t xml:space="preserve">Year</t>
  </si>
  <si>
    <t xml:space="preserve">What it tells you</t>
  </si>
  <si>
    <t xml:space="preserve">Source</t>
  </si>
  <si>
    <t xml:space="preserve">AI.com</t>
  </si>
  <si>
    <t xml:space="preserve">$70,000,000</t>
  </si>
  <si>
    <t xml:space="preserve">2026</t>
  </si>
  <si>
    <t xml:space="preserve">Largest domain sale ever recorded. Bought by the Crypto.com owners.</t>
  </si>
  <si>
    <t xml:space="preserve">DNJournal</t>
  </si>
  <si>
    <t xml:space="preserve">Club.com</t>
  </si>
  <si>
    <t xml:space="preserve">$10,000,000</t>
  </si>
  <si>
    <t xml:space="preserve">Second-largest of 2026. Single dictionary word .com.</t>
  </si>
  <si>
    <t xml:space="preserve">Green.com</t>
  </si>
  <si>
    <t xml:space="preserve">$7,500,000</t>
  </si>
  <si>
    <t xml:space="preserve">Third-largest of 2026. Confirms the single-word .com pattern at the top.</t>
  </si>
  <si>
    <t xml:space="preserve">icon.com</t>
  </si>
  <si>
    <t xml:space="preserve">$12,000,000</t>
  </si>
  <si>
    <t xml:space="preserve">2025</t>
  </si>
  <si>
    <t xml:space="preserve">Top sale of 2025.</t>
  </si>
  <si>
    <t xml:space="preserve">Industry reporting</t>
  </si>
  <si>
    <t xml:space="preserve">Bot.ai</t>
  </si>
  <si>
    <t xml:space="preserve">$1,200,000</t>
  </si>
  <si>
    <t xml:space="preserve">Largest .ai of the year — the ceiling for the extension is real but far below .com.</t>
  </si>
  <si>
    <t xml:space="preserve">Genesis.ai / Lotus.ai</t>
  </si>
  <si>
    <t xml:space="preserve">$400,000 each</t>
  </si>
  <si>
    <t xml:space="preserve">Short dictionary-word .ai clears six figures.</t>
  </si>
  <si>
    <t xml:space="preserve">Free.ai</t>
  </si>
  <si>
    <t xml:space="preserve">$350,000</t>
  </si>
  <si>
    <t xml:space="preserve">Same pattern.</t>
  </si>
  <si>
    <t xml:space="preserve">Neo.ai</t>
  </si>
  <si>
    <t xml:space="preserve">$275,000</t>
  </si>
  <si>
    <t xml:space="preserve">Best hand-registered sale reported</t>
  </si>
  <si>
    <t xml:space="preserve">$75,000</t>
  </si>
  <si>
    <t xml:space="preserve">It happens — and it is newsworthy precisely because it is rare. Do not plan around it.</t>
  </si>
  <si>
    <t xml:space="preserve">Average premium .ai resale</t>
  </si>
  <si>
    <t xml:space="preserve">~$6,500</t>
  </si>
  <si>
    <t xml:space="preserve">The realistic middle of the .ai market, against a ~$90/yr renewal.</t>
  </si>
  <si>
    <t xml:space="preserve">Total aftermarket, reported</t>
  </si>
  <si>
    <t xml:space="preserve">$314,700,000</t>
  </si>
  <si>
    <t xml:space="preserve">Across 190,109 transactions — up 67% in dollar volume year on year. Average reported transaction is about $1,655.</t>
  </si>
  <si>
    <t xml:space="preserve">Typical annual sell-through rate</t>
  </si>
  <si>
    <t xml:space="preserve">1.5% - 2.0%</t>
  </si>
  <si>
    <t xml:space="preserve">1-5% is considered healthy across a diversified portfolio.</t>
  </si>
  <si>
    <t xml:space="preserve">Domavest / industry</t>
  </si>
  <si>
    <t xml:space="preserve">Typical time to sale</t>
  </si>
  <si>
    <t xml:space="preserve">5 - 10 years</t>
  </si>
  <si>
    <t xml:space="preserve">For ordinary inventory on the major marketplaces.</t>
  </si>
  <si>
    <t xml:space="preserve">Sedo / Afternic data</t>
  </si>
  <si>
    <t xml:space="preserve">Afternic commission</t>
  </si>
  <si>
    <t xml:space="preserve">25% - 30%</t>
  </si>
  <si>
    <t xml:space="preserve">30% Boost / 25% Basic; 20% / 15% using GoDaddy aftermarket nameservers. $15 minimum.</t>
  </si>
  <si>
    <t xml:space="preserve">GoDaddy / Afternic</t>
  </si>
  <si>
    <t xml:space="preserve">Worked example — profitable</t>
  </si>
  <si>
    <t xml:space="preserve">+$2,500 over 2 yrs</t>
  </si>
  <si>
    <t xml:space="preserve">100 .com at $20 acquisition, $15/yr renewal, 2% sell-through, $2,500 average sale.</t>
  </si>
  <si>
    <t xml:space="preserve">Monefy analysis</t>
  </si>
  <si>
    <t xml:space="preserve">Worked example — unprofitable</t>
  </si>
  <si>
    <t xml:space="preserve">-$4,600 over 5 yrs</t>
  </si>
  <si>
    <t xml:space="preserve">200 .ai/.io at $50 acquisition, $35/yr renewal, 0.5% sell-through, $3,000 average sale. High renewals at low sell-through is the classic way to lose money.</t>
  </si>
  <si>
    <t xml:space="preserve">ICANN new gTLD window</t>
  </si>
  <si>
    <t xml:space="preserve">Reopens 2026</t>
  </si>
  <si>
    <t xml:space="preserve">Hundreds of new extensions incoming. Expands supply — a risk to existing new-gTLD inventory, not an opportunity for a small portfolio.</t>
  </si>
  <si>
    <t xml:space="preserve">ICANN</t>
  </si>
  <si>
    <t xml:space="preserve">Sources</t>
  </si>
  <si>
    <t xml:space="preserve">DNJournal YTD Top 100 Sales Charts — https://www.dnjournal.com/ytd-sales-charts.htm</t>
  </si>
  <si>
    <t xml:space="preserve">NameBio sales database (6.8M+ recorded sales) — https://namebio.com</t>
  </si>
  <si>
    <t xml:space="preserve">GoDaddy aftermarket commission model update — https://www.godaddy.com/resources/news/godaddy-aftermarket-alignment-commission-model-update</t>
  </si>
  <si>
    <t xml:space="preserve">Domavest, sell-through rate benchmarks 2026 — https://www.domavest.com/2026/03/what-is-good-domain-sell-through-rate.html</t>
  </si>
  <si>
    <t xml:space="preserve">Monefy, domain investing profitability analysis — https://www.monefy.com/article/domain-investing-profitability-data-backed-answer</t>
  </si>
</sst>
</file>

<file path=xl/styles.xml><?xml version="1.0" encoding="utf-8"?>
<styleSheet xmlns="http://schemas.openxmlformats.org/spreadsheetml/2006/main">
  <numFmts count="9">
    <numFmt numFmtId="164" formatCode="General"/>
    <numFmt numFmtId="165" formatCode="0.0%;\(0.0%\);\-"/>
    <numFmt numFmtId="166" formatCode="\$#,##0;&quot;($&quot;#,##0\);\-"/>
    <numFmt numFmtId="167" formatCode="0.00"/>
    <numFmt numFmtId="168" formatCode="0.0\x"/>
    <numFmt numFmtId="169" formatCode="\$#,##0.00;&quot;($&quot;#,##0.00\);\-"/>
    <numFmt numFmtId="170" formatCode="yyyy\-mm\-dd"/>
    <numFmt numFmtId="171" formatCode="0"/>
    <numFmt numFmtId="172" formatCode="0.00\x"/>
  </numFmts>
  <fonts count="21">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name val="Arial"/>
      <family val="0"/>
      <charset val="1"/>
    </font>
    <font>
      <b val="true"/>
      <sz val="11"/>
      <color rgb="FF1F3864"/>
      <name val="Arial"/>
      <family val="0"/>
      <charset val="1"/>
    </font>
    <font>
      <i val="true"/>
      <sz val="9"/>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i val="true"/>
      <sz val="10"/>
      <name val="Arial"/>
      <family val="0"/>
      <charset val="1"/>
    </font>
    <font>
      <sz val="10"/>
      <color rgb="FF0000FF"/>
      <name val="Arial"/>
      <family val="0"/>
      <charset val="1"/>
    </font>
    <font>
      <sz val="10"/>
      <color rgb="FF008000"/>
      <name val="Arial"/>
      <family val="0"/>
      <charset val="1"/>
    </font>
    <font>
      <sz val="10"/>
      <name val="Arial"/>
      <family val="2"/>
    </font>
    <font>
      <b val="true"/>
      <sz val="11"/>
      <color rgb="FFFFFFFF"/>
      <name val="Arial"/>
      <family val="0"/>
      <charset val="1"/>
    </font>
    <font>
      <b val="true"/>
      <sz val="11"/>
      <color rgb="FF008000"/>
      <name val="Arial"/>
      <family val="0"/>
      <charset val="1"/>
    </font>
    <font>
      <sz val="9"/>
      <color rgb="FF000000"/>
      <name val="Arial"/>
      <family val="0"/>
      <charset val="1"/>
    </font>
    <font>
      <b val="true"/>
      <sz val="10"/>
      <name val="Arial"/>
      <family val="0"/>
      <charset val="1"/>
    </font>
    <font>
      <sz val="9"/>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
      <patternFill patternType="solid">
        <fgColor rgb="FFFFF2CC"/>
        <bgColor rgb="FFFFFFFF"/>
      </patternFill>
    </fill>
  </fills>
  <borders count="2">
    <border diagonalUp="false" diagonalDown="false">
      <left/>
      <right/>
      <top/>
      <bottom/>
      <diagonal/>
    </border>
    <border diagonalUp="false" diagonalDown="false">
      <left style="thin">
        <color rgb="FFAAAAAA"/>
      </left>
      <right style="thin">
        <color rgb="FFAAAAAA"/>
      </right>
      <top style="thin">
        <color rgb="FFAAAAAA"/>
      </top>
      <bottom style="thin">
        <color rgb="FFAAAAA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11" fillId="4"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left"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7"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6" fontId="14"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5"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70" fontId="13" fillId="5" borderId="1" xfId="0" applyFont="true" applyBorder="true" applyAlignment="true" applyProtection="false">
      <alignment horizontal="center" vertical="center" textRotation="0" wrapText="false" indent="0" shrinkToFit="false"/>
      <protection locked="true" hidden="false"/>
    </xf>
    <xf numFmtId="166" fontId="13" fillId="5" borderId="1" xfId="0" applyFont="true" applyBorder="true" applyAlignment="true" applyProtection="false">
      <alignment horizontal="center" vertical="center" textRotation="0" wrapText="false" indent="0" shrinkToFit="false"/>
      <protection locked="true" hidden="false"/>
    </xf>
    <xf numFmtId="171" fontId="10"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70" fontId="13" fillId="0" borderId="1" xfId="0" applyFont="true" applyBorder="true" applyAlignment="true" applyProtection="false">
      <alignment horizontal="center" vertical="center" textRotation="0" wrapText="false" indent="0" shrinkToFit="false"/>
      <protection locked="true" hidden="false"/>
    </xf>
    <xf numFmtId="171" fontId="10" fillId="0" borderId="1" xfId="0" applyFont="true" applyBorder="tru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4" fontId="1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71" fontId="17"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17" fillId="0" borderId="1" xfId="0" applyFont="true" applyBorder="true" applyAlignment="true" applyProtection="false">
      <alignment horizontal="center" vertical="center" textRotation="0" wrapText="false" indent="0" shrinkToFit="false"/>
      <protection locked="true" hidden="false"/>
    </xf>
    <xf numFmtId="172" fontId="17" fillId="0" borderId="1" xfId="0" applyFont="true" applyBorder="true" applyAlignment="true" applyProtection="false">
      <alignment horizontal="center" vertical="center" textRotation="0" wrapText="false" indent="0" shrinkToFit="false"/>
      <protection locked="true" hidden="false"/>
    </xf>
    <xf numFmtId="165" fontId="17" fillId="0" borderId="1" xfId="0" applyFont="true" applyBorder="true" applyAlignment="true" applyProtection="false">
      <alignment horizontal="center" vertical="center" textRotation="0" wrapText="false" indent="0" shrinkToFit="false"/>
      <protection locked="true" hidden="false"/>
    </xf>
    <xf numFmtId="167" fontId="17"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92"/>
  </cols>
  <sheetData>
    <row r="1" customFormat="false" ht="24" hidden="false" customHeight="true" outlineLevel="0" collapsed="false">
      <c r="A1" s="2" t="s">
        <v>0</v>
      </c>
      <c r="B1" s="2"/>
      <c r="C1" s="2"/>
      <c r="D1" s="2"/>
      <c r="E1" s="2"/>
      <c r="F1" s="2"/>
    </row>
    <row r="3" customFormat="false" ht="15" hidden="false" customHeight="true" outlineLevel="0" collapsed="false">
      <c r="A3" s="3"/>
      <c r="B3" s="4"/>
    </row>
    <row r="4" customFormat="false" ht="15" hidden="false" customHeight="true" outlineLevel="0" collapsed="false">
      <c r="A4" s="5" t="s">
        <v>1</v>
      </c>
      <c r="B4" s="6"/>
    </row>
    <row r="5" customFormat="false" ht="30" hidden="false" customHeight="true" outlineLevel="0" collapsed="false">
      <c r="A5" s="3" t="s">
        <v>2</v>
      </c>
      <c r="B5" s="4" t="s">
        <v>3</v>
      </c>
    </row>
    <row r="6" customFormat="false" ht="30" hidden="false" customHeight="true" outlineLevel="0" collapsed="false">
      <c r="A6" s="3" t="s">
        <v>4</v>
      </c>
      <c r="B6" s="4" t="s">
        <v>5</v>
      </c>
    </row>
    <row r="7" customFormat="false" ht="30" hidden="false" customHeight="true" outlineLevel="0" collapsed="false">
      <c r="A7" s="3" t="s">
        <v>6</v>
      </c>
      <c r="B7" s="4" t="s">
        <v>7</v>
      </c>
    </row>
    <row r="8" customFormat="false" ht="30" hidden="false" customHeight="true" outlineLevel="0" collapsed="false">
      <c r="A8" s="3" t="s">
        <v>8</v>
      </c>
      <c r="B8" s="4" t="s">
        <v>9</v>
      </c>
    </row>
    <row r="9" customFormat="false" ht="15" hidden="false" customHeight="true" outlineLevel="0" collapsed="false">
      <c r="A9" s="3" t="s">
        <v>10</v>
      </c>
      <c r="B9" s="4" t="s">
        <v>11</v>
      </c>
    </row>
    <row r="10" customFormat="false" ht="15" hidden="false" customHeight="true" outlineLevel="0" collapsed="false">
      <c r="A10" s="3" t="s">
        <v>12</v>
      </c>
      <c r="B10" s="4" t="s">
        <v>13</v>
      </c>
    </row>
    <row r="11" customFormat="false" ht="15" hidden="false" customHeight="true" outlineLevel="0" collapsed="false">
      <c r="A11" s="3" t="s">
        <v>14</v>
      </c>
      <c r="B11" s="4" t="s">
        <v>15</v>
      </c>
    </row>
    <row r="12" customFormat="false" ht="15" hidden="false" customHeight="true" outlineLevel="0" collapsed="false">
      <c r="A12" s="3"/>
      <c r="B12" s="4"/>
    </row>
    <row r="13" customFormat="false" ht="15" hidden="false" customHeight="true" outlineLevel="0" collapsed="false">
      <c r="A13" s="5" t="s">
        <v>16</v>
      </c>
      <c r="B13" s="6"/>
    </row>
    <row r="14" customFormat="false" ht="15" hidden="false" customHeight="true" outlineLevel="0" collapsed="false">
      <c r="A14" s="3" t="s">
        <v>17</v>
      </c>
      <c r="B14" s="4" t="s">
        <v>18</v>
      </c>
    </row>
    <row r="15" customFormat="false" ht="15" hidden="false" customHeight="true" outlineLevel="0" collapsed="false">
      <c r="A15" s="3" t="s">
        <v>19</v>
      </c>
      <c r="B15" s="4" t="s">
        <v>20</v>
      </c>
    </row>
    <row r="16" customFormat="false" ht="15" hidden="false" customHeight="true" outlineLevel="0" collapsed="false">
      <c r="A16" s="3" t="s">
        <v>21</v>
      </c>
      <c r="B16" s="4" t="s">
        <v>22</v>
      </c>
    </row>
    <row r="17" customFormat="false" ht="15" hidden="false" customHeight="true" outlineLevel="0" collapsed="false">
      <c r="A17" s="3" t="s">
        <v>23</v>
      </c>
      <c r="B17" s="4" t="s">
        <v>24</v>
      </c>
    </row>
    <row r="18" customFormat="false" ht="15" hidden="false" customHeight="true" outlineLevel="0" collapsed="false">
      <c r="A18" s="3" t="s">
        <v>25</v>
      </c>
      <c r="B18" s="4" t="s">
        <v>26</v>
      </c>
    </row>
    <row r="19" customFormat="false" ht="15" hidden="false" customHeight="true" outlineLevel="0" collapsed="false">
      <c r="A19" s="3"/>
      <c r="B19" s="4"/>
    </row>
    <row r="20" customFormat="false" ht="15" hidden="false" customHeight="true" outlineLevel="0" collapsed="false">
      <c r="A20" s="5" t="s">
        <v>27</v>
      </c>
      <c r="B20" s="6"/>
    </row>
    <row r="21" customFormat="false" ht="78" hidden="false" customHeight="true" outlineLevel="0" collapsed="false">
      <c r="A21" s="3" t="s">
        <v>28</v>
      </c>
      <c r="B21" s="4" t="s">
        <v>29</v>
      </c>
    </row>
    <row r="22" customFormat="false" ht="30" hidden="false" customHeight="true" outlineLevel="0" collapsed="false">
      <c r="A22" s="3" t="s">
        <v>30</v>
      </c>
      <c r="B22" s="4" t="s">
        <v>31</v>
      </c>
    </row>
    <row r="23" customFormat="false" ht="30" hidden="false" customHeight="true" outlineLevel="0" collapsed="false">
      <c r="A23" s="3" t="s">
        <v>32</v>
      </c>
      <c r="B23" s="4" t="s">
        <v>33</v>
      </c>
    </row>
    <row r="25" customFormat="false" ht="15" hidden="false" customHeight="true" outlineLevel="0" collapsed="false">
      <c r="A25" s="7" t="s">
        <v>34</v>
      </c>
      <c r="B25" s="7" t="s">
        <v>35</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6"/>
    <col collapsed="false" customWidth="true" hidden="false" outlineLevel="0" max="3" min="3" style="1" width="12"/>
    <col collapsed="false" customWidth="true" hidden="false" outlineLevel="0" max="4" min="4" style="1" width="74"/>
  </cols>
  <sheetData>
    <row r="1" customFormat="false" ht="24" hidden="false" customHeight="true" outlineLevel="0" collapsed="false">
      <c r="A1" s="2" t="s">
        <v>36</v>
      </c>
      <c r="B1" s="2"/>
      <c r="C1" s="2"/>
      <c r="D1" s="2"/>
      <c r="E1" s="2"/>
    </row>
    <row r="3" customFormat="false" ht="42" hidden="false" customHeight="true" outlineLevel="0" collapsed="false">
      <c r="A3" s="8" t="s">
        <v>37</v>
      </c>
      <c r="B3" s="8" t="s">
        <v>38</v>
      </c>
      <c r="C3" s="8" t="s">
        <v>39</v>
      </c>
      <c r="D3" s="8" t="s">
        <v>40</v>
      </c>
    </row>
    <row r="4" customFormat="false" ht="30" hidden="false" customHeight="true" outlineLevel="0" collapsed="false">
      <c r="A4" s="9" t="s">
        <v>41</v>
      </c>
      <c r="B4" s="10" t="n">
        <v>0.2</v>
      </c>
      <c r="C4" s="11" t="s">
        <v>42</v>
      </c>
      <c r="D4" s="9" t="s">
        <v>43</v>
      </c>
    </row>
    <row r="5" customFormat="false" ht="30" hidden="false" customHeight="true" outlineLevel="0" collapsed="false">
      <c r="A5" s="9" t="s">
        <v>44</v>
      </c>
      <c r="B5" s="12" t="n">
        <v>15</v>
      </c>
      <c r="C5" s="11" t="s">
        <v>45</v>
      </c>
      <c r="D5" s="9" t="s">
        <v>46</v>
      </c>
    </row>
    <row r="6" customFormat="false" ht="30" hidden="false" customHeight="true" outlineLevel="0" collapsed="false">
      <c r="A6" s="9" t="s">
        <v>47</v>
      </c>
      <c r="B6" s="10" t="n">
        <v>0.02</v>
      </c>
      <c r="C6" s="11" t="s">
        <v>42</v>
      </c>
      <c r="D6" s="9" t="s">
        <v>48</v>
      </c>
    </row>
    <row r="7" customFormat="false" ht="30" hidden="false" customHeight="true" outlineLevel="0" collapsed="false">
      <c r="A7" s="9" t="s">
        <v>49</v>
      </c>
      <c r="B7" s="13" t="n">
        <v>5</v>
      </c>
      <c r="C7" s="11" t="s">
        <v>50</v>
      </c>
      <c r="D7" s="9" t="s">
        <v>51</v>
      </c>
    </row>
    <row r="8" customFormat="false" ht="30" hidden="false" customHeight="true" outlineLevel="0" collapsed="false">
      <c r="A8" s="9" t="s">
        <v>52</v>
      </c>
      <c r="B8" s="12" t="n">
        <v>11</v>
      </c>
      <c r="C8" s="11" t="s">
        <v>45</v>
      </c>
      <c r="D8" s="9" t="s">
        <v>53</v>
      </c>
    </row>
    <row r="9" customFormat="false" ht="30" hidden="false" customHeight="true" outlineLevel="0" collapsed="false">
      <c r="A9" s="9" t="s">
        <v>54</v>
      </c>
      <c r="B9" s="12" t="n">
        <v>35</v>
      </c>
      <c r="C9" s="11" t="s">
        <v>45</v>
      </c>
      <c r="D9" s="9" t="s">
        <v>55</v>
      </c>
    </row>
    <row r="10" customFormat="false" ht="30" hidden="false" customHeight="true" outlineLevel="0" collapsed="false">
      <c r="A10" s="9" t="s">
        <v>56</v>
      </c>
      <c r="B10" s="14" t="n">
        <v>10</v>
      </c>
      <c r="C10" s="11" t="s">
        <v>57</v>
      </c>
      <c r="D10" s="9" t="s">
        <v>58</v>
      </c>
    </row>
    <row r="12" customFormat="false" ht="15" hidden="false" customHeight="true" outlineLevel="0" collapsed="false">
      <c r="A12" s="5" t="s">
        <v>59</v>
      </c>
      <c r="D12" s="15"/>
    </row>
    <row r="13" customFormat="false" ht="43.5" hidden="false" customHeight="true" outlineLevel="0" collapsed="false">
      <c r="A13" s="9" t="s">
        <v>60</v>
      </c>
      <c r="B13" s="16" t="n">
        <f aca="false">1-(1-$B$6)^$B$7</f>
        <v>0.0960792032000001</v>
      </c>
      <c r="D13" s="9" t="s">
        <v>61</v>
      </c>
    </row>
    <row r="14" customFormat="false" ht="15" hidden="false" customHeight="true" outlineLevel="0" collapsed="false">
      <c r="A14" s="9" t="s">
        <v>62</v>
      </c>
      <c r="B14" s="17" t="n">
        <f aca="false">$B$8*$B$7</f>
        <v>55</v>
      </c>
      <c r="D14" s="9" t="s">
        <v>63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5" min="3" style="1" width="44"/>
  </cols>
  <sheetData>
    <row r="1" customFormat="false" ht="24" hidden="false" customHeight="true" outlineLevel="0" collapsed="false">
      <c r="A1" s="2" t="s">
        <v>64</v>
      </c>
      <c r="B1" s="2"/>
      <c r="C1" s="2"/>
      <c r="D1" s="2"/>
      <c r="E1" s="2"/>
      <c r="F1" s="2"/>
    </row>
    <row r="3" customFormat="false" ht="15" hidden="false" customHeight="true" outlineLevel="0" collapsed="false">
      <c r="A3" s="18" t="s">
        <v>65</v>
      </c>
    </row>
    <row r="4" customFormat="false" ht="42" hidden="false" customHeight="true" outlineLevel="0" collapsed="false">
      <c r="A4" s="8" t="s">
        <v>66</v>
      </c>
      <c r="B4" s="8" t="s">
        <v>67</v>
      </c>
      <c r="C4" s="8" t="s">
        <v>68</v>
      </c>
      <c r="D4" s="8" t="s">
        <v>69</v>
      </c>
      <c r="E4" s="8" t="s">
        <v>70</v>
      </c>
    </row>
    <row r="5" customFormat="false" ht="57.75" hidden="false" customHeight="true" outlineLevel="0" collapsed="false">
      <c r="A5" s="19" t="s">
        <v>71</v>
      </c>
      <c r="B5" s="10" t="n">
        <v>0.2</v>
      </c>
      <c r="C5" s="9" t="s">
        <v>72</v>
      </c>
      <c r="D5" s="9" t="s">
        <v>73</v>
      </c>
      <c r="E5" s="9" t="s">
        <v>74</v>
      </c>
    </row>
    <row r="6" customFormat="false" ht="57.75" hidden="false" customHeight="true" outlineLevel="0" collapsed="false">
      <c r="A6" s="19" t="s">
        <v>75</v>
      </c>
      <c r="B6" s="10" t="n">
        <v>0.25</v>
      </c>
      <c r="C6" s="9" t="s">
        <v>76</v>
      </c>
      <c r="D6" s="9" t="s">
        <v>77</v>
      </c>
      <c r="E6" s="9" t="s">
        <v>78</v>
      </c>
    </row>
    <row r="7" customFormat="false" ht="57.75" hidden="false" customHeight="true" outlineLevel="0" collapsed="false">
      <c r="A7" s="19" t="s">
        <v>79</v>
      </c>
      <c r="B7" s="10" t="n">
        <v>0.2</v>
      </c>
      <c r="C7" s="9" t="s">
        <v>80</v>
      </c>
      <c r="D7" s="9" t="s">
        <v>81</v>
      </c>
      <c r="E7" s="9" t="s">
        <v>82</v>
      </c>
    </row>
    <row r="8" customFormat="false" ht="57.75" hidden="false" customHeight="true" outlineLevel="0" collapsed="false">
      <c r="A8" s="19" t="s">
        <v>83</v>
      </c>
      <c r="B8" s="10" t="n">
        <v>0.15</v>
      </c>
      <c r="C8" s="9" t="s">
        <v>84</v>
      </c>
      <c r="D8" s="9" t="s">
        <v>85</v>
      </c>
      <c r="E8" s="9" t="s">
        <v>86</v>
      </c>
    </row>
    <row r="9" customFormat="false" ht="57.75" hidden="false" customHeight="true" outlineLevel="0" collapsed="false">
      <c r="A9" s="19" t="s">
        <v>87</v>
      </c>
      <c r="B9" s="10" t="n">
        <v>0.1</v>
      </c>
      <c r="C9" s="9" t="s">
        <v>88</v>
      </c>
      <c r="D9" s="9" t="s">
        <v>89</v>
      </c>
      <c r="E9" s="9" t="s">
        <v>90</v>
      </c>
    </row>
    <row r="10" customFormat="false" ht="57.75" hidden="false" customHeight="true" outlineLevel="0" collapsed="false">
      <c r="A10" s="19" t="s">
        <v>91</v>
      </c>
      <c r="B10" s="10" t="n">
        <v>0.1</v>
      </c>
      <c r="C10" s="9" t="s">
        <v>92</v>
      </c>
      <c r="D10" s="9" t="s">
        <v>93</v>
      </c>
      <c r="E10" s="9" t="s">
        <v>94</v>
      </c>
    </row>
    <row r="11" customFormat="false" ht="15" hidden="false" customHeight="true" outlineLevel="0" collapsed="false">
      <c r="A11" s="20" t="s">
        <v>95</v>
      </c>
      <c r="B11" s="16" t="n">
        <f aca="false">SUM(B5:B10)</f>
        <v>1</v>
      </c>
      <c r="C11" s="19" t="str">
        <f aca="false">IF(ABS(B11-1)&lt;0.0001,"OK — weights sum to 100%","ERROR — weights must sum to 100%")</f>
        <v>OK — weights sum to 100%</v>
      </c>
    </row>
    <row r="13" customFormat="false" ht="15" hidden="false" customHeight="true" outlineLevel="0" collapsed="false">
      <c r="A13" s="5" t="s">
        <v>96</v>
      </c>
      <c r="B13" s="15"/>
      <c r="C13" s="15"/>
      <c r="D13" s="15"/>
      <c r="E13" s="15"/>
    </row>
    <row r="14" customFormat="false" ht="42" hidden="false" customHeight="true" outlineLevel="0" collapsed="false">
      <c r="A14" s="8" t="s">
        <v>71</v>
      </c>
      <c r="B14" s="8" t="s">
        <v>97</v>
      </c>
      <c r="C14" s="8" t="s">
        <v>98</v>
      </c>
      <c r="D14" s="8" t="s">
        <v>99</v>
      </c>
      <c r="E14" s="8"/>
    </row>
    <row r="15" customFormat="false" ht="15" hidden="false" customHeight="true" outlineLevel="0" collapsed="false">
      <c r="A15" s="11" t="s">
        <v>100</v>
      </c>
      <c r="B15" s="21" t="n">
        <v>5</v>
      </c>
      <c r="C15" s="22" t="n">
        <v>11</v>
      </c>
      <c r="D15" s="9" t="s">
        <v>101</v>
      </c>
    </row>
    <row r="16" customFormat="false" ht="23.25" hidden="false" customHeight="true" outlineLevel="0" collapsed="false">
      <c r="A16" s="11" t="s">
        <v>102</v>
      </c>
      <c r="B16" s="21" t="n">
        <v>4</v>
      </c>
      <c r="C16" s="22" t="n">
        <v>90</v>
      </c>
      <c r="D16" s="9" t="s">
        <v>103</v>
      </c>
    </row>
    <row r="17" customFormat="false" ht="23.25" hidden="false" customHeight="true" outlineLevel="0" collapsed="false">
      <c r="A17" s="11" t="s">
        <v>104</v>
      </c>
      <c r="B17" s="21" t="n">
        <v>3</v>
      </c>
      <c r="C17" s="22" t="n">
        <v>40</v>
      </c>
      <c r="D17" s="9" t="s">
        <v>105</v>
      </c>
    </row>
    <row r="18" customFormat="false" ht="15" hidden="false" customHeight="true" outlineLevel="0" collapsed="false">
      <c r="A18" s="11" t="s">
        <v>106</v>
      </c>
      <c r="B18" s="21" t="n">
        <v>3</v>
      </c>
      <c r="C18" s="22" t="n">
        <v>30</v>
      </c>
      <c r="D18" s="9" t="s">
        <v>107</v>
      </c>
    </row>
    <row r="19" customFormat="false" ht="15" hidden="false" customHeight="true" outlineLevel="0" collapsed="false">
      <c r="A19" s="11" t="s">
        <v>108</v>
      </c>
      <c r="B19" s="21" t="n">
        <v>3</v>
      </c>
      <c r="C19" s="22" t="n">
        <v>13</v>
      </c>
      <c r="D19" s="9" t="s">
        <v>109</v>
      </c>
    </row>
    <row r="20" customFormat="false" ht="15" hidden="false" customHeight="true" outlineLevel="0" collapsed="false">
      <c r="A20" s="11" t="s">
        <v>110</v>
      </c>
      <c r="B20" s="21" t="n">
        <v>3</v>
      </c>
      <c r="C20" s="22" t="n">
        <v>13</v>
      </c>
      <c r="D20" s="9" t="s">
        <v>111</v>
      </c>
    </row>
    <row r="21" customFormat="false" ht="15" hidden="false" customHeight="true" outlineLevel="0" collapsed="false">
      <c r="A21" s="11" t="s">
        <v>112</v>
      </c>
      <c r="B21" s="21" t="n">
        <v>2</v>
      </c>
      <c r="C21" s="22" t="n">
        <v>18</v>
      </c>
      <c r="D21" s="9" t="s">
        <v>113</v>
      </c>
    </row>
    <row r="22" customFormat="false" ht="15" hidden="false" customHeight="true" outlineLevel="0" collapsed="false">
      <c r="A22" s="11" t="s">
        <v>114</v>
      </c>
      <c r="B22" s="21" t="n">
        <v>2</v>
      </c>
      <c r="C22" s="22" t="n">
        <v>15</v>
      </c>
      <c r="D22" s="9" t="s">
        <v>115</v>
      </c>
    </row>
    <row r="23" customFormat="false" ht="15" hidden="false" customHeight="true" outlineLevel="0" collapsed="false">
      <c r="A23" s="11" t="s">
        <v>116</v>
      </c>
      <c r="B23" s="21" t="n">
        <v>1</v>
      </c>
      <c r="C23" s="22" t="n">
        <v>12</v>
      </c>
      <c r="D23" s="9" t="s">
        <v>117</v>
      </c>
    </row>
    <row r="24" customFormat="false" ht="15" hidden="false" customHeight="true" outlineLevel="0" collapsed="false">
      <c r="A24" s="11" t="s">
        <v>118</v>
      </c>
      <c r="B24" s="21" t="n">
        <v>1</v>
      </c>
      <c r="C24" s="22" t="n">
        <v>25</v>
      </c>
      <c r="D24" s="9" t="s">
        <v>119</v>
      </c>
    </row>
    <row r="26" customFormat="false" ht="15" hidden="false" customHeight="true" outlineLevel="0" collapsed="false">
      <c r="A26" s="5" t="s">
        <v>120</v>
      </c>
      <c r="B26" s="15"/>
      <c r="C26" s="15"/>
      <c r="D26" s="15"/>
      <c r="E26" s="15"/>
    </row>
    <row r="27" customFormat="false" ht="30" hidden="false" customHeight="true" outlineLevel="0" collapsed="false">
      <c r="A27" s="20" t="s">
        <v>121</v>
      </c>
      <c r="B27" s="9" t="s">
        <v>122</v>
      </c>
      <c r="C27" s="9"/>
      <c r="D27" s="9"/>
      <c r="E27" s="9"/>
    </row>
    <row r="28" customFormat="false" ht="30" hidden="false" customHeight="true" outlineLevel="0" collapsed="false">
      <c r="A28" s="20" t="s">
        <v>121</v>
      </c>
      <c r="B28" s="9" t="s">
        <v>123</v>
      </c>
      <c r="C28" s="9"/>
      <c r="D28" s="9"/>
      <c r="E28" s="9"/>
    </row>
    <row r="29" customFormat="false" ht="30" hidden="false" customHeight="true" outlineLevel="0" collapsed="false">
      <c r="A29" s="20" t="s">
        <v>121</v>
      </c>
      <c r="B29" s="9" t="s">
        <v>124</v>
      </c>
      <c r="C29" s="9"/>
      <c r="D29" s="9"/>
      <c r="E29" s="9"/>
    </row>
    <row r="30" customFormat="false" ht="30" hidden="false" customHeight="true" outlineLevel="0" collapsed="false">
      <c r="A30" s="20" t="s">
        <v>121</v>
      </c>
      <c r="B30" s="9" t="s">
        <v>125</v>
      </c>
      <c r="C30" s="9"/>
      <c r="D30" s="9"/>
      <c r="E30" s="9"/>
    </row>
    <row r="32" customFormat="false" ht="15" hidden="false" customHeight="true" outlineLevel="0" collapsed="false">
      <c r="A32" s="5" t="s">
        <v>126</v>
      </c>
      <c r="B32" s="15"/>
      <c r="C32" s="15"/>
      <c r="D32" s="15"/>
      <c r="E32" s="15"/>
    </row>
    <row r="33" customFormat="false" ht="42" hidden="false" customHeight="true" outlineLevel="0" collapsed="false">
      <c r="A33" s="8" t="s">
        <v>127</v>
      </c>
      <c r="B33" s="8" t="s">
        <v>128</v>
      </c>
      <c r="C33" s="8" t="s">
        <v>129</v>
      </c>
      <c r="D33" s="8"/>
      <c r="E33" s="8"/>
    </row>
    <row r="34" customFormat="false" ht="45.75" hidden="false" customHeight="true" outlineLevel="0" collapsed="false">
      <c r="A34" s="20" t="s">
        <v>130</v>
      </c>
      <c r="B34" s="9" t="s">
        <v>131</v>
      </c>
      <c r="C34" s="9" t="s">
        <v>132</v>
      </c>
    </row>
    <row r="35" customFormat="false" ht="34.5" hidden="false" customHeight="true" outlineLevel="0" collapsed="false">
      <c r="A35" s="20" t="s">
        <v>133</v>
      </c>
      <c r="B35" s="9" t="s">
        <v>134</v>
      </c>
      <c r="C35" s="9" t="s">
        <v>135</v>
      </c>
    </row>
    <row r="36" customFormat="false" ht="23.25" hidden="false" customHeight="true" outlineLevel="0" collapsed="false">
      <c r="A36" s="20" t="s">
        <v>136</v>
      </c>
      <c r="B36" s="9" t="s">
        <v>137</v>
      </c>
      <c r="C36" s="9" t="s">
        <v>138</v>
      </c>
    </row>
    <row r="37" customFormat="false" ht="15" hidden="false" customHeight="true" outlineLevel="0" collapsed="false">
      <c r="A37" s="20" t="s">
        <v>139</v>
      </c>
      <c r="B37" s="9" t="s">
        <v>140</v>
      </c>
      <c r="C37" s="9" t="s">
        <v>141</v>
      </c>
    </row>
    <row r="38" customFormat="false" ht="23.25" hidden="false" customHeight="true" outlineLevel="0" collapsed="false">
      <c r="A38" s="20" t="s">
        <v>142</v>
      </c>
      <c r="B38" s="9" t="s">
        <v>143</v>
      </c>
      <c r="C38" s="9" t="s">
        <v>144</v>
      </c>
    </row>
  </sheetData>
  <mergeCells count="5">
    <mergeCell ref="A1:F1"/>
    <mergeCell ref="B27:E27"/>
    <mergeCell ref="B28:E28"/>
    <mergeCell ref="B29:E29"/>
    <mergeCell ref="B30: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9"/>
    <col collapsed="false" customWidth="true" hidden="false" outlineLevel="0" max="5" min="4" style="1" width="12"/>
    <col collapsed="false" customWidth="true" hidden="false" outlineLevel="0" max="6" min="6" style="1" width="13"/>
    <col collapsed="false" customWidth="true" hidden="false" outlineLevel="0" max="7" min="7" style="1" width="11"/>
    <col collapsed="false" customWidth="true" hidden="false" outlineLevel="0" max="8" min="8" style="1" width="12"/>
    <col collapsed="false" customWidth="true" hidden="false" outlineLevel="0" max="9" min="9" style="1" width="10"/>
    <col collapsed="false" customWidth="true" hidden="false" outlineLevel="0" max="10" min="10" style="1" width="11"/>
    <col collapsed="false" customWidth="true" hidden="false" outlineLevel="0" max="11" min="11" style="1" width="13"/>
    <col collapsed="false" customWidth="true" hidden="false" outlineLevel="0" max="12" min="12" style="1" width="14"/>
    <col collapsed="false" customWidth="true" hidden="false" outlineLevel="0" max="14" min="13" style="1" width="12"/>
    <col collapsed="false" customWidth="true" hidden="false" outlineLevel="0" max="15" min="15" style="1" width="11"/>
    <col collapsed="false" customWidth="true" hidden="false" outlineLevel="0" max="16" min="16" style="1" width="15"/>
    <col collapsed="false" customWidth="true" hidden="false" outlineLevel="0" max="17" min="17" style="1" width="13"/>
    <col collapsed="false" customWidth="true" hidden="false" outlineLevel="0" max="18" min="18" style="1" width="12"/>
    <col collapsed="false" customWidth="true" hidden="false" outlineLevel="0" max="19" min="19" style="1" width="15"/>
    <col collapsed="false" customWidth="true" hidden="false" outlineLevel="0" max="20" min="20" style="1" width="16"/>
    <col collapsed="false" customWidth="true" hidden="false" outlineLevel="0" max="21" min="21" style="1" width="13"/>
    <col collapsed="false" customWidth="true" hidden="false" outlineLevel="0" max="22" min="22" style="1" width="40"/>
  </cols>
  <sheetData>
    <row r="1" customFormat="false" ht="24" hidden="false" customHeight="true" outlineLevel="0" collapsed="false">
      <c r="A1" s="2" t="s">
        <v>145</v>
      </c>
      <c r="B1" s="2"/>
      <c r="C1" s="2"/>
      <c r="D1" s="2"/>
      <c r="E1" s="2"/>
      <c r="F1" s="2"/>
      <c r="G1" s="2"/>
      <c r="H1" s="2"/>
      <c r="I1" s="2"/>
      <c r="J1" s="2"/>
      <c r="K1" s="2"/>
      <c r="L1" s="2"/>
      <c r="M1" s="2"/>
      <c r="N1" s="2"/>
      <c r="O1" s="2"/>
      <c r="P1" s="2"/>
      <c r="Q1" s="2"/>
      <c r="R1" s="2"/>
      <c r="S1" s="2"/>
      <c r="T1" s="2"/>
      <c r="U1" s="2"/>
      <c r="V1" s="2"/>
    </row>
    <row r="2" customFormat="false" ht="15" hidden="false" customHeight="true" outlineLevel="0" collapsed="false">
      <c r="A2" s="18" t="s">
        <v>146</v>
      </c>
    </row>
    <row r="4" customFormat="false" ht="42" hidden="false" customHeight="true" outlineLevel="0" collapsed="false">
      <c r="A4" s="8" t="s">
        <v>147</v>
      </c>
      <c r="B4" s="8" t="s">
        <v>148</v>
      </c>
      <c r="C4" s="8" t="s">
        <v>149</v>
      </c>
      <c r="D4" s="8" t="s">
        <v>150</v>
      </c>
      <c r="E4" s="8" t="s">
        <v>151</v>
      </c>
      <c r="F4" s="8" t="s">
        <v>152</v>
      </c>
      <c r="G4" s="8" t="s">
        <v>153</v>
      </c>
      <c r="H4" s="8" t="s">
        <v>154</v>
      </c>
      <c r="I4" s="8" t="s">
        <v>155</v>
      </c>
      <c r="J4" s="8" t="s">
        <v>156</v>
      </c>
      <c r="K4" s="8" t="s">
        <v>157</v>
      </c>
      <c r="L4" s="8" t="s">
        <v>158</v>
      </c>
      <c r="M4" s="8" t="s">
        <v>159</v>
      </c>
      <c r="N4" s="8" t="s">
        <v>160</v>
      </c>
      <c r="O4" s="8" t="s">
        <v>161</v>
      </c>
      <c r="P4" s="8" t="s">
        <v>162</v>
      </c>
      <c r="Q4" s="8" t="s">
        <v>163</v>
      </c>
      <c r="R4" s="8" t="s">
        <v>164</v>
      </c>
      <c r="S4" s="8" t="s">
        <v>165</v>
      </c>
      <c r="T4" s="8" t="s">
        <v>127</v>
      </c>
      <c r="U4" s="8" t="s">
        <v>166</v>
      </c>
      <c r="V4" s="8" t="s">
        <v>167</v>
      </c>
    </row>
    <row r="5" customFormat="false" ht="23.25" hidden="false" customHeight="true" outlineLevel="0" collapsed="false">
      <c r="A5" s="23" t="s">
        <v>168</v>
      </c>
      <c r="B5" s="24" t="str">
        <f aca="false">IF($A5="","",IF(ISERROR(FIND(".",$A5)),"",LOWER(MID($A5,FIND(CHAR(1),SUBSTITUTE($A5,".",CHAR(1),LEN($A5)-LEN(SUBSTITUTE($A5,".",""))))+1,LEN($A5)))))</f>
        <v>com</v>
      </c>
      <c r="C5" s="25" t="n">
        <f aca="false">IF($B5="","",IFERROR(INDEX(Rubric!$B$15:$B$24,MATCH(LOWER($B5),Rubric!$A$15:$A$24,0)),INDEX(Rubric!$B$15:$B$24,MATCH("other",Rubric!$A$15:$A$24,0))))</f>
        <v>5</v>
      </c>
      <c r="D5" s="26" t="n">
        <v>5</v>
      </c>
      <c r="E5" s="26" t="n">
        <v>4</v>
      </c>
      <c r="F5" s="26" t="n">
        <v>4</v>
      </c>
      <c r="G5" s="26" t="n">
        <v>5</v>
      </c>
      <c r="H5" s="26" t="n">
        <v>2</v>
      </c>
      <c r="I5" s="26" t="s">
        <v>169</v>
      </c>
      <c r="J5" s="26" t="s">
        <v>169</v>
      </c>
      <c r="K5" s="27"/>
      <c r="L5" s="27" t="n">
        <v>40000</v>
      </c>
      <c r="M5" s="28" t="n">
        <f aca="false">IF($B5="","",IFERROR(INDEX(Rubric!$C$15:$C$24,MATCH(LOWER($B5),Rubric!$A$15:$A$24,0)),INDEX(Rubric!$C$15:$C$24,MATCH("other",Rubric!$A$15:$A$24,0))))</f>
        <v>11</v>
      </c>
      <c r="N5" s="29" t="n">
        <f aca="false">IF(OR($A5="",$C5=""),"",$C5*Rubric!$B$5+$D5*Rubric!$B$6+$E5*Rubric!$B$7+$F5*Rubric!$B$8+$G5*Rubric!$B$9+$H5*Rubric!$B$10)</f>
        <v>4.35</v>
      </c>
      <c r="O5" s="30" t="str">
        <f aca="false">IF($A5="","",IF(OR(UPPER($I5)="Y",UPPER($J5)="Y"),"FAIL","PASS"))</f>
        <v>PASS</v>
      </c>
      <c r="P5" s="31" t="n">
        <f aca="false">IF(OR($A5="",$L5=""),"",MAX(0,$L5-MAX($L5*Assumptions!$B$4,Assumptions!$B$5)))</f>
        <v>32000</v>
      </c>
      <c r="Q5" s="32" t="n">
        <f aca="false">IF($A5="","",Assumptions!$B$13)</f>
        <v>0.0960792032000001</v>
      </c>
      <c r="R5" s="31" t="n">
        <f aca="false">IF(OR($A5="",$M5=""),"",$M5*Assumptions!$B$7)</f>
        <v>55</v>
      </c>
      <c r="S5" s="31" t="n">
        <f aca="false">IF(OR($A5="",$P5="",$R5=""),"",MAX(0,$P5*$Q5-$R5))</f>
        <v>3019.5345024</v>
      </c>
      <c r="T5" s="30" t="str">
        <f aca="false">IF($A5="","",IF($O5="FAIL","REJECT",IF($N5&gt;=4,IF(AND($K5&lt;&gt;"",$K5&gt;$S5),"BUY IF CHEAPER","BUY"),IF($N5&gt;=3.2,"WATCH","PASS"))))</f>
        <v>BUY</v>
      </c>
      <c r="U5" s="26" t="s">
        <v>170</v>
      </c>
      <c r="V5" s="33" t="s">
        <v>171</v>
      </c>
    </row>
    <row r="6" customFormat="false" ht="15" hidden="false" customHeight="true" outlineLevel="0" collapsed="false">
      <c r="A6" s="23" t="s">
        <v>172</v>
      </c>
      <c r="B6" s="34" t="str">
        <f aca="false">IF($A6="","",IF(ISERROR(FIND(".",$A6)),"",LOWER(MID($A6,FIND(CHAR(1),SUBSTITUTE($A6,".",CHAR(1),LEN($A6)-LEN(SUBSTITUTE($A6,".",""))))+1,LEN($A6)))))</f>
        <v>com</v>
      </c>
      <c r="C6" s="35" t="n">
        <f aca="false">IF($B6="","",IFERROR(INDEX(Rubric!$B$15:$B$24,MATCH(LOWER($B6),Rubric!$A$15:$A$24,0)),INDEX(Rubric!$B$15:$B$24,MATCH("other",Rubric!$A$15:$A$24,0))))</f>
        <v>5</v>
      </c>
      <c r="D6" s="26" t="n">
        <v>5</v>
      </c>
      <c r="E6" s="26" t="n">
        <v>3</v>
      </c>
      <c r="F6" s="26" t="n">
        <v>3</v>
      </c>
      <c r="G6" s="26" t="n">
        <v>4</v>
      </c>
      <c r="H6" s="26" t="n">
        <v>2</v>
      </c>
      <c r="I6" s="26" t="s">
        <v>169</v>
      </c>
      <c r="J6" s="26" t="s">
        <v>169</v>
      </c>
      <c r="K6" s="27"/>
      <c r="L6" s="27" t="n">
        <v>30000</v>
      </c>
      <c r="M6" s="36" t="n">
        <f aca="false">IF($B6="","",IFERROR(INDEX(Rubric!$C$15:$C$24,MATCH(LOWER($B6),Rubric!$A$15:$A$24,0)),INDEX(Rubric!$C$15:$C$24,MATCH("other",Rubric!$A$15:$A$24,0))))</f>
        <v>11</v>
      </c>
      <c r="N6" s="37" t="n">
        <f aca="false">IF(OR($A6="",$C6=""),"",$C6*Rubric!$B$5+$D6*Rubric!$B$6+$E6*Rubric!$B$7+$F6*Rubric!$B$8+$G6*Rubric!$B$9+$H6*Rubric!$B$10)</f>
        <v>3.9</v>
      </c>
      <c r="O6" s="38" t="str">
        <f aca="false">IF($A6="","",IF(OR(UPPER($I6)="Y",UPPER($J6)="Y"),"FAIL","PASS"))</f>
        <v>PASS</v>
      </c>
      <c r="P6" s="39" t="n">
        <f aca="false">IF(OR($A6="",$L6=""),"",MAX(0,$L6-MAX($L6*Assumptions!$B$4,Assumptions!$B$5)))</f>
        <v>24000</v>
      </c>
      <c r="Q6" s="40" t="n">
        <f aca="false">IF($A6="","",Assumptions!$B$13)</f>
        <v>0.0960792032000001</v>
      </c>
      <c r="R6" s="39" t="n">
        <f aca="false">IF(OR($A6="",$M6=""),"",$M6*Assumptions!$B$7)</f>
        <v>55</v>
      </c>
      <c r="S6" s="39" t="n">
        <f aca="false">IF(OR($A6="",$P6="",$R6=""),"",MAX(0,$P6*$Q6-$R6))</f>
        <v>2250.9008768</v>
      </c>
      <c r="T6" s="38" t="str">
        <f aca="false">IF($A6="","",IF($O6="FAIL","REJECT",IF($N6&gt;=4,IF(AND($K6&lt;&gt;"",$K6&gt;$S6),"BUY IF CHEAPER","BUY"),IF($N6&gt;=3.2,"WATCH","PASS"))))</f>
        <v>WATCH</v>
      </c>
      <c r="U6" s="26" t="s">
        <v>170</v>
      </c>
      <c r="V6" s="33" t="s">
        <v>173</v>
      </c>
    </row>
    <row r="7" customFormat="false" ht="15" hidden="false" customHeight="true" outlineLevel="0" collapsed="false">
      <c r="A7" s="23" t="s">
        <v>174</v>
      </c>
      <c r="B7" s="34" t="str">
        <f aca="false">IF($A7="","",IF(ISERROR(FIND(".",$A7)),"",LOWER(MID($A7,FIND(CHAR(1),SUBSTITUTE($A7,".",CHAR(1),LEN($A7)-LEN(SUBSTITUTE($A7,".",""))))+1,LEN($A7)))))</f>
        <v>com</v>
      </c>
      <c r="C7" s="35" t="n">
        <f aca="false">IF($B7="","",IFERROR(INDEX(Rubric!$B$15:$B$24,MATCH(LOWER($B7),Rubric!$A$15:$A$24,0)),INDEX(Rubric!$B$15:$B$24,MATCH("other",Rubric!$A$15:$A$24,0))))</f>
        <v>5</v>
      </c>
      <c r="D7" s="26" t="n">
        <v>5</v>
      </c>
      <c r="E7" s="26" t="n">
        <v>3</v>
      </c>
      <c r="F7" s="26" t="n">
        <v>3</v>
      </c>
      <c r="G7" s="26" t="n">
        <v>5</v>
      </c>
      <c r="H7" s="26" t="n">
        <v>2</v>
      </c>
      <c r="I7" s="26" t="s">
        <v>169</v>
      </c>
      <c r="J7" s="26" t="s">
        <v>169</v>
      </c>
      <c r="K7" s="27"/>
      <c r="L7" s="27" t="n">
        <v>25000</v>
      </c>
      <c r="M7" s="36" t="n">
        <f aca="false">IF($B7="","",IFERROR(INDEX(Rubric!$C$15:$C$24,MATCH(LOWER($B7),Rubric!$A$15:$A$24,0)),INDEX(Rubric!$C$15:$C$24,MATCH("other",Rubric!$A$15:$A$24,0))))</f>
        <v>11</v>
      </c>
      <c r="N7" s="37" t="n">
        <f aca="false">IF(OR($A7="",$C7=""),"",$C7*Rubric!$B$5+$D7*Rubric!$B$6+$E7*Rubric!$B$7+$F7*Rubric!$B$8+$G7*Rubric!$B$9+$H7*Rubric!$B$10)</f>
        <v>4</v>
      </c>
      <c r="O7" s="38" t="str">
        <f aca="false">IF($A7="","",IF(OR(UPPER($I7)="Y",UPPER($J7)="Y"),"FAIL","PASS"))</f>
        <v>PASS</v>
      </c>
      <c r="P7" s="39" t="n">
        <f aca="false">IF(OR($A7="",$L7=""),"",MAX(0,$L7-MAX($L7*Assumptions!$B$4,Assumptions!$B$5)))</f>
        <v>20000</v>
      </c>
      <c r="Q7" s="40" t="n">
        <f aca="false">IF($A7="","",Assumptions!$B$13)</f>
        <v>0.0960792032000001</v>
      </c>
      <c r="R7" s="39" t="n">
        <f aca="false">IF(OR($A7="",$M7=""),"",$M7*Assumptions!$B$7)</f>
        <v>55</v>
      </c>
      <c r="S7" s="39" t="n">
        <f aca="false">IF(OR($A7="",$P7="",$R7=""),"",MAX(0,$P7*$Q7-$R7))</f>
        <v>1866.584064</v>
      </c>
      <c r="T7" s="38" t="str">
        <f aca="false">IF($A7="","",IF($O7="FAIL","REJECT",IF($N7&gt;=4,IF(AND($K7&lt;&gt;"",$K7&gt;$S7),"BUY IF CHEAPER","BUY"),IF($N7&gt;=3.2,"WATCH","PASS"))))</f>
        <v>BUY</v>
      </c>
      <c r="U7" s="26" t="s">
        <v>170</v>
      </c>
      <c r="V7" s="33" t="s">
        <v>175</v>
      </c>
    </row>
    <row r="8" customFormat="false" ht="15" hidden="false" customHeight="true" outlineLevel="0" collapsed="false">
      <c r="A8" s="23" t="s">
        <v>176</v>
      </c>
      <c r="B8" s="34" t="str">
        <f aca="false">IF($A8="","",IF(ISERROR(FIND(".",$A8)),"",LOWER(MID($A8,FIND(CHAR(1),SUBSTITUTE($A8,".",CHAR(1),LEN($A8)-LEN(SUBSTITUTE($A8,".",""))))+1,LEN($A8)))))</f>
        <v>com</v>
      </c>
      <c r="C8" s="35" t="n">
        <f aca="false">IF($B8="","",IFERROR(INDEX(Rubric!$B$15:$B$24,MATCH(LOWER($B8),Rubric!$A$15:$A$24,0)),INDEX(Rubric!$B$15:$B$24,MATCH("other",Rubric!$A$15:$A$24,0))))</f>
        <v>5</v>
      </c>
      <c r="D8" s="26" t="n">
        <v>5</v>
      </c>
      <c r="E8" s="26" t="n">
        <v>3</v>
      </c>
      <c r="F8" s="26" t="n">
        <v>3</v>
      </c>
      <c r="G8" s="26" t="n">
        <v>5</v>
      </c>
      <c r="H8" s="26" t="n">
        <v>2</v>
      </c>
      <c r="I8" s="26" t="s">
        <v>169</v>
      </c>
      <c r="J8" s="26" t="s">
        <v>169</v>
      </c>
      <c r="K8" s="27"/>
      <c r="L8" s="27" t="n">
        <v>25000</v>
      </c>
      <c r="M8" s="36" t="n">
        <f aca="false">IF($B8="","",IFERROR(INDEX(Rubric!$C$15:$C$24,MATCH(LOWER($B8),Rubric!$A$15:$A$24,0)),INDEX(Rubric!$C$15:$C$24,MATCH("other",Rubric!$A$15:$A$24,0))))</f>
        <v>11</v>
      </c>
      <c r="N8" s="37" t="n">
        <f aca="false">IF(OR($A8="",$C8=""),"",$C8*Rubric!$B$5+$D8*Rubric!$B$6+$E8*Rubric!$B$7+$F8*Rubric!$B$8+$G8*Rubric!$B$9+$H8*Rubric!$B$10)</f>
        <v>4</v>
      </c>
      <c r="O8" s="38" t="str">
        <f aca="false">IF($A8="","",IF(OR(UPPER($I8)="Y",UPPER($J8)="Y"),"FAIL","PASS"))</f>
        <v>PASS</v>
      </c>
      <c r="P8" s="39" t="n">
        <f aca="false">IF(OR($A8="",$L8=""),"",MAX(0,$L8-MAX($L8*Assumptions!$B$4,Assumptions!$B$5)))</f>
        <v>20000</v>
      </c>
      <c r="Q8" s="40" t="n">
        <f aca="false">IF($A8="","",Assumptions!$B$13)</f>
        <v>0.0960792032000001</v>
      </c>
      <c r="R8" s="39" t="n">
        <f aca="false">IF(OR($A8="",$M8=""),"",$M8*Assumptions!$B$7)</f>
        <v>55</v>
      </c>
      <c r="S8" s="39" t="n">
        <f aca="false">IF(OR($A8="",$P8="",$R8=""),"",MAX(0,$P8*$Q8-$R8))</f>
        <v>1866.584064</v>
      </c>
      <c r="T8" s="38" t="str">
        <f aca="false">IF($A8="","",IF($O8="FAIL","REJECT",IF($N8&gt;=4,IF(AND($K8&lt;&gt;"",$K8&gt;$S8),"BUY IF CHEAPER","BUY"),IF($N8&gt;=3.2,"WATCH","PASS"))))</f>
        <v>BUY</v>
      </c>
      <c r="U8" s="26" t="s">
        <v>170</v>
      </c>
      <c r="V8" s="33" t="s">
        <v>177</v>
      </c>
    </row>
    <row r="9" customFormat="false" ht="15" hidden="false" customHeight="true" outlineLevel="0" collapsed="false">
      <c r="A9" s="23" t="s">
        <v>178</v>
      </c>
      <c r="B9" s="34" t="str">
        <f aca="false">IF($A9="","",IF(ISERROR(FIND(".",$A9)),"",LOWER(MID($A9,FIND(CHAR(1),SUBSTITUTE($A9,".",CHAR(1),LEN($A9)-LEN(SUBSTITUTE($A9,".",""))))+1,LEN($A9)))))</f>
        <v>com</v>
      </c>
      <c r="C9" s="35" t="n">
        <f aca="false">IF($B9="","",IFERROR(INDEX(Rubric!$B$15:$B$24,MATCH(LOWER($B9),Rubric!$A$15:$A$24,0)),INDEX(Rubric!$B$15:$B$24,MATCH("other",Rubric!$A$15:$A$24,0))))</f>
        <v>5</v>
      </c>
      <c r="D9" s="26" t="n">
        <v>5</v>
      </c>
      <c r="E9" s="26" t="n">
        <v>3</v>
      </c>
      <c r="F9" s="26" t="n">
        <v>3</v>
      </c>
      <c r="G9" s="26" t="n">
        <v>5</v>
      </c>
      <c r="H9" s="26" t="n">
        <v>2</v>
      </c>
      <c r="I9" s="26" t="s">
        <v>169</v>
      </c>
      <c r="J9" s="26" t="s">
        <v>169</v>
      </c>
      <c r="K9" s="27"/>
      <c r="L9" s="27" t="n">
        <v>20000</v>
      </c>
      <c r="M9" s="36" t="n">
        <f aca="false">IF($B9="","",IFERROR(INDEX(Rubric!$C$15:$C$24,MATCH(LOWER($B9),Rubric!$A$15:$A$24,0)),INDEX(Rubric!$C$15:$C$24,MATCH("other",Rubric!$A$15:$A$24,0))))</f>
        <v>11</v>
      </c>
      <c r="N9" s="37" t="n">
        <f aca="false">IF(OR($A9="",$C9=""),"",$C9*Rubric!$B$5+$D9*Rubric!$B$6+$E9*Rubric!$B$7+$F9*Rubric!$B$8+$G9*Rubric!$B$9+$H9*Rubric!$B$10)</f>
        <v>4</v>
      </c>
      <c r="O9" s="38" t="str">
        <f aca="false">IF($A9="","",IF(OR(UPPER($I9)="Y",UPPER($J9)="Y"),"FAIL","PASS"))</f>
        <v>PASS</v>
      </c>
      <c r="P9" s="39" t="n">
        <f aca="false">IF(OR($A9="",$L9=""),"",MAX(0,$L9-MAX($L9*Assumptions!$B$4,Assumptions!$B$5)))</f>
        <v>16000</v>
      </c>
      <c r="Q9" s="40" t="n">
        <f aca="false">IF($A9="","",Assumptions!$B$13)</f>
        <v>0.0960792032000001</v>
      </c>
      <c r="R9" s="39" t="n">
        <f aca="false">IF(OR($A9="",$M9=""),"",$M9*Assumptions!$B$7)</f>
        <v>55</v>
      </c>
      <c r="S9" s="39" t="n">
        <f aca="false">IF(OR($A9="",$P9="",$R9=""),"",MAX(0,$P9*$Q9-$R9))</f>
        <v>1482.2672512</v>
      </c>
      <c r="T9" s="38" t="str">
        <f aca="false">IF($A9="","",IF($O9="FAIL","REJECT",IF($N9&gt;=4,IF(AND($K9&lt;&gt;"",$K9&gt;$S9),"BUY IF CHEAPER","BUY"),IF($N9&gt;=3.2,"WATCH","PASS"))))</f>
        <v>BUY</v>
      </c>
      <c r="U9" s="26" t="s">
        <v>170</v>
      </c>
      <c r="V9" s="33" t="s">
        <v>179</v>
      </c>
    </row>
    <row r="10" customFormat="false" ht="15" hidden="false" customHeight="true" outlineLevel="0" collapsed="false">
      <c r="A10" s="23" t="s">
        <v>180</v>
      </c>
      <c r="B10" s="34" t="str">
        <f aca="false">IF($A10="","",IF(ISERROR(FIND(".",$A10)),"",LOWER(MID($A10,FIND(CHAR(1),SUBSTITUTE($A10,".",CHAR(1),LEN($A10)-LEN(SUBSTITUTE($A10,".",""))))+1,LEN($A10)))))</f>
        <v>com</v>
      </c>
      <c r="C10" s="35" t="n">
        <f aca="false">IF($B10="","",IFERROR(INDEX(Rubric!$B$15:$B$24,MATCH(LOWER($B10),Rubric!$A$15:$A$24,0)),INDEX(Rubric!$B$15:$B$24,MATCH("other",Rubric!$A$15:$A$24,0))))</f>
        <v>5</v>
      </c>
      <c r="D10" s="26" t="n">
        <v>5</v>
      </c>
      <c r="E10" s="26" t="n">
        <v>3</v>
      </c>
      <c r="F10" s="26" t="n">
        <v>2</v>
      </c>
      <c r="G10" s="26" t="n">
        <v>4</v>
      </c>
      <c r="H10" s="26" t="n">
        <v>2</v>
      </c>
      <c r="I10" s="26" t="s">
        <v>169</v>
      </c>
      <c r="J10" s="26" t="s">
        <v>169</v>
      </c>
      <c r="K10" s="27"/>
      <c r="L10" s="27" t="n">
        <v>20000</v>
      </c>
      <c r="M10" s="36" t="n">
        <f aca="false">IF($B10="","",IFERROR(INDEX(Rubric!$C$15:$C$24,MATCH(LOWER($B10),Rubric!$A$15:$A$24,0)),INDEX(Rubric!$C$15:$C$24,MATCH("other",Rubric!$A$15:$A$24,0))))</f>
        <v>11</v>
      </c>
      <c r="N10" s="37" t="n">
        <f aca="false">IF(OR($A10="",$C10=""),"",$C10*Rubric!$B$5+$D10*Rubric!$B$6+$E10*Rubric!$B$7+$F10*Rubric!$B$8+$G10*Rubric!$B$9+$H10*Rubric!$B$10)</f>
        <v>3.75</v>
      </c>
      <c r="O10" s="38" t="str">
        <f aca="false">IF($A10="","",IF(OR(UPPER($I10)="Y",UPPER($J10)="Y"),"FAIL","PASS"))</f>
        <v>PASS</v>
      </c>
      <c r="P10" s="39" t="n">
        <f aca="false">IF(OR($A10="",$L10=""),"",MAX(0,$L10-MAX($L10*Assumptions!$B$4,Assumptions!$B$5)))</f>
        <v>16000</v>
      </c>
      <c r="Q10" s="40" t="n">
        <f aca="false">IF($A10="","",Assumptions!$B$13)</f>
        <v>0.0960792032000001</v>
      </c>
      <c r="R10" s="39" t="n">
        <f aca="false">IF(OR($A10="",$M10=""),"",$M10*Assumptions!$B$7)</f>
        <v>55</v>
      </c>
      <c r="S10" s="39" t="n">
        <f aca="false">IF(OR($A10="",$P10="",$R10=""),"",MAX(0,$P10*$Q10-$R10))</f>
        <v>1482.2672512</v>
      </c>
      <c r="T10" s="38" t="str">
        <f aca="false">IF($A10="","",IF($O10="FAIL","REJECT",IF($N10&gt;=4,IF(AND($K10&lt;&gt;"",$K10&gt;$S10),"BUY IF CHEAPER","BUY"),IF($N10&gt;=3.2,"WATCH","PASS"))))</f>
        <v>WATCH</v>
      </c>
      <c r="U10" s="26" t="s">
        <v>170</v>
      </c>
      <c r="V10" s="33" t="s">
        <v>181</v>
      </c>
    </row>
    <row r="11" customFormat="false" ht="15" hidden="false" customHeight="true" outlineLevel="0" collapsed="false">
      <c r="A11" s="23" t="s">
        <v>182</v>
      </c>
      <c r="B11" s="34" t="str">
        <f aca="false">IF($A11="","",IF(ISERROR(FIND(".",$A11)),"",LOWER(MID($A11,FIND(CHAR(1),SUBSTITUTE($A11,".",CHAR(1),LEN($A11)-LEN(SUBSTITUTE($A11,".",""))))+1,LEN($A11)))))</f>
        <v>com</v>
      </c>
      <c r="C11" s="35" t="n">
        <f aca="false">IF($B11="","",IFERROR(INDEX(Rubric!$B$15:$B$24,MATCH(LOWER($B11),Rubric!$A$15:$A$24,0)),INDEX(Rubric!$B$15:$B$24,MATCH("other",Rubric!$A$15:$A$24,0))))</f>
        <v>5</v>
      </c>
      <c r="D11" s="26" t="n">
        <v>5</v>
      </c>
      <c r="E11" s="26" t="n">
        <v>3</v>
      </c>
      <c r="F11" s="26" t="n">
        <v>2</v>
      </c>
      <c r="G11" s="26" t="n">
        <v>4</v>
      </c>
      <c r="H11" s="26" t="n">
        <v>2</v>
      </c>
      <c r="I11" s="26" t="s">
        <v>169</v>
      </c>
      <c r="J11" s="26" t="s">
        <v>169</v>
      </c>
      <c r="K11" s="27"/>
      <c r="L11" s="27" t="n">
        <v>12000</v>
      </c>
      <c r="M11" s="36" t="n">
        <f aca="false">IF($B11="","",IFERROR(INDEX(Rubric!$C$15:$C$24,MATCH(LOWER($B11),Rubric!$A$15:$A$24,0)),INDEX(Rubric!$C$15:$C$24,MATCH("other",Rubric!$A$15:$A$24,0))))</f>
        <v>11</v>
      </c>
      <c r="N11" s="37" t="n">
        <f aca="false">IF(OR($A11="",$C11=""),"",$C11*Rubric!$B$5+$D11*Rubric!$B$6+$E11*Rubric!$B$7+$F11*Rubric!$B$8+$G11*Rubric!$B$9+$H11*Rubric!$B$10)</f>
        <v>3.75</v>
      </c>
      <c r="O11" s="38" t="str">
        <f aca="false">IF($A11="","",IF(OR(UPPER($I11)="Y",UPPER($J11)="Y"),"FAIL","PASS"))</f>
        <v>PASS</v>
      </c>
      <c r="P11" s="39" t="n">
        <f aca="false">IF(OR($A11="",$L11=""),"",MAX(0,$L11-MAX($L11*Assumptions!$B$4,Assumptions!$B$5)))</f>
        <v>9600</v>
      </c>
      <c r="Q11" s="40" t="n">
        <f aca="false">IF($A11="","",Assumptions!$B$13)</f>
        <v>0.0960792032000001</v>
      </c>
      <c r="R11" s="39" t="n">
        <f aca="false">IF(OR($A11="",$M11=""),"",$M11*Assumptions!$B$7)</f>
        <v>55</v>
      </c>
      <c r="S11" s="39" t="n">
        <f aca="false">IF(OR($A11="",$P11="",$R11=""),"",MAX(0,$P11*$Q11-$R11))</f>
        <v>867.360350720001</v>
      </c>
      <c r="T11" s="38" t="str">
        <f aca="false">IF($A11="","",IF($O11="FAIL","REJECT",IF($N11&gt;=4,IF(AND($K11&lt;&gt;"",$K11&gt;$S11),"BUY IF CHEAPER","BUY"),IF($N11&gt;=3.2,"WATCH","PASS"))))</f>
        <v>WATCH</v>
      </c>
      <c r="U11" s="26" t="s">
        <v>170</v>
      </c>
      <c r="V11" s="33" t="s">
        <v>183</v>
      </c>
    </row>
    <row r="12" customFormat="false" ht="15" hidden="false" customHeight="true" outlineLevel="0" collapsed="false">
      <c r="A12" s="23" t="s">
        <v>184</v>
      </c>
      <c r="B12" s="34" t="str">
        <f aca="false">IF($A12="","",IF(ISERROR(FIND(".",$A12)),"",LOWER(MID($A12,FIND(CHAR(1),SUBSTITUTE($A12,".",CHAR(1),LEN($A12)-LEN(SUBSTITUTE($A12,".",""))))+1,LEN($A12)))))</f>
        <v>com</v>
      </c>
      <c r="C12" s="35" t="n">
        <f aca="false">IF($B12="","",IFERROR(INDEX(Rubric!$B$15:$B$24,MATCH(LOWER($B12),Rubric!$A$15:$A$24,0)),INDEX(Rubric!$B$15:$B$24,MATCH("other",Rubric!$A$15:$A$24,0))))</f>
        <v>5</v>
      </c>
      <c r="D12" s="26" t="n">
        <v>4</v>
      </c>
      <c r="E12" s="26" t="n">
        <v>2</v>
      </c>
      <c r="F12" s="26" t="n">
        <v>3</v>
      </c>
      <c r="G12" s="26" t="n">
        <v>4</v>
      </c>
      <c r="H12" s="26" t="n">
        <v>2</v>
      </c>
      <c r="I12" s="26" t="s">
        <v>169</v>
      </c>
      <c r="J12" s="26" t="s">
        <v>169</v>
      </c>
      <c r="K12" s="27"/>
      <c r="L12" s="27" t="n">
        <v>8000</v>
      </c>
      <c r="M12" s="36" t="n">
        <f aca="false">IF($B12="","",IFERROR(INDEX(Rubric!$C$15:$C$24,MATCH(LOWER($B12),Rubric!$A$15:$A$24,0)),INDEX(Rubric!$C$15:$C$24,MATCH("other",Rubric!$A$15:$A$24,0))))</f>
        <v>11</v>
      </c>
      <c r="N12" s="37" t="n">
        <f aca="false">IF(OR($A12="",$C12=""),"",$C12*Rubric!$B$5+$D12*Rubric!$B$6+$E12*Rubric!$B$7+$F12*Rubric!$B$8+$G12*Rubric!$B$9+$H12*Rubric!$B$10)</f>
        <v>3.45</v>
      </c>
      <c r="O12" s="38" t="str">
        <f aca="false">IF($A12="","",IF(OR(UPPER($I12)="Y",UPPER($J12)="Y"),"FAIL","PASS"))</f>
        <v>PASS</v>
      </c>
      <c r="P12" s="39" t="n">
        <f aca="false">IF(OR($A12="",$L12=""),"",MAX(0,$L12-MAX($L12*Assumptions!$B$4,Assumptions!$B$5)))</f>
        <v>6400</v>
      </c>
      <c r="Q12" s="40" t="n">
        <f aca="false">IF($A12="","",Assumptions!$B$13)</f>
        <v>0.0960792032000001</v>
      </c>
      <c r="R12" s="39" t="n">
        <f aca="false">IF(OR($A12="",$M12=""),"",$M12*Assumptions!$B$7)</f>
        <v>55</v>
      </c>
      <c r="S12" s="39" t="n">
        <f aca="false">IF(OR($A12="",$P12="",$R12=""),"",MAX(0,$P12*$Q12-$R12))</f>
        <v>559.90690048</v>
      </c>
      <c r="T12" s="38" t="str">
        <f aca="false">IF($A12="","",IF($O12="FAIL","REJECT",IF($N12&gt;=4,IF(AND($K12&lt;&gt;"",$K12&gt;$S12),"BUY IF CHEAPER","BUY"),IF($N12&gt;=3.2,"WATCH","PASS"))))</f>
        <v>WATCH</v>
      </c>
      <c r="U12" s="26" t="s">
        <v>170</v>
      </c>
      <c r="V12" s="33" t="s">
        <v>185</v>
      </c>
    </row>
    <row r="13" customFormat="false" ht="23.25" hidden="false" customHeight="true" outlineLevel="0" collapsed="false">
      <c r="A13" s="23" t="s">
        <v>186</v>
      </c>
      <c r="B13" s="34" t="str">
        <f aca="false">IF($A13="","",IF(ISERROR(FIND(".",$A13)),"",LOWER(MID($A13,FIND(CHAR(1),SUBSTITUTE($A13,".",CHAR(1),LEN($A13)-LEN(SUBSTITUTE($A13,".",""))))+1,LEN($A13)))))</f>
        <v>com</v>
      </c>
      <c r="C13" s="35" t="n">
        <f aca="false">IF($B13="","",IFERROR(INDEX(Rubric!$B$15:$B$24,MATCH(LOWER($B13),Rubric!$A$15:$A$24,0)),INDEX(Rubric!$B$15:$B$24,MATCH("other",Rubric!$A$15:$A$24,0))))</f>
        <v>5</v>
      </c>
      <c r="D13" s="26" t="n">
        <v>4</v>
      </c>
      <c r="E13" s="26" t="n">
        <v>2</v>
      </c>
      <c r="F13" s="26" t="n">
        <v>3</v>
      </c>
      <c r="G13" s="26" t="n">
        <v>5</v>
      </c>
      <c r="H13" s="26" t="n">
        <v>2</v>
      </c>
      <c r="I13" s="26" t="s">
        <v>169</v>
      </c>
      <c r="J13" s="26" t="s">
        <v>169</v>
      </c>
      <c r="K13" s="27"/>
      <c r="L13" s="27" t="n">
        <v>7000</v>
      </c>
      <c r="M13" s="36" t="n">
        <f aca="false">IF($B13="","",IFERROR(INDEX(Rubric!$C$15:$C$24,MATCH(LOWER($B13),Rubric!$A$15:$A$24,0)),INDEX(Rubric!$C$15:$C$24,MATCH("other",Rubric!$A$15:$A$24,0))))</f>
        <v>11</v>
      </c>
      <c r="N13" s="37" t="n">
        <f aca="false">IF(OR($A13="",$C13=""),"",$C13*Rubric!$B$5+$D13*Rubric!$B$6+$E13*Rubric!$B$7+$F13*Rubric!$B$8+$G13*Rubric!$B$9+$H13*Rubric!$B$10)</f>
        <v>3.55</v>
      </c>
      <c r="O13" s="38" t="str">
        <f aca="false">IF($A13="","",IF(OR(UPPER($I13)="Y",UPPER($J13)="Y"),"FAIL","PASS"))</f>
        <v>PASS</v>
      </c>
      <c r="P13" s="39" t="n">
        <f aca="false">IF(OR($A13="",$L13=""),"",MAX(0,$L13-MAX($L13*Assumptions!$B$4,Assumptions!$B$5)))</f>
        <v>5600</v>
      </c>
      <c r="Q13" s="40" t="n">
        <f aca="false">IF($A13="","",Assumptions!$B$13)</f>
        <v>0.0960792032000001</v>
      </c>
      <c r="R13" s="39" t="n">
        <f aca="false">IF(OR($A13="",$M13=""),"",$M13*Assumptions!$B$7)</f>
        <v>55</v>
      </c>
      <c r="S13" s="39" t="n">
        <f aca="false">IF(OR($A13="",$P13="",$R13=""),"",MAX(0,$P13*$Q13-$R13))</f>
        <v>483.04353792</v>
      </c>
      <c r="T13" s="38" t="str">
        <f aca="false">IF($A13="","",IF($O13="FAIL","REJECT",IF($N13&gt;=4,IF(AND($K13&lt;&gt;"",$K13&gt;$S13),"BUY IF CHEAPER","BUY"),IF($N13&gt;=3.2,"WATCH","PASS"))))</f>
        <v>WATCH</v>
      </c>
      <c r="U13" s="26" t="s">
        <v>170</v>
      </c>
      <c r="V13" s="33" t="s">
        <v>187</v>
      </c>
    </row>
    <row r="14" customFormat="false" ht="15" hidden="false" customHeight="true" outlineLevel="0" collapsed="false">
      <c r="A14" s="23" t="s">
        <v>188</v>
      </c>
      <c r="B14" s="34" t="str">
        <f aca="false">IF($A14="","",IF(ISERROR(FIND(".",$A14)),"",LOWER(MID($A14,FIND(CHAR(1),SUBSTITUTE($A14,".",CHAR(1),LEN($A14)-LEN(SUBSTITUTE($A14,".",""))))+1,LEN($A14)))))</f>
        <v>com</v>
      </c>
      <c r="C14" s="35" t="n">
        <f aca="false">IF($B14="","",IFERROR(INDEX(Rubric!$B$15:$B$24,MATCH(LOWER($B14),Rubric!$A$15:$A$24,0)),INDEX(Rubric!$B$15:$B$24,MATCH("other",Rubric!$A$15:$A$24,0))))</f>
        <v>5</v>
      </c>
      <c r="D14" s="26" t="n">
        <v>5</v>
      </c>
      <c r="E14" s="26" t="n">
        <v>3</v>
      </c>
      <c r="F14" s="26" t="n">
        <v>4</v>
      </c>
      <c r="G14" s="26" t="n">
        <v>5</v>
      </c>
      <c r="H14" s="26" t="n">
        <v>2</v>
      </c>
      <c r="I14" s="26" t="s">
        <v>169</v>
      </c>
      <c r="J14" s="26" t="s">
        <v>169</v>
      </c>
      <c r="K14" s="27"/>
      <c r="L14" s="27" t="n">
        <v>18000</v>
      </c>
      <c r="M14" s="36" t="n">
        <f aca="false">IF($B14="","",IFERROR(INDEX(Rubric!$C$15:$C$24,MATCH(LOWER($B14),Rubric!$A$15:$A$24,0)),INDEX(Rubric!$C$15:$C$24,MATCH("other",Rubric!$A$15:$A$24,0))))</f>
        <v>11</v>
      </c>
      <c r="N14" s="37" t="n">
        <f aca="false">IF(OR($A14="",$C14=""),"",$C14*Rubric!$B$5+$D14*Rubric!$B$6+$E14*Rubric!$B$7+$F14*Rubric!$B$8+$G14*Rubric!$B$9+$H14*Rubric!$B$10)</f>
        <v>4.15</v>
      </c>
      <c r="O14" s="38" t="str">
        <f aca="false">IF($A14="","",IF(OR(UPPER($I14)="Y",UPPER($J14)="Y"),"FAIL","PASS"))</f>
        <v>PASS</v>
      </c>
      <c r="P14" s="39" t="n">
        <f aca="false">IF(OR($A14="",$L14=""),"",MAX(0,$L14-MAX($L14*Assumptions!$B$4,Assumptions!$B$5)))</f>
        <v>14400</v>
      </c>
      <c r="Q14" s="40" t="n">
        <f aca="false">IF($A14="","",Assumptions!$B$13)</f>
        <v>0.0960792032000001</v>
      </c>
      <c r="R14" s="39" t="n">
        <f aca="false">IF(OR($A14="",$M14=""),"",$M14*Assumptions!$B$7)</f>
        <v>55</v>
      </c>
      <c r="S14" s="39" t="n">
        <f aca="false">IF(OR($A14="",$P14="",$R14=""),"",MAX(0,$P14*$Q14-$R14))</f>
        <v>1328.54052608</v>
      </c>
      <c r="T14" s="38" t="str">
        <f aca="false">IF($A14="","",IF($O14="FAIL","REJECT",IF($N14&gt;=4,IF(AND($K14&lt;&gt;"",$K14&gt;$S14),"BUY IF CHEAPER","BUY"),IF($N14&gt;=3.2,"WATCH","PASS"))))</f>
        <v>BUY</v>
      </c>
      <c r="U14" s="26" t="s">
        <v>170</v>
      </c>
      <c r="V14" s="33" t="s">
        <v>189</v>
      </c>
    </row>
    <row r="15" customFormat="false" ht="15" hidden="false" customHeight="true" outlineLevel="0" collapsed="false">
      <c r="A15" s="23" t="s">
        <v>190</v>
      </c>
      <c r="B15" s="34" t="str">
        <f aca="false">IF($A15="","",IF(ISERROR(FIND(".",$A15)),"",LOWER(MID($A15,FIND(CHAR(1),SUBSTITUTE($A15,".",CHAR(1),LEN($A15)-LEN(SUBSTITUTE($A15,".",""))))+1,LEN($A15)))))</f>
        <v>com</v>
      </c>
      <c r="C15" s="35" t="n">
        <f aca="false">IF($B15="","",IFERROR(INDEX(Rubric!$B$15:$B$24,MATCH(LOWER($B15),Rubric!$A$15:$A$24,0)),INDEX(Rubric!$B$15:$B$24,MATCH("other",Rubric!$A$15:$A$24,0))))</f>
        <v>5</v>
      </c>
      <c r="D15" s="26" t="n">
        <v>4</v>
      </c>
      <c r="E15" s="26" t="n">
        <v>3</v>
      </c>
      <c r="F15" s="26" t="n">
        <v>3</v>
      </c>
      <c r="G15" s="26" t="n">
        <v>4</v>
      </c>
      <c r="H15" s="26" t="n">
        <v>5</v>
      </c>
      <c r="I15" s="26" t="s">
        <v>169</v>
      </c>
      <c r="J15" s="26" t="s">
        <v>169</v>
      </c>
      <c r="K15" s="27"/>
      <c r="L15" s="27" t="n">
        <v>4500</v>
      </c>
      <c r="M15" s="36" t="n">
        <f aca="false">IF($B15="","",IFERROR(INDEX(Rubric!$C$15:$C$24,MATCH(LOWER($B15),Rubric!$A$15:$A$24,0)),INDEX(Rubric!$C$15:$C$24,MATCH("other",Rubric!$A$15:$A$24,0))))</f>
        <v>11</v>
      </c>
      <c r="N15" s="37" t="n">
        <f aca="false">IF(OR($A15="",$C15=""),"",$C15*Rubric!$B$5+$D15*Rubric!$B$6+$E15*Rubric!$B$7+$F15*Rubric!$B$8+$G15*Rubric!$B$9+$H15*Rubric!$B$10)</f>
        <v>3.95</v>
      </c>
      <c r="O15" s="38" t="str">
        <f aca="false">IF($A15="","",IF(OR(UPPER($I15)="Y",UPPER($J15)="Y"),"FAIL","PASS"))</f>
        <v>PASS</v>
      </c>
      <c r="P15" s="39" t="n">
        <f aca="false">IF(OR($A15="",$L15=""),"",MAX(0,$L15-MAX($L15*Assumptions!$B$4,Assumptions!$B$5)))</f>
        <v>3600</v>
      </c>
      <c r="Q15" s="40" t="n">
        <f aca="false">IF($A15="","",Assumptions!$B$13)</f>
        <v>0.0960792032000001</v>
      </c>
      <c r="R15" s="39" t="n">
        <f aca="false">IF(OR($A15="",$M15=""),"",$M15*Assumptions!$B$7)</f>
        <v>55</v>
      </c>
      <c r="S15" s="39" t="n">
        <f aca="false">IF(OR($A15="",$P15="",$R15=""),"",MAX(0,$P15*$Q15-$R15))</f>
        <v>290.88513152</v>
      </c>
      <c r="T15" s="38" t="str">
        <f aca="false">IF($A15="","",IF($O15="FAIL","REJECT",IF($N15&gt;=4,IF(AND($K15&lt;&gt;"",$K15&gt;$S15),"BUY IF CHEAPER","BUY"),IF($N15&gt;=3.2,"WATCH","PASS"))))</f>
        <v>WATCH</v>
      </c>
      <c r="U15" s="26" t="s">
        <v>170</v>
      </c>
      <c r="V15" s="33" t="s">
        <v>191</v>
      </c>
    </row>
    <row r="16" customFormat="false" ht="15" hidden="false" customHeight="true" outlineLevel="0" collapsed="false">
      <c r="A16" s="23" t="s">
        <v>192</v>
      </c>
      <c r="B16" s="34" t="str">
        <f aca="false">IF($A16="","",IF(ISERROR(FIND(".",$A16)),"",LOWER(MID($A16,FIND(CHAR(1),SUBSTITUTE($A16,".",CHAR(1),LEN($A16)-LEN(SUBSTITUTE($A16,".",""))))+1,LEN($A16)))))</f>
        <v>com</v>
      </c>
      <c r="C16" s="35" t="n">
        <f aca="false">IF($B16="","",IFERROR(INDEX(Rubric!$B$15:$B$24,MATCH(LOWER($B16),Rubric!$A$15:$A$24,0)),INDEX(Rubric!$B$15:$B$24,MATCH("other",Rubric!$A$15:$A$24,0))))</f>
        <v>5</v>
      </c>
      <c r="D16" s="26" t="n">
        <v>4</v>
      </c>
      <c r="E16" s="26" t="n">
        <v>3</v>
      </c>
      <c r="F16" s="26" t="n">
        <v>3</v>
      </c>
      <c r="G16" s="26" t="n">
        <v>5</v>
      </c>
      <c r="H16" s="26" t="n">
        <v>5</v>
      </c>
      <c r="I16" s="26" t="s">
        <v>169</v>
      </c>
      <c r="J16" s="26" t="s">
        <v>169</v>
      </c>
      <c r="K16" s="27"/>
      <c r="L16" s="27" t="n">
        <v>3500</v>
      </c>
      <c r="M16" s="36" t="n">
        <f aca="false">IF($B16="","",IFERROR(INDEX(Rubric!$C$15:$C$24,MATCH(LOWER($B16),Rubric!$A$15:$A$24,0)),INDEX(Rubric!$C$15:$C$24,MATCH("other",Rubric!$A$15:$A$24,0))))</f>
        <v>11</v>
      </c>
      <c r="N16" s="37" t="n">
        <f aca="false">IF(OR($A16="",$C16=""),"",$C16*Rubric!$B$5+$D16*Rubric!$B$6+$E16*Rubric!$B$7+$F16*Rubric!$B$8+$G16*Rubric!$B$9+$H16*Rubric!$B$10)</f>
        <v>4.05</v>
      </c>
      <c r="O16" s="38" t="str">
        <f aca="false">IF($A16="","",IF(OR(UPPER($I16)="Y",UPPER($J16)="Y"),"FAIL","PASS"))</f>
        <v>PASS</v>
      </c>
      <c r="P16" s="39" t="n">
        <f aca="false">IF(OR($A16="",$L16=""),"",MAX(0,$L16-MAX($L16*Assumptions!$B$4,Assumptions!$B$5)))</f>
        <v>2800</v>
      </c>
      <c r="Q16" s="40" t="n">
        <f aca="false">IF($A16="","",Assumptions!$B$13)</f>
        <v>0.0960792032000001</v>
      </c>
      <c r="R16" s="39" t="n">
        <f aca="false">IF(OR($A16="",$M16=""),"",$M16*Assumptions!$B$7)</f>
        <v>55</v>
      </c>
      <c r="S16" s="39" t="n">
        <f aca="false">IF(OR($A16="",$P16="",$R16=""),"",MAX(0,$P16*$Q16-$R16))</f>
        <v>214.02176896</v>
      </c>
      <c r="T16" s="38" t="str">
        <f aca="false">IF($A16="","",IF($O16="FAIL","REJECT",IF($N16&gt;=4,IF(AND($K16&lt;&gt;"",$K16&gt;$S16),"BUY IF CHEAPER","BUY"),IF($N16&gt;=3.2,"WATCH","PASS"))))</f>
        <v>BUY</v>
      </c>
      <c r="U16" s="26" t="s">
        <v>170</v>
      </c>
      <c r="V16" s="33" t="s">
        <v>193</v>
      </c>
    </row>
    <row r="17" customFormat="false" ht="15" hidden="false" customHeight="true" outlineLevel="0" collapsed="false">
      <c r="A17" s="23" t="s">
        <v>194</v>
      </c>
      <c r="B17" s="34" t="str">
        <f aca="false">IF($A17="","",IF(ISERROR(FIND(".",$A17)),"",LOWER(MID($A17,FIND(CHAR(1),SUBSTITUTE($A17,".",CHAR(1),LEN($A17)-LEN(SUBSTITUTE($A17,".",""))))+1,LEN($A17)))))</f>
        <v>com</v>
      </c>
      <c r="C17" s="35" t="n">
        <f aca="false">IF($B17="","",IFERROR(INDEX(Rubric!$B$15:$B$24,MATCH(LOWER($B17),Rubric!$A$15:$A$24,0)),INDEX(Rubric!$B$15:$B$24,MATCH("other",Rubric!$A$15:$A$24,0))))</f>
        <v>5</v>
      </c>
      <c r="D17" s="26" t="n">
        <v>5</v>
      </c>
      <c r="E17" s="26" t="n">
        <v>3</v>
      </c>
      <c r="F17" s="26" t="n">
        <v>4</v>
      </c>
      <c r="G17" s="26" t="n">
        <v>5</v>
      </c>
      <c r="H17" s="26" t="n">
        <v>5</v>
      </c>
      <c r="I17" s="26" t="s">
        <v>169</v>
      </c>
      <c r="J17" s="26" t="s">
        <v>169</v>
      </c>
      <c r="K17" s="27"/>
      <c r="L17" s="27" t="n">
        <v>6000</v>
      </c>
      <c r="M17" s="36" t="n">
        <f aca="false">IF($B17="","",IFERROR(INDEX(Rubric!$C$15:$C$24,MATCH(LOWER($B17),Rubric!$A$15:$A$24,0)),INDEX(Rubric!$C$15:$C$24,MATCH("other",Rubric!$A$15:$A$24,0))))</f>
        <v>11</v>
      </c>
      <c r="N17" s="37" t="n">
        <f aca="false">IF(OR($A17="",$C17=""),"",$C17*Rubric!$B$5+$D17*Rubric!$B$6+$E17*Rubric!$B$7+$F17*Rubric!$B$8+$G17*Rubric!$B$9+$H17*Rubric!$B$10)</f>
        <v>4.45</v>
      </c>
      <c r="O17" s="38" t="str">
        <f aca="false">IF($A17="","",IF(OR(UPPER($I17)="Y",UPPER($J17)="Y"),"FAIL","PASS"))</f>
        <v>PASS</v>
      </c>
      <c r="P17" s="39" t="n">
        <f aca="false">IF(OR($A17="",$L17=""),"",MAX(0,$L17-MAX($L17*Assumptions!$B$4,Assumptions!$B$5)))</f>
        <v>4800</v>
      </c>
      <c r="Q17" s="40" t="n">
        <f aca="false">IF($A17="","",Assumptions!$B$13)</f>
        <v>0.0960792032000001</v>
      </c>
      <c r="R17" s="39" t="n">
        <f aca="false">IF(OR($A17="",$M17=""),"",$M17*Assumptions!$B$7)</f>
        <v>55</v>
      </c>
      <c r="S17" s="39" t="n">
        <f aca="false">IF(OR($A17="",$P17="",$R17=""),"",MAX(0,$P17*$Q17-$R17))</f>
        <v>406.18017536</v>
      </c>
      <c r="T17" s="38" t="str">
        <f aca="false">IF($A17="","",IF($O17="FAIL","REJECT",IF($N17&gt;=4,IF(AND($K17&lt;&gt;"",$K17&gt;$S17),"BUY IF CHEAPER","BUY"),IF($N17&gt;=3.2,"WATCH","PASS"))))</f>
        <v>BUY</v>
      </c>
      <c r="U17" s="26" t="s">
        <v>170</v>
      </c>
      <c r="V17" s="33" t="s">
        <v>195</v>
      </c>
    </row>
    <row r="18" customFormat="false" ht="15" hidden="false" customHeight="true" outlineLevel="0" collapsed="false">
      <c r="A18" s="23" t="s">
        <v>196</v>
      </c>
      <c r="B18" s="34" t="str">
        <f aca="false">IF($A18="","",IF(ISERROR(FIND(".",$A18)),"",LOWER(MID($A18,FIND(CHAR(1),SUBSTITUTE($A18,".",CHAR(1),LEN($A18)-LEN(SUBSTITUTE($A18,".",""))))+1,LEN($A18)))))</f>
        <v>com</v>
      </c>
      <c r="C18" s="35" t="n">
        <f aca="false">IF($B18="","",IFERROR(INDEX(Rubric!$B$15:$B$24,MATCH(LOWER($B18),Rubric!$A$15:$A$24,0)),INDEX(Rubric!$B$15:$B$24,MATCH("other",Rubric!$A$15:$A$24,0))))</f>
        <v>5</v>
      </c>
      <c r="D18" s="26" t="n">
        <v>4</v>
      </c>
      <c r="E18" s="26" t="n">
        <v>2</v>
      </c>
      <c r="F18" s="26" t="n">
        <v>4</v>
      </c>
      <c r="G18" s="26" t="n">
        <v>5</v>
      </c>
      <c r="H18" s="26" t="n">
        <v>5</v>
      </c>
      <c r="I18" s="26" t="s">
        <v>169</v>
      </c>
      <c r="J18" s="26" t="s">
        <v>169</v>
      </c>
      <c r="K18" s="41" t="n">
        <v>5000</v>
      </c>
      <c r="L18" s="27" t="n">
        <v>3000</v>
      </c>
      <c r="M18" s="36" t="n">
        <f aca="false">IF($B18="","",IFERROR(INDEX(Rubric!$C$15:$C$24,MATCH(LOWER($B18),Rubric!$A$15:$A$24,0)),INDEX(Rubric!$C$15:$C$24,MATCH("other",Rubric!$A$15:$A$24,0))))</f>
        <v>11</v>
      </c>
      <c r="N18" s="37" t="n">
        <f aca="false">IF(OR($A18="",$C18=""),"",$C18*Rubric!$B$5+$D18*Rubric!$B$6+$E18*Rubric!$B$7+$F18*Rubric!$B$8+$G18*Rubric!$B$9+$H18*Rubric!$B$10)</f>
        <v>4</v>
      </c>
      <c r="O18" s="38" t="str">
        <f aca="false">IF($A18="","",IF(OR(UPPER($I18)="Y",UPPER($J18)="Y"),"FAIL","PASS"))</f>
        <v>PASS</v>
      </c>
      <c r="P18" s="39" t="n">
        <f aca="false">IF(OR($A18="",$L18=""),"",MAX(0,$L18-MAX($L18*Assumptions!$B$4,Assumptions!$B$5)))</f>
        <v>2400</v>
      </c>
      <c r="Q18" s="40" t="n">
        <f aca="false">IF($A18="","",Assumptions!$B$13)</f>
        <v>0.0960792032000001</v>
      </c>
      <c r="R18" s="39" t="n">
        <f aca="false">IF(OR($A18="",$M18=""),"",$M18*Assumptions!$B$7)</f>
        <v>55</v>
      </c>
      <c r="S18" s="39" t="n">
        <f aca="false">IF(OR($A18="",$P18="",$R18=""),"",MAX(0,$P18*$Q18-$R18))</f>
        <v>175.59008768</v>
      </c>
      <c r="T18" s="38" t="str">
        <f aca="false">IF($A18="","",IF($O18="FAIL","REJECT",IF($N18&gt;=4,IF(AND($K18&lt;&gt;"",$K18&gt;$S18),"BUY IF CHEAPER","BUY"),IF($N18&gt;=3.2,"WATCH","PASS"))))</f>
        <v>BUY IF CHEAPER</v>
      </c>
      <c r="U18" s="26" t="s">
        <v>197</v>
      </c>
      <c r="V18" s="33" t="s">
        <v>198</v>
      </c>
    </row>
    <row r="19" customFormat="false" ht="15" hidden="false" customHeight="true" outlineLevel="0" collapsed="false">
      <c r="A19" s="23" t="s">
        <v>199</v>
      </c>
      <c r="B19" s="34" t="str">
        <f aca="false">IF($A19="","",IF(ISERROR(FIND(".",$A19)),"",LOWER(MID($A19,FIND(CHAR(1),SUBSTITUTE($A19,".",CHAR(1),LEN($A19)-LEN(SUBSTITUTE($A19,".",""))))+1,LEN($A19)))))</f>
        <v>com</v>
      </c>
      <c r="C19" s="35" t="n">
        <f aca="false">IF($B19="","",IFERROR(INDEX(Rubric!$B$15:$B$24,MATCH(LOWER($B19),Rubric!$A$15:$A$24,0)),INDEX(Rubric!$B$15:$B$24,MATCH("other",Rubric!$A$15:$A$24,0))))</f>
        <v>5</v>
      </c>
      <c r="D19" s="26" t="n">
        <v>5</v>
      </c>
      <c r="E19" s="26" t="n">
        <v>3</v>
      </c>
      <c r="F19" s="26" t="n">
        <v>4</v>
      </c>
      <c r="G19" s="26" t="n">
        <v>5</v>
      </c>
      <c r="H19" s="26" t="n">
        <v>5</v>
      </c>
      <c r="I19" s="26" t="s">
        <v>169</v>
      </c>
      <c r="J19" s="26" t="s">
        <v>169</v>
      </c>
      <c r="K19" s="41" t="n">
        <v>375000</v>
      </c>
      <c r="L19" s="27" t="n">
        <v>6000</v>
      </c>
      <c r="M19" s="36" t="n">
        <f aca="false">IF($B19="","",IFERROR(INDEX(Rubric!$C$15:$C$24,MATCH(LOWER($B19),Rubric!$A$15:$A$24,0)),INDEX(Rubric!$C$15:$C$24,MATCH("other",Rubric!$A$15:$A$24,0))))</f>
        <v>11</v>
      </c>
      <c r="N19" s="37" t="n">
        <f aca="false">IF(OR($A19="",$C19=""),"",$C19*Rubric!$B$5+$D19*Rubric!$B$6+$E19*Rubric!$B$7+$F19*Rubric!$B$8+$G19*Rubric!$B$9+$H19*Rubric!$B$10)</f>
        <v>4.45</v>
      </c>
      <c r="O19" s="38" t="str">
        <f aca="false">IF($A19="","",IF(OR(UPPER($I19)="Y",UPPER($J19)="Y"),"FAIL","PASS"))</f>
        <v>PASS</v>
      </c>
      <c r="P19" s="39" t="n">
        <f aca="false">IF(OR($A19="",$L19=""),"",MAX(0,$L19-MAX($L19*Assumptions!$B$4,Assumptions!$B$5)))</f>
        <v>4800</v>
      </c>
      <c r="Q19" s="40" t="n">
        <f aca="false">IF($A19="","",Assumptions!$B$13)</f>
        <v>0.0960792032000001</v>
      </c>
      <c r="R19" s="39" t="n">
        <f aca="false">IF(OR($A19="",$M19=""),"",$M19*Assumptions!$B$7)</f>
        <v>55</v>
      </c>
      <c r="S19" s="39" t="n">
        <f aca="false">IF(OR($A19="",$P19="",$R19=""),"",MAX(0,$P19*$Q19-$R19))</f>
        <v>406.18017536</v>
      </c>
      <c r="T19" s="38" t="str">
        <f aca="false">IF($A19="","",IF($O19="FAIL","REJECT",IF($N19&gt;=4,IF(AND($K19&lt;&gt;"",$K19&gt;$S19),"BUY IF CHEAPER","BUY"),IF($N19&gt;=3.2,"WATCH","PASS"))))</f>
        <v>BUY IF CHEAPER</v>
      </c>
      <c r="U19" s="26" t="s">
        <v>197</v>
      </c>
      <c r="V19" s="33" t="s">
        <v>200</v>
      </c>
    </row>
    <row r="20" customFormat="false" ht="15" hidden="false" customHeight="true" outlineLevel="0" collapsed="false">
      <c r="A20" s="23" t="s">
        <v>201</v>
      </c>
      <c r="B20" s="34" t="str">
        <f aca="false">IF($A20="","",IF(ISERROR(FIND(".",$A20)),"",LOWER(MID($A20,FIND(CHAR(1),SUBSTITUTE($A20,".",CHAR(1),LEN($A20)-LEN(SUBSTITUTE($A20,".",""))))+1,LEN($A20)))))</f>
        <v>com</v>
      </c>
      <c r="C20" s="35" t="n">
        <f aca="false">IF($B20="","",IFERROR(INDEX(Rubric!$B$15:$B$24,MATCH(LOWER($B20),Rubric!$A$15:$A$24,0)),INDEX(Rubric!$B$15:$B$24,MATCH("other",Rubric!$A$15:$A$24,0))))</f>
        <v>5</v>
      </c>
      <c r="D20" s="26" t="n">
        <v>4</v>
      </c>
      <c r="E20" s="26" t="n">
        <v>2</v>
      </c>
      <c r="F20" s="26" t="n">
        <v>3</v>
      </c>
      <c r="G20" s="26" t="n">
        <v>5</v>
      </c>
      <c r="H20" s="26" t="n">
        <v>5</v>
      </c>
      <c r="I20" s="26" t="s">
        <v>169</v>
      </c>
      <c r="J20" s="26" t="s">
        <v>169</v>
      </c>
      <c r="K20" s="41" t="n">
        <v>4888</v>
      </c>
      <c r="L20" s="27" t="n">
        <v>3000</v>
      </c>
      <c r="M20" s="36" t="n">
        <f aca="false">IF($B20="","",IFERROR(INDEX(Rubric!$C$15:$C$24,MATCH(LOWER($B20),Rubric!$A$15:$A$24,0)),INDEX(Rubric!$C$15:$C$24,MATCH("other",Rubric!$A$15:$A$24,0))))</f>
        <v>11</v>
      </c>
      <c r="N20" s="37" t="n">
        <f aca="false">IF(OR($A20="",$C20=""),"",$C20*Rubric!$B$5+$D20*Rubric!$B$6+$E20*Rubric!$B$7+$F20*Rubric!$B$8+$G20*Rubric!$B$9+$H20*Rubric!$B$10)</f>
        <v>3.85</v>
      </c>
      <c r="O20" s="38" t="str">
        <f aca="false">IF($A20="","",IF(OR(UPPER($I20)="Y",UPPER($J20)="Y"),"FAIL","PASS"))</f>
        <v>PASS</v>
      </c>
      <c r="P20" s="39" t="n">
        <f aca="false">IF(OR($A20="",$L20=""),"",MAX(0,$L20-MAX($L20*Assumptions!$B$4,Assumptions!$B$5)))</f>
        <v>2400</v>
      </c>
      <c r="Q20" s="40" t="n">
        <f aca="false">IF($A20="","",Assumptions!$B$13)</f>
        <v>0.0960792032000001</v>
      </c>
      <c r="R20" s="39" t="n">
        <f aca="false">IF(OR($A20="",$M20=""),"",$M20*Assumptions!$B$7)</f>
        <v>55</v>
      </c>
      <c r="S20" s="39" t="n">
        <f aca="false">IF(OR($A20="",$P20="",$R20=""),"",MAX(0,$P20*$Q20-$R20))</f>
        <v>175.59008768</v>
      </c>
      <c r="T20" s="38" t="str">
        <f aca="false">IF($A20="","",IF($O20="FAIL","REJECT",IF($N20&gt;=4,IF(AND($K20&lt;&gt;"",$K20&gt;$S20),"BUY IF CHEAPER","BUY"),IF($N20&gt;=3.2,"WATCH","PASS"))))</f>
        <v>WATCH</v>
      </c>
      <c r="U20" s="26" t="s">
        <v>197</v>
      </c>
      <c r="V20" s="33" t="s">
        <v>202</v>
      </c>
    </row>
    <row r="21" customFormat="false" ht="15" hidden="false" customHeight="true" outlineLevel="0" collapsed="false">
      <c r="A21" s="23" t="s">
        <v>203</v>
      </c>
      <c r="B21" s="34" t="str">
        <f aca="false">IF($A21="","",IF(ISERROR(FIND(".",$A21)),"",LOWER(MID($A21,FIND(CHAR(1),SUBSTITUTE($A21,".",CHAR(1),LEN($A21)-LEN(SUBSTITUTE($A21,".",""))))+1,LEN($A21)))))</f>
        <v>com</v>
      </c>
      <c r="C21" s="35" t="n">
        <f aca="false">IF($B21="","",IFERROR(INDEX(Rubric!$B$15:$B$24,MATCH(LOWER($B21),Rubric!$A$15:$A$24,0)),INDEX(Rubric!$B$15:$B$24,MATCH("other",Rubric!$A$15:$A$24,0))))</f>
        <v>5</v>
      </c>
      <c r="D21" s="26" t="n">
        <v>4</v>
      </c>
      <c r="E21" s="26" t="n">
        <v>3</v>
      </c>
      <c r="F21" s="26" t="n">
        <v>3</v>
      </c>
      <c r="G21" s="26" t="n">
        <v>5</v>
      </c>
      <c r="H21" s="26" t="n">
        <v>5</v>
      </c>
      <c r="I21" s="26" t="s">
        <v>169</v>
      </c>
      <c r="J21" s="26" t="s">
        <v>169</v>
      </c>
      <c r="K21" s="27"/>
      <c r="L21" s="27" t="n">
        <v>4000</v>
      </c>
      <c r="M21" s="36" t="n">
        <f aca="false">IF($B21="","",IFERROR(INDEX(Rubric!$C$15:$C$24,MATCH(LOWER($B21),Rubric!$A$15:$A$24,0)),INDEX(Rubric!$C$15:$C$24,MATCH("other",Rubric!$A$15:$A$24,0))))</f>
        <v>11</v>
      </c>
      <c r="N21" s="37" t="n">
        <f aca="false">IF(OR($A21="",$C21=""),"",$C21*Rubric!$B$5+$D21*Rubric!$B$6+$E21*Rubric!$B$7+$F21*Rubric!$B$8+$G21*Rubric!$B$9+$H21*Rubric!$B$10)</f>
        <v>4.05</v>
      </c>
      <c r="O21" s="38" t="str">
        <f aca="false">IF($A21="","",IF(OR(UPPER($I21)="Y",UPPER($J21)="Y"),"FAIL","PASS"))</f>
        <v>PASS</v>
      </c>
      <c r="P21" s="39" t="n">
        <f aca="false">IF(OR($A21="",$L21=""),"",MAX(0,$L21-MAX($L21*Assumptions!$B$4,Assumptions!$B$5)))</f>
        <v>3200</v>
      </c>
      <c r="Q21" s="40" t="n">
        <f aca="false">IF($A21="","",Assumptions!$B$13)</f>
        <v>0.0960792032000001</v>
      </c>
      <c r="R21" s="39" t="n">
        <f aca="false">IF(OR($A21="",$M21=""),"",$M21*Assumptions!$B$7)</f>
        <v>55</v>
      </c>
      <c r="S21" s="39" t="n">
        <f aca="false">IF(OR($A21="",$P21="",$R21=""),"",MAX(0,$P21*$Q21-$R21))</f>
        <v>252.45345024</v>
      </c>
      <c r="T21" s="38" t="str">
        <f aca="false">IF($A21="","",IF($O21="FAIL","REJECT",IF($N21&gt;=4,IF(AND($K21&lt;&gt;"",$K21&gt;$S21),"BUY IF CHEAPER","BUY"),IF($N21&gt;=3.2,"WATCH","PASS"))))</f>
        <v>BUY</v>
      </c>
      <c r="U21" s="26" t="s">
        <v>170</v>
      </c>
      <c r="V21" s="33" t="s">
        <v>204</v>
      </c>
    </row>
    <row r="22" customFormat="false" ht="15" hidden="false" customHeight="true" outlineLevel="0" collapsed="false">
      <c r="A22" s="23" t="s">
        <v>205</v>
      </c>
      <c r="B22" s="34" t="str">
        <f aca="false">IF($A22="","",IF(ISERROR(FIND(".",$A22)),"",LOWER(MID($A22,FIND(CHAR(1),SUBSTITUTE($A22,".",CHAR(1),LEN($A22)-LEN(SUBSTITUTE($A22,".",""))))+1,LEN($A22)))))</f>
        <v>com</v>
      </c>
      <c r="C22" s="35" t="n">
        <f aca="false">IF($B22="","",IFERROR(INDEX(Rubric!$B$15:$B$24,MATCH(LOWER($B22),Rubric!$A$15:$A$24,0)),INDEX(Rubric!$B$15:$B$24,MATCH("other",Rubric!$A$15:$A$24,0))))</f>
        <v>5</v>
      </c>
      <c r="D22" s="26" t="n">
        <v>4</v>
      </c>
      <c r="E22" s="26" t="n">
        <v>3</v>
      </c>
      <c r="F22" s="26" t="n">
        <v>4</v>
      </c>
      <c r="G22" s="26" t="n">
        <v>4</v>
      </c>
      <c r="H22" s="26" t="n">
        <v>5</v>
      </c>
      <c r="I22" s="26" t="s">
        <v>169</v>
      </c>
      <c r="J22" s="26" t="s">
        <v>169</v>
      </c>
      <c r="K22" s="27"/>
      <c r="L22" s="27" t="n">
        <v>4500</v>
      </c>
      <c r="M22" s="36" t="n">
        <f aca="false">IF($B22="","",IFERROR(INDEX(Rubric!$C$15:$C$24,MATCH(LOWER($B22),Rubric!$A$15:$A$24,0)),INDEX(Rubric!$C$15:$C$24,MATCH("other",Rubric!$A$15:$A$24,0))))</f>
        <v>11</v>
      </c>
      <c r="N22" s="37" t="n">
        <f aca="false">IF(OR($A22="",$C22=""),"",$C22*Rubric!$B$5+$D22*Rubric!$B$6+$E22*Rubric!$B$7+$F22*Rubric!$B$8+$G22*Rubric!$B$9+$H22*Rubric!$B$10)</f>
        <v>4.1</v>
      </c>
      <c r="O22" s="38" t="str">
        <f aca="false">IF($A22="","",IF(OR(UPPER($I22)="Y",UPPER($J22)="Y"),"FAIL","PASS"))</f>
        <v>PASS</v>
      </c>
      <c r="P22" s="39" t="n">
        <f aca="false">IF(OR($A22="",$L22=""),"",MAX(0,$L22-MAX($L22*Assumptions!$B$4,Assumptions!$B$5)))</f>
        <v>3600</v>
      </c>
      <c r="Q22" s="40" t="n">
        <f aca="false">IF($A22="","",Assumptions!$B$13)</f>
        <v>0.0960792032000001</v>
      </c>
      <c r="R22" s="39" t="n">
        <f aca="false">IF(OR($A22="",$M22=""),"",$M22*Assumptions!$B$7)</f>
        <v>55</v>
      </c>
      <c r="S22" s="39" t="n">
        <f aca="false">IF(OR($A22="",$P22="",$R22=""),"",MAX(0,$P22*$Q22-$R22))</f>
        <v>290.88513152</v>
      </c>
      <c r="T22" s="38" t="str">
        <f aca="false">IF($A22="","",IF($O22="FAIL","REJECT",IF($N22&gt;=4,IF(AND($K22&lt;&gt;"",$K22&gt;$S22),"BUY IF CHEAPER","BUY"),IF($N22&gt;=3.2,"WATCH","PASS"))))</f>
        <v>BUY</v>
      </c>
      <c r="U22" s="26" t="s">
        <v>170</v>
      </c>
      <c r="V22" s="33" t="s">
        <v>206</v>
      </c>
    </row>
    <row r="23" customFormat="false" ht="15" hidden="false" customHeight="true" outlineLevel="0" collapsed="false">
      <c r="A23" s="23" t="s">
        <v>207</v>
      </c>
      <c r="B23" s="34" t="str">
        <f aca="false">IF($A23="","",IF(ISERROR(FIND(".",$A23)),"",LOWER(MID($A23,FIND(CHAR(1),SUBSTITUTE($A23,".",CHAR(1),LEN($A23)-LEN(SUBSTITUTE($A23,".",""))))+1,LEN($A23)))))</f>
        <v>com</v>
      </c>
      <c r="C23" s="35" t="n">
        <f aca="false">IF($B23="","",IFERROR(INDEX(Rubric!$B$15:$B$24,MATCH(LOWER($B23),Rubric!$A$15:$A$24,0)),INDEX(Rubric!$B$15:$B$24,MATCH("other",Rubric!$A$15:$A$24,0))))</f>
        <v>5</v>
      </c>
      <c r="D23" s="26" t="n">
        <v>4</v>
      </c>
      <c r="E23" s="26" t="n">
        <v>3</v>
      </c>
      <c r="F23" s="26" t="n">
        <v>4</v>
      </c>
      <c r="G23" s="26" t="n">
        <v>5</v>
      </c>
      <c r="H23" s="26" t="n">
        <v>5</v>
      </c>
      <c r="I23" s="26" t="s">
        <v>169</v>
      </c>
      <c r="J23" s="26" t="s">
        <v>169</v>
      </c>
      <c r="K23" s="27"/>
      <c r="L23" s="27" t="n">
        <v>5000</v>
      </c>
      <c r="M23" s="36" t="n">
        <f aca="false">IF($B23="","",IFERROR(INDEX(Rubric!$C$15:$C$24,MATCH(LOWER($B23),Rubric!$A$15:$A$24,0)),INDEX(Rubric!$C$15:$C$24,MATCH("other",Rubric!$A$15:$A$24,0))))</f>
        <v>11</v>
      </c>
      <c r="N23" s="37" t="n">
        <f aca="false">IF(OR($A23="",$C23=""),"",$C23*Rubric!$B$5+$D23*Rubric!$B$6+$E23*Rubric!$B$7+$F23*Rubric!$B$8+$G23*Rubric!$B$9+$H23*Rubric!$B$10)</f>
        <v>4.2</v>
      </c>
      <c r="O23" s="38" t="str">
        <f aca="false">IF($A23="","",IF(OR(UPPER($I23)="Y",UPPER($J23)="Y"),"FAIL","PASS"))</f>
        <v>PASS</v>
      </c>
      <c r="P23" s="39" t="n">
        <f aca="false">IF(OR($A23="",$L23=""),"",MAX(0,$L23-MAX($L23*Assumptions!$B$4,Assumptions!$B$5)))</f>
        <v>4000</v>
      </c>
      <c r="Q23" s="40" t="n">
        <f aca="false">IF($A23="","",Assumptions!$B$13)</f>
        <v>0.0960792032000001</v>
      </c>
      <c r="R23" s="39" t="n">
        <f aca="false">IF(OR($A23="",$M23=""),"",$M23*Assumptions!$B$7)</f>
        <v>55</v>
      </c>
      <c r="S23" s="39" t="n">
        <f aca="false">IF(OR($A23="",$P23="",$R23=""),"",MAX(0,$P23*$Q23-$R23))</f>
        <v>329.3168128</v>
      </c>
      <c r="T23" s="38" t="str">
        <f aca="false">IF($A23="","",IF($O23="FAIL","REJECT",IF($N23&gt;=4,IF(AND($K23&lt;&gt;"",$K23&gt;$S23),"BUY IF CHEAPER","BUY"),IF($N23&gt;=3.2,"WATCH","PASS"))))</f>
        <v>BUY</v>
      </c>
      <c r="U23" s="26" t="s">
        <v>170</v>
      </c>
      <c r="V23" s="33" t="s">
        <v>208</v>
      </c>
    </row>
    <row r="24" customFormat="false" ht="15" hidden="false" customHeight="true" outlineLevel="0" collapsed="false">
      <c r="A24" s="23" t="s">
        <v>209</v>
      </c>
      <c r="B24" s="34" t="str">
        <f aca="false">IF($A24="","",IF(ISERROR(FIND(".",$A24)),"",LOWER(MID($A24,FIND(CHAR(1),SUBSTITUTE($A24,".",CHAR(1),LEN($A24)-LEN(SUBSTITUTE($A24,".",""))))+1,LEN($A24)))))</f>
        <v>com</v>
      </c>
      <c r="C24" s="35" t="n">
        <f aca="false">IF($B24="","",IFERROR(INDEX(Rubric!$B$15:$B$24,MATCH(LOWER($B24),Rubric!$A$15:$A$24,0)),INDEX(Rubric!$B$15:$B$24,MATCH("other",Rubric!$A$15:$A$24,0))))</f>
        <v>5</v>
      </c>
      <c r="D24" s="26" t="n">
        <v>3</v>
      </c>
      <c r="E24" s="26" t="n">
        <v>2</v>
      </c>
      <c r="F24" s="26" t="n">
        <v>3</v>
      </c>
      <c r="G24" s="26" t="n">
        <v>4</v>
      </c>
      <c r="H24" s="26" t="n">
        <v>5</v>
      </c>
      <c r="I24" s="26" t="s">
        <v>169</v>
      </c>
      <c r="J24" s="26" t="s">
        <v>169</v>
      </c>
      <c r="K24" s="41" t="n">
        <v>22.99</v>
      </c>
      <c r="L24" s="27" t="n">
        <v>1800</v>
      </c>
      <c r="M24" s="36" t="n">
        <f aca="false">IF($B24="","",IFERROR(INDEX(Rubric!$C$15:$C$24,MATCH(LOWER($B24),Rubric!$A$15:$A$24,0)),INDEX(Rubric!$C$15:$C$24,MATCH("other",Rubric!$A$15:$A$24,0))))</f>
        <v>11</v>
      </c>
      <c r="N24" s="37" t="n">
        <f aca="false">IF(OR($A24="",$C24=""),"",$C24*Rubric!$B$5+$D24*Rubric!$B$6+$E24*Rubric!$B$7+$F24*Rubric!$B$8+$G24*Rubric!$B$9+$H24*Rubric!$B$10)</f>
        <v>3.5</v>
      </c>
      <c r="O24" s="38" t="str">
        <f aca="false">IF($A24="","",IF(OR(UPPER($I24)="Y",UPPER($J24)="Y"),"FAIL","PASS"))</f>
        <v>PASS</v>
      </c>
      <c r="P24" s="39" t="n">
        <f aca="false">IF(OR($A24="",$L24=""),"",MAX(0,$L24-MAX($L24*Assumptions!$B$4,Assumptions!$B$5)))</f>
        <v>1440</v>
      </c>
      <c r="Q24" s="40" t="n">
        <f aca="false">IF($A24="","",Assumptions!$B$13)</f>
        <v>0.0960792032000001</v>
      </c>
      <c r="R24" s="39" t="n">
        <f aca="false">IF(OR($A24="",$M24=""),"",$M24*Assumptions!$B$7)</f>
        <v>55</v>
      </c>
      <c r="S24" s="39" t="n">
        <f aca="false">IF(OR($A24="",$P24="",$R24=""),"",MAX(0,$P24*$Q24-$R24))</f>
        <v>83.3540526080001</v>
      </c>
      <c r="T24" s="38" t="str">
        <f aca="false">IF($A24="","",IF($O24="FAIL","REJECT",IF($N24&gt;=4,IF(AND($K24&lt;&gt;"",$K24&gt;$S24),"BUY IF CHEAPER","BUY"),IF($N24&gt;=3.2,"WATCH","PASS"))))</f>
        <v>WATCH</v>
      </c>
      <c r="U24" s="26" t="s">
        <v>210</v>
      </c>
      <c r="V24" s="33" t="s">
        <v>211</v>
      </c>
    </row>
    <row r="25" customFormat="false" ht="15" hidden="false" customHeight="true" outlineLevel="0" collapsed="false">
      <c r="A25" s="23" t="s">
        <v>212</v>
      </c>
      <c r="B25" s="34" t="str">
        <f aca="false">IF($A25="","",IF(ISERROR(FIND(".",$A25)),"",LOWER(MID($A25,FIND(CHAR(1),SUBSTITUTE($A25,".",CHAR(1),LEN($A25)-LEN(SUBSTITUTE($A25,".",""))))+1,LEN($A25)))))</f>
        <v>com</v>
      </c>
      <c r="C25" s="35" t="n">
        <f aca="false">IF($B25="","",IFERROR(INDEX(Rubric!$B$15:$B$24,MATCH(LOWER($B25),Rubric!$A$15:$A$24,0)),INDEX(Rubric!$B$15:$B$24,MATCH("other",Rubric!$A$15:$A$24,0))))</f>
        <v>5</v>
      </c>
      <c r="D25" s="26" t="n">
        <v>3</v>
      </c>
      <c r="E25" s="26" t="n">
        <v>2</v>
      </c>
      <c r="F25" s="26" t="n">
        <v>3</v>
      </c>
      <c r="G25" s="26" t="n">
        <v>4</v>
      </c>
      <c r="H25" s="26" t="n">
        <v>5</v>
      </c>
      <c r="I25" s="26" t="s">
        <v>169</v>
      </c>
      <c r="J25" s="26" t="s">
        <v>169</v>
      </c>
      <c r="K25" s="41" t="n">
        <v>2788</v>
      </c>
      <c r="L25" s="27" t="n">
        <v>2000</v>
      </c>
      <c r="M25" s="36" t="n">
        <f aca="false">IF($B25="","",IFERROR(INDEX(Rubric!$C$15:$C$24,MATCH(LOWER($B25),Rubric!$A$15:$A$24,0)),INDEX(Rubric!$C$15:$C$24,MATCH("other",Rubric!$A$15:$A$24,0))))</f>
        <v>11</v>
      </c>
      <c r="N25" s="37" t="n">
        <f aca="false">IF(OR($A25="",$C25=""),"",$C25*Rubric!$B$5+$D25*Rubric!$B$6+$E25*Rubric!$B$7+$F25*Rubric!$B$8+$G25*Rubric!$B$9+$H25*Rubric!$B$10)</f>
        <v>3.5</v>
      </c>
      <c r="O25" s="38" t="str">
        <f aca="false">IF($A25="","",IF(OR(UPPER($I25)="Y",UPPER($J25)="Y"),"FAIL","PASS"))</f>
        <v>PASS</v>
      </c>
      <c r="P25" s="39" t="n">
        <f aca="false">IF(OR($A25="",$L25=""),"",MAX(0,$L25-MAX($L25*Assumptions!$B$4,Assumptions!$B$5)))</f>
        <v>1600</v>
      </c>
      <c r="Q25" s="40" t="n">
        <f aca="false">IF($A25="","",Assumptions!$B$13)</f>
        <v>0.0960792032000001</v>
      </c>
      <c r="R25" s="39" t="n">
        <f aca="false">IF(OR($A25="",$M25=""),"",$M25*Assumptions!$B$7)</f>
        <v>55</v>
      </c>
      <c r="S25" s="39" t="n">
        <f aca="false">IF(OR($A25="",$P25="",$R25=""),"",MAX(0,$P25*$Q25-$R25))</f>
        <v>98.7267251200001</v>
      </c>
      <c r="T25" s="38" t="str">
        <f aca="false">IF($A25="","",IF($O25="FAIL","REJECT",IF($N25&gt;=4,IF(AND($K25&lt;&gt;"",$K25&gt;$S25),"BUY IF CHEAPER","BUY"),IF($N25&gt;=3.2,"WATCH","PASS"))))</f>
        <v>WATCH</v>
      </c>
      <c r="U25" s="26" t="s">
        <v>197</v>
      </c>
      <c r="V25" s="33" t="s">
        <v>213</v>
      </c>
    </row>
    <row r="26" customFormat="false" ht="15" hidden="false" customHeight="true" outlineLevel="0" collapsed="false">
      <c r="A26" s="23" t="s">
        <v>214</v>
      </c>
      <c r="B26" s="34" t="str">
        <f aca="false">IF($A26="","",IF(ISERROR(FIND(".",$A26)),"",LOWER(MID($A26,FIND(CHAR(1),SUBSTITUTE($A26,".",CHAR(1),LEN($A26)-LEN(SUBSTITUTE($A26,".",""))))+1,LEN($A26)))))</f>
        <v>com</v>
      </c>
      <c r="C26" s="35" t="n">
        <f aca="false">IF($B26="","",IFERROR(INDEX(Rubric!$B$15:$B$24,MATCH(LOWER($B26),Rubric!$A$15:$A$24,0)),INDEX(Rubric!$B$15:$B$24,MATCH("other",Rubric!$A$15:$A$24,0))))</f>
        <v>5</v>
      </c>
      <c r="D26" s="26" t="n">
        <v>4</v>
      </c>
      <c r="E26" s="26" t="n">
        <v>3</v>
      </c>
      <c r="F26" s="26" t="n">
        <v>4</v>
      </c>
      <c r="G26" s="26" t="n">
        <v>4</v>
      </c>
      <c r="H26" s="26" t="n">
        <v>5</v>
      </c>
      <c r="I26" s="26" t="s">
        <v>169</v>
      </c>
      <c r="J26" s="26" t="s">
        <v>169</v>
      </c>
      <c r="K26" s="27"/>
      <c r="L26" s="27" t="n">
        <v>4000</v>
      </c>
      <c r="M26" s="36" t="n">
        <f aca="false">IF($B26="","",IFERROR(INDEX(Rubric!$C$15:$C$24,MATCH(LOWER($B26),Rubric!$A$15:$A$24,0)),INDEX(Rubric!$C$15:$C$24,MATCH("other",Rubric!$A$15:$A$24,0))))</f>
        <v>11</v>
      </c>
      <c r="N26" s="37" t="n">
        <f aca="false">IF(OR($A26="",$C26=""),"",$C26*Rubric!$B$5+$D26*Rubric!$B$6+$E26*Rubric!$B$7+$F26*Rubric!$B$8+$G26*Rubric!$B$9+$H26*Rubric!$B$10)</f>
        <v>4.1</v>
      </c>
      <c r="O26" s="38" t="str">
        <f aca="false">IF($A26="","",IF(OR(UPPER($I26)="Y",UPPER($J26)="Y"),"FAIL","PASS"))</f>
        <v>PASS</v>
      </c>
      <c r="P26" s="39" t="n">
        <f aca="false">IF(OR($A26="",$L26=""),"",MAX(0,$L26-MAX($L26*Assumptions!$B$4,Assumptions!$B$5)))</f>
        <v>3200</v>
      </c>
      <c r="Q26" s="40" t="n">
        <f aca="false">IF($A26="","",Assumptions!$B$13)</f>
        <v>0.0960792032000001</v>
      </c>
      <c r="R26" s="39" t="n">
        <f aca="false">IF(OR($A26="",$M26=""),"",$M26*Assumptions!$B$7)</f>
        <v>55</v>
      </c>
      <c r="S26" s="39" t="n">
        <f aca="false">IF(OR($A26="",$P26="",$R26=""),"",MAX(0,$P26*$Q26-$R26))</f>
        <v>252.45345024</v>
      </c>
      <c r="T26" s="38" t="str">
        <f aca="false">IF($A26="","",IF($O26="FAIL","REJECT",IF($N26&gt;=4,IF(AND($K26&lt;&gt;"",$K26&gt;$S26),"BUY IF CHEAPER","BUY"),IF($N26&gt;=3.2,"WATCH","PASS"))))</f>
        <v>BUY</v>
      </c>
      <c r="U26" s="26" t="s">
        <v>170</v>
      </c>
      <c r="V26" s="33" t="s">
        <v>215</v>
      </c>
    </row>
    <row r="27" customFormat="false" ht="15" hidden="false" customHeight="true" outlineLevel="0" collapsed="false">
      <c r="A27" s="23" t="s">
        <v>216</v>
      </c>
      <c r="B27" s="34" t="str">
        <f aca="false">IF($A27="","",IF(ISERROR(FIND(".",$A27)),"",LOWER(MID($A27,FIND(CHAR(1),SUBSTITUTE($A27,".",CHAR(1),LEN($A27)-LEN(SUBSTITUTE($A27,".",""))))+1,LEN($A27)))))</f>
        <v>com</v>
      </c>
      <c r="C27" s="35" t="n">
        <f aca="false">IF($B27="","",IFERROR(INDEX(Rubric!$B$15:$B$24,MATCH(LOWER($B27),Rubric!$A$15:$A$24,0)),INDEX(Rubric!$B$15:$B$24,MATCH("other",Rubric!$A$15:$A$24,0))))</f>
        <v>5</v>
      </c>
      <c r="D27" s="26" t="n">
        <v>3</v>
      </c>
      <c r="E27" s="26" t="n">
        <v>2</v>
      </c>
      <c r="F27" s="26" t="n">
        <v>4</v>
      </c>
      <c r="G27" s="26" t="n">
        <v>4</v>
      </c>
      <c r="H27" s="26" t="n">
        <v>5</v>
      </c>
      <c r="I27" s="26" t="s">
        <v>169</v>
      </c>
      <c r="J27" s="26" t="s">
        <v>169</v>
      </c>
      <c r="K27" s="41" t="n">
        <v>22.99</v>
      </c>
      <c r="L27" s="27" t="n">
        <v>1800</v>
      </c>
      <c r="M27" s="36" t="n">
        <f aca="false">IF($B27="","",IFERROR(INDEX(Rubric!$C$15:$C$24,MATCH(LOWER($B27),Rubric!$A$15:$A$24,0)),INDEX(Rubric!$C$15:$C$24,MATCH("other",Rubric!$A$15:$A$24,0))))</f>
        <v>11</v>
      </c>
      <c r="N27" s="37" t="n">
        <f aca="false">IF(OR($A27="",$C27=""),"",$C27*Rubric!$B$5+$D27*Rubric!$B$6+$E27*Rubric!$B$7+$F27*Rubric!$B$8+$G27*Rubric!$B$9+$H27*Rubric!$B$10)</f>
        <v>3.65</v>
      </c>
      <c r="O27" s="38" t="str">
        <f aca="false">IF($A27="","",IF(OR(UPPER($I27)="Y",UPPER($J27)="Y"),"FAIL","PASS"))</f>
        <v>PASS</v>
      </c>
      <c r="P27" s="39" t="n">
        <f aca="false">IF(OR($A27="",$L27=""),"",MAX(0,$L27-MAX($L27*Assumptions!$B$4,Assumptions!$B$5)))</f>
        <v>1440</v>
      </c>
      <c r="Q27" s="40" t="n">
        <f aca="false">IF($A27="","",Assumptions!$B$13)</f>
        <v>0.0960792032000001</v>
      </c>
      <c r="R27" s="39" t="n">
        <f aca="false">IF(OR($A27="",$M27=""),"",$M27*Assumptions!$B$7)</f>
        <v>55</v>
      </c>
      <c r="S27" s="39" t="n">
        <f aca="false">IF(OR($A27="",$P27="",$R27=""),"",MAX(0,$P27*$Q27-$R27))</f>
        <v>83.3540526080001</v>
      </c>
      <c r="T27" s="38" t="str">
        <f aca="false">IF($A27="","",IF($O27="FAIL","REJECT",IF($N27&gt;=4,IF(AND($K27&lt;&gt;"",$K27&gt;$S27),"BUY IF CHEAPER","BUY"),IF($N27&gt;=3.2,"WATCH","PASS"))))</f>
        <v>WATCH</v>
      </c>
      <c r="U27" s="26" t="s">
        <v>210</v>
      </c>
      <c r="V27" s="33" t="s">
        <v>217</v>
      </c>
    </row>
    <row r="28" customFormat="false" ht="15" hidden="false" customHeight="true" outlineLevel="0" collapsed="false">
      <c r="A28" s="23" t="s">
        <v>218</v>
      </c>
      <c r="B28" s="34" t="str">
        <f aca="false">IF($A28="","",IF(ISERROR(FIND(".",$A28)),"",LOWER(MID($A28,FIND(CHAR(1),SUBSTITUTE($A28,".",CHAR(1),LEN($A28)-LEN(SUBSTITUTE($A28,".",""))))+1,LEN($A28)))))</f>
        <v>com</v>
      </c>
      <c r="C28" s="35" t="n">
        <f aca="false">IF($B28="","",IFERROR(INDEX(Rubric!$B$15:$B$24,MATCH(LOWER($B28),Rubric!$A$15:$A$24,0)),INDEX(Rubric!$B$15:$B$24,MATCH("other",Rubric!$A$15:$A$24,0))))</f>
        <v>5</v>
      </c>
      <c r="D28" s="26" t="n">
        <v>3</v>
      </c>
      <c r="E28" s="26" t="n">
        <v>2</v>
      </c>
      <c r="F28" s="26" t="n">
        <v>3</v>
      </c>
      <c r="G28" s="26" t="n">
        <v>4</v>
      </c>
      <c r="H28" s="26" t="n">
        <v>5</v>
      </c>
      <c r="I28" s="26" t="s">
        <v>169</v>
      </c>
      <c r="J28" s="26" t="s">
        <v>169</v>
      </c>
      <c r="K28" s="27"/>
      <c r="L28" s="27" t="n">
        <v>2000</v>
      </c>
      <c r="M28" s="36" t="n">
        <f aca="false">IF($B28="","",IFERROR(INDEX(Rubric!$C$15:$C$24,MATCH(LOWER($B28),Rubric!$A$15:$A$24,0)),INDEX(Rubric!$C$15:$C$24,MATCH("other",Rubric!$A$15:$A$24,0))))</f>
        <v>11</v>
      </c>
      <c r="N28" s="37" t="n">
        <f aca="false">IF(OR($A28="",$C28=""),"",$C28*Rubric!$B$5+$D28*Rubric!$B$6+$E28*Rubric!$B$7+$F28*Rubric!$B$8+$G28*Rubric!$B$9+$H28*Rubric!$B$10)</f>
        <v>3.5</v>
      </c>
      <c r="O28" s="38" t="str">
        <f aca="false">IF($A28="","",IF(OR(UPPER($I28)="Y",UPPER($J28)="Y"),"FAIL","PASS"))</f>
        <v>PASS</v>
      </c>
      <c r="P28" s="39" t="n">
        <f aca="false">IF(OR($A28="",$L28=""),"",MAX(0,$L28-MAX($L28*Assumptions!$B$4,Assumptions!$B$5)))</f>
        <v>1600</v>
      </c>
      <c r="Q28" s="40" t="n">
        <f aca="false">IF($A28="","",Assumptions!$B$13)</f>
        <v>0.0960792032000001</v>
      </c>
      <c r="R28" s="39" t="n">
        <f aca="false">IF(OR($A28="",$M28=""),"",$M28*Assumptions!$B$7)</f>
        <v>55</v>
      </c>
      <c r="S28" s="39" t="n">
        <f aca="false">IF(OR($A28="",$P28="",$R28=""),"",MAX(0,$P28*$Q28-$R28))</f>
        <v>98.7267251200001</v>
      </c>
      <c r="T28" s="38" t="str">
        <f aca="false">IF($A28="","",IF($O28="FAIL","REJECT",IF($N28&gt;=4,IF(AND($K28&lt;&gt;"",$K28&gt;$S28),"BUY IF CHEAPER","BUY"),IF($N28&gt;=3.2,"WATCH","PASS"))))</f>
        <v>WATCH</v>
      </c>
      <c r="U28" s="26" t="s">
        <v>170</v>
      </c>
      <c r="V28" s="33" t="s">
        <v>219</v>
      </c>
    </row>
    <row r="29" customFormat="false" ht="15" hidden="false" customHeight="true" outlineLevel="0" collapsed="false">
      <c r="A29" s="23" t="s">
        <v>220</v>
      </c>
      <c r="B29" s="34" t="str">
        <f aca="false">IF($A29="","",IF(ISERROR(FIND(".",$A29)),"",LOWER(MID($A29,FIND(CHAR(1),SUBSTITUTE($A29,".",CHAR(1),LEN($A29)-LEN(SUBSTITUTE($A29,".",""))))+1,LEN($A29)))))</f>
        <v>com</v>
      </c>
      <c r="C29" s="35" t="n">
        <f aca="false">IF($B29="","",IFERROR(INDEX(Rubric!$B$15:$B$24,MATCH(LOWER($B29),Rubric!$A$15:$A$24,0)),INDEX(Rubric!$B$15:$B$24,MATCH("other",Rubric!$A$15:$A$24,0))))</f>
        <v>5</v>
      </c>
      <c r="D29" s="26" t="n">
        <v>3</v>
      </c>
      <c r="E29" s="26" t="n">
        <v>2</v>
      </c>
      <c r="F29" s="26" t="n">
        <v>4</v>
      </c>
      <c r="G29" s="26" t="n">
        <v>4</v>
      </c>
      <c r="H29" s="26" t="n">
        <v>5</v>
      </c>
      <c r="I29" s="26" t="s">
        <v>169</v>
      </c>
      <c r="J29" s="26" t="s">
        <v>169</v>
      </c>
      <c r="K29" s="41" t="n">
        <v>18800</v>
      </c>
      <c r="L29" s="27" t="n">
        <v>2200</v>
      </c>
      <c r="M29" s="36" t="n">
        <f aca="false">IF($B29="","",IFERROR(INDEX(Rubric!$C$15:$C$24,MATCH(LOWER($B29),Rubric!$A$15:$A$24,0)),INDEX(Rubric!$C$15:$C$24,MATCH("other",Rubric!$A$15:$A$24,0))))</f>
        <v>11</v>
      </c>
      <c r="N29" s="37" t="n">
        <f aca="false">IF(OR($A29="",$C29=""),"",$C29*Rubric!$B$5+$D29*Rubric!$B$6+$E29*Rubric!$B$7+$F29*Rubric!$B$8+$G29*Rubric!$B$9+$H29*Rubric!$B$10)</f>
        <v>3.65</v>
      </c>
      <c r="O29" s="38" t="str">
        <f aca="false">IF($A29="","",IF(OR(UPPER($I29)="Y",UPPER($J29)="Y"),"FAIL","PASS"))</f>
        <v>PASS</v>
      </c>
      <c r="P29" s="39" t="n">
        <f aca="false">IF(OR($A29="",$L29=""),"",MAX(0,$L29-MAX($L29*Assumptions!$B$4,Assumptions!$B$5)))</f>
        <v>1760</v>
      </c>
      <c r="Q29" s="40" t="n">
        <f aca="false">IF($A29="","",Assumptions!$B$13)</f>
        <v>0.0960792032000001</v>
      </c>
      <c r="R29" s="39" t="n">
        <f aca="false">IF(OR($A29="",$M29=""),"",$M29*Assumptions!$B$7)</f>
        <v>55</v>
      </c>
      <c r="S29" s="39" t="n">
        <f aca="false">IF(OR($A29="",$P29="",$R29=""),"",MAX(0,$P29*$Q29-$R29))</f>
        <v>114.099397632</v>
      </c>
      <c r="T29" s="38" t="str">
        <f aca="false">IF($A29="","",IF($O29="FAIL","REJECT",IF($N29&gt;=4,IF(AND($K29&lt;&gt;"",$K29&gt;$S29),"BUY IF CHEAPER","BUY"),IF($N29&gt;=3.2,"WATCH","PASS"))))</f>
        <v>WATCH</v>
      </c>
      <c r="U29" s="26" t="s">
        <v>197</v>
      </c>
      <c r="V29" s="33" t="s">
        <v>221</v>
      </c>
    </row>
    <row r="30" customFormat="false" ht="15" hidden="false" customHeight="true" outlineLevel="0" collapsed="false">
      <c r="A30" s="23" t="s">
        <v>222</v>
      </c>
      <c r="B30" s="34" t="str">
        <f aca="false">IF($A30="","",IF(ISERROR(FIND(".",$A30)),"",LOWER(MID($A30,FIND(CHAR(1),SUBSTITUTE($A30,".",CHAR(1),LEN($A30)-LEN(SUBSTITUTE($A30,".",""))))+1,LEN($A30)))))</f>
        <v>com</v>
      </c>
      <c r="C30" s="35" t="n">
        <f aca="false">IF($B30="","",IFERROR(INDEX(Rubric!$B$15:$B$24,MATCH(LOWER($B30),Rubric!$A$15:$A$24,0)),INDEX(Rubric!$B$15:$B$24,MATCH("other",Rubric!$A$15:$A$24,0))))</f>
        <v>5</v>
      </c>
      <c r="D30" s="26" t="n">
        <v>4</v>
      </c>
      <c r="E30" s="26" t="n">
        <v>3</v>
      </c>
      <c r="F30" s="26" t="n">
        <v>4</v>
      </c>
      <c r="G30" s="26" t="n">
        <v>5</v>
      </c>
      <c r="H30" s="26" t="n">
        <v>5</v>
      </c>
      <c r="I30" s="26" t="s">
        <v>169</v>
      </c>
      <c r="J30" s="26" t="s">
        <v>169</v>
      </c>
      <c r="K30" s="27"/>
      <c r="L30" s="27" t="n">
        <v>5000</v>
      </c>
      <c r="M30" s="36" t="n">
        <f aca="false">IF($B30="","",IFERROR(INDEX(Rubric!$C$15:$C$24,MATCH(LOWER($B30),Rubric!$A$15:$A$24,0)),INDEX(Rubric!$C$15:$C$24,MATCH("other",Rubric!$A$15:$A$24,0))))</f>
        <v>11</v>
      </c>
      <c r="N30" s="37" t="n">
        <f aca="false">IF(OR($A30="",$C30=""),"",$C30*Rubric!$B$5+$D30*Rubric!$B$6+$E30*Rubric!$B$7+$F30*Rubric!$B$8+$G30*Rubric!$B$9+$H30*Rubric!$B$10)</f>
        <v>4.2</v>
      </c>
      <c r="O30" s="38" t="str">
        <f aca="false">IF($A30="","",IF(OR(UPPER($I30)="Y",UPPER($J30)="Y"),"FAIL","PASS"))</f>
        <v>PASS</v>
      </c>
      <c r="P30" s="39" t="n">
        <f aca="false">IF(OR($A30="",$L30=""),"",MAX(0,$L30-MAX($L30*Assumptions!$B$4,Assumptions!$B$5)))</f>
        <v>4000</v>
      </c>
      <c r="Q30" s="40" t="n">
        <f aca="false">IF($A30="","",Assumptions!$B$13)</f>
        <v>0.0960792032000001</v>
      </c>
      <c r="R30" s="39" t="n">
        <f aca="false">IF(OR($A30="",$M30=""),"",$M30*Assumptions!$B$7)</f>
        <v>55</v>
      </c>
      <c r="S30" s="39" t="n">
        <f aca="false">IF(OR($A30="",$P30="",$R30=""),"",MAX(0,$P30*$Q30-$R30))</f>
        <v>329.3168128</v>
      </c>
      <c r="T30" s="38" t="str">
        <f aca="false">IF($A30="","",IF($O30="FAIL","REJECT",IF($N30&gt;=4,IF(AND($K30&lt;&gt;"",$K30&gt;$S30),"BUY IF CHEAPER","BUY"),IF($N30&gt;=3.2,"WATCH","PASS"))))</f>
        <v>BUY</v>
      </c>
      <c r="U30" s="26" t="s">
        <v>170</v>
      </c>
      <c r="V30" s="33" t="s">
        <v>223</v>
      </c>
    </row>
    <row r="31" customFormat="false" ht="15" hidden="false" customHeight="true" outlineLevel="0" collapsed="false">
      <c r="A31" s="23" t="s">
        <v>224</v>
      </c>
      <c r="B31" s="34" t="str">
        <f aca="false">IF($A31="","",IF(ISERROR(FIND(".",$A31)),"",LOWER(MID($A31,FIND(CHAR(1),SUBSTITUTE($A31,".",CHAR(1),LEN($A31)-LEN(SUBSTITUTE($A31,".",""))))+1,LEN($A31)))))</f>
        <v>com</v>
      </c>
      <c r="C31" s="35" t="n">
        <f aca="false">IF($B31="","",IFERROR(INDEX(Rubric!$B$15:$B$24,MATCH(LOWER($B31),Rubric!$A$15:$A$24,0)),INDEX(Rubric!$B$15:$B$24,MATCH("other",Rubric!$A$15:$A$24,0))))</f>
        <v>5</v>
      </c>
      <c r="D31" s="26" t="n">
        <v>3</v>
      </c>
      <c r="E31" s="26" t="n">
        <v>2</v>
      </c>
      <c r="F31" s="26" t="n">
        <v>3</v>
      </c>
      <c r="G31" s="26" t="n">
        <v>3</v>
      </c>
      <c r="H31" s="26" t="n">
        <v>5</v>
      </c>
      <c r="I31" s="26" t="s">
        <v>169</v>
      </c>
      <c r="J31" s="26" t="s">
        <v>169</v>
      </c>
      <c r="K31" s="41" t="n">
        <v>22.99</v>
      </c>
      <c r="L31" s="27" t="n">
        <v>1800</v>
      </c>
      <c r="M31" s="36" t="n">
        <f aca="false">IF($B31="","",IFERROR(INDEX(Rubric!$C$15:$C$24,MATCH(LOWER($B31),Rubric!$A$15:$A$24,0)),INDEX(Rubric!$C$15:$C$24,MATCH("other",Rubric!$A$15:$A$24,0))))</f>
        <v>11</v>
      </c>
      <c r="N31" s="37" t="n">
        <f aca="false">IF(OR($A31="",$C31=""),"",$C31*Rubric!$B$5+$D31*Rubric!$B$6+$E31*Rubric!$B$7+$F31*Rubric!$B$8+$G31*Rubric!$B$9+$H31*Rubric!$B$10)</f>
        <v>3.4</v>
      </c>
      <c r="O31" s="38" t="str">
        <f aca="false">IF($A31="","",IF(OR(UPPER($I31)="Y",UPPER($J31)="Y"),"FAIL","PASS"))</f>
        <v>PASS</v>
      </c>
      <c r="P31" s="39" t="n">
        <f aca="false">IF(OR($A31="",$L31=""),"",MAX(0,$L31-MAX($L31*Assumptions!$B$4,Assumptions!$B$5)))</f>
        <v>1440</v>
      </c>
      <c r="Q31" s="40" t="n">
        <f aca="false">IF($A31="","",Assumptions!$B$13)</f>
        <v>0.0960792032000001</v>
      </c>
      <c r="R31" s="39" t="n">
        <f aca="false">IF(OR($A31="",$M31=""),"",$M31*Assumptions!$B$7)</f>
        <v>55</v>
      </c>
      <c r="S31" s="39" t="n">
        <f aca="false">IF(OR($A31="",$P31="",$R31=""),"",MAX(0,$P31*$Q31-$R31))</f>
        <v>83.3540526080001</v>
      </c>
      <c r="T31" s="38" t="str">
        <f aca="false">IF($A31="","",IF($O31="FAIL","REJECT",IF($N31&gt;=4,IF(AND($K31&lt;&gt;"",$K31&gt;$S31),"BUY IF CHEAPER","BUY"),IF($N31&gt;=3.2,"WATCH","PASS"))))</f>
        <v>WATCH</v>
      </c>
      <c r="U31" s="26" t="s">
        <v>210</v>
      </c>
      <c r="V31" s="33" t="s">
        <v>225</v>
      </c>
    </row>
    <row r="32" customFormat="false" ht="15" hidden="false" customHeight="true" outlineLevel="0" collapsed="false">
      <c r="A32" s="23" t="s">
        <v>226</v>
      </c>
      <c r="B32" s="34" t="str">
        <f aca="false">IF($A32="","",IF(ISERROR(FIND(".",$A32)),"",LOWER(MID($A32,FIND(CHAR(1),SUBSTITUTE($A32,".",CHAR(1),LEN($A32)-LEN(SUBSTITUTE($A32,".",""))))+1,LEN($A32)))))</f>
        <v>com</v>
      </c>
      <c r="C32" s="35" t="n">
        <f aca="false">IF($B32="","",IFERROR(INDEX(Rubric!$B$15:$B$24,MATCH(LOWER($B32),Rubric!$A$15:$A$24,0)),INDEX(Rubric!$B$15:$B$24,MATCH("other",Rubric!$A$15:$A$24,0))))</f>
        <v>5</v>
      </c>
      <c r="D32" s="26" t="n">
        <v>3</v>
      </c>
      <c r="E32" s="26" t="n">
        <v>2</v>
      </c>
      <c r="F32" s="26" t="n">
        <v>4</v>
      </c>
      <c r="G32" s="26" t="n">
        <v>3</v>
      </c>
      <c r="H32" s="26" t="n">
        <v>5</v>
      </c>
      <c r="I32" s="26" t="s">
        <v>169</v>
      </c>
      <c r="J32" s="26" t="s">
        <v>169</v>
      </c>
      <c r="K32" s="41" t="n">
        <v>22.99</v>
      </c>
      <c r="L32" s="27" t="n">
        <v>1800</v>
      </c>
      <c r="M32" s="36" t="n">
        <f aca="false">IF($B32="","",IFERROR(INDEX(Rubric!$C$15:$C$24,MATCH(LOWER($B32),Rubric!$A$15:$A$24,0)),INDEX(Rubric!$C$15:$C$24,MATCH("other",Rubric!$A$15:$A$24,0))))</f>
        <v>11</v>
      </c>
      <c r="N32" s="37" t="n">
        <f aca="false">IF(OR($A32="",$C32=""),"",$C32*Rubric!$B$5+$D32*Rubric!$B$6+$E32*Rubric!$B$7+$F32*Rubric!$B$8+$G32*Rubric!$B$9+$H32*Rubric!$B$10)</f>
        <v>3.55</v>
      </c>
      <c r="O32" s="38" t="str">
        <f aca="false">IF($A32="","",IF(OR(UPPER($I32)="Y",UPPER($J32)="Y"),"FAIL","PASS"))</f>
        <v>PASS</v>
      </c>
      <c r="P32" s="39" t="n">
        <f aca="false">IF(OR($A32="",$L32=""),"",MAX(0,$L32-MAX($L32*Assumptions!$B$4,Assumptions!$B$5)))</f>
        <v>1440</v>
      </c>
      <c r="Q32" s="40" t="n">
        <f aca="false">IF($A32="","",Assumptions!$B$13)</f>
        <v>0.0960792032000001</v>
      </c>
      <c r="R32" s="39" t="n">
        <f aca="false">IF(OR($A32="",$M32=""),"",$M32*Assumptions!$B$7)</f>
        <v>55</v>
      </c>
      <c r="S32" s="39" t="n">
        <f aca="false">IF(OR($A32="",$P32="",$R32=""),"",MAX(0,$P32*$Q32-$R32))</f>
        <v>83.3540526080001</v>
      </c>
      <c r="T32" s="38" t="str">
        <f aca="false">IF($A32="","",IF($O32="FAIL","REJECT",IF($N32&gt;=4,IF(AND($K32&lt;&gt;"",$K32&gt;$S32),"BUY IF CHEAPER","BUY"),IF($N32&gt;=3.2,"WATCH","PASS"))))</f>
        <v>WATCH</v>
      </c>
      <c r="U32" s="26" t="s">
        <v>210</v>
      </c>
      <c r="V32" s="33" t="s">
        <v>227</v>
      </c>
    </row>
    <row r="33" customFormat="false" ht="23.25" hidden="false" customHeight="true" outlineLevel="0" collapsed="false">
      <c r="A33" s="23" t="s">
        <v>228</v>
      </c>
      <c r="B33" s="34" t="str">
        <f aca="false">IF($A33="","",IF(ISERROR(FIND(".",$A33)),"",LOWER(MID($A33,FIND(CHAR(1),SUBSTITUTE($A33,".",CHAR(1),LEN($A33)-LEN(SUBSTITUTE($A33,".",""))))+1,LEN($A33)))))</f>
        <v>com</v>
      </c>
      <c r="C33" s="35" t="n">
        <f aca="false">IF($B33="","",IFERROR(INDEX(Rubric!$B$15:$B$24,MATCH(LOWER($B33),Rubric!$A$15:$A$24,0)),INDEX(Rubric!$B$15:$B$24,MATCH("other",Rubric!$A$15:$A$24,0))))</f>
        <v>5</v>
      </c>
      <c r="D33" s="26" t="n">
        <v>5</v>
      </c>
      <c r="E33" s="26" t="n">
        <v>3</v>
      </c>
      <c r="F33" s="26" t="n">
        <v>4</v>
      </c>
      <c r="G33" s="26" t="n">
        <v>5</v>
      </c>
      <c r="H33" s="26" t="n">
        <v>4</v>
      </c>
      <c r="I33" s="26" t="s">
        <v>169</v>
      </c>
      <c r="J33" s="26" t="s">
        <v>169</v>
      </c>
      <c r="K33" s="27"/>
      <c r="L33" s="27" t="n">
        <v>9000</v>
      </c>
      <c r="M33" s="36" t="n">
        <f aca="false">IF($B33="","",IFERROR(INDEX(Rubric!$C$15:$C$24,MATCH(LOWER($B33),Rubric!$A$15:$A$24,0)),INDEX(Rubric!$C$15:$C$24,MATCH("other",Rubric!$A$15:$A$24,0))))</f>
        <v>11</v>
      </c>
      <c r="N33" s="37" t="n">
        <f aca="false">IF(OR($A33="",$C33=""),"",$C33*Rubric!$B$5+$D33*Rubric!$B$6+$E33*Rubric!$B$7+$F33*Rubric!$B$8+$G33*Rubric!$B$9+$H33*Rubric!$B$10)</f>
        <v>4.35</v>
      </c>
      <c r="O33" s="38" t="str">
        <f aca="false">IF($A33="","",IF(OR(UPPER($I33)="Y",UPPER($J33)="Y"),"FAIL","PASS"))</f>
        <v>PASS</v>
      </c>
      <c r="P33" s="39" t="n">
        <f aca="false">IF(OR($A33="",$L33=""),"",MAX(0,$L33-MAX($L33*Assumptions!$B$4,Assumptions!$B$5)))</f>
        <v>7200</v>
      </c>
      <c r="Q33" s="40" t="n">
        <f aca="false">IF($A33="","",Assumptions!$B$13)</f>
        <v>0.0960792032000001</v>
      </c>
      <c r="R33" s="39" t="n">
        <f aca="false">IF(OR($A33="",$M33=""),"",$M33*Assumptions!$B$7)</f>
        <v>55</v>
      </c>
      <c r="S33" s="39" t="n">
        <f aca="false">IF(OR($A33="",$P33="",$R33=""),"",MAX(0,$P33*$Q33-$R33))</f>
        <v>636.770263040001</v>
      </c>
      <c r="T33" s="38" t="str">
        <f aca="false">IF($A33="","",IF($O33="FAIL","REJECT",IF($N33&gt;=4,IF(AND($K33&lt;&gt;"",$K33&gt;$S33),"BUY IF CHEAPER","BUY"),IF($N33&gt;=3.2,"WATCH","PASS"))))</f>
        <v>BUY</v>
      </c>
      <c r="U33" s="26" t="s">
        <v>170</v>
      </c>
      <c r="V33" s="33" t="s">
        <v>229</v>
      </c>
    </row>
    <row r="34" customFormat="false" ht="15" hidden="false" customHeight="true" outlineLevel="0" collapsed="false">
      <c r="A34" s="23" t="s">
        <v>230</v>
      </c>
      <c r="B34" s="34" t="str">
        <f aca="false">IF($A34="","",IF(ISERROR(FIND(".",$A34)),"",LOWER(MID($A34,FIND(CHAR(1),SUBSTITUTE($A34,".",CHAR(1),LEN($A34)-LEN(SUBSTITUTE($A34,".",""))))+1,LEN($A34)))))</f>
        <v>com</v>
      </c>
      <c r="C34" s="35" t="n">
        <f aca="false">IF($B34="","",IFERROR(INDEX(Rubric!$B$15:$B$24,MATCH(LOWER($B34),Rubric!$A$15:$A$24,0)),INDEX(Rubric!$B$15:$B$24,MATCH("other",Rubric!$A$15:$A$24,0))))</f>
        <v>5</v>
      </c>
      <c r="D34" s="26" t="n">
        <v>5</v>
      </c>
      <c r="E34" s="26" t="n">
        <v>3</v>
      </c>
      <c r="F34" s="26" t="n">
        <v>4</v>
      </c>
      <c r="G34" s="26" t="n">
        <v>5</v>
      </c>
      <c r="H34" s="26" t="n">
        <v>4</v>
      </c>
      <c r="I34" s="26" t="s">
        <v>169</v>
      </c>
      <c r="J34" s="26" t="s">
        <v>169</v>
      </c>
      <c r="K34" s="27"/>
      <c r="L34" s="27" t="n">
        <v>8000</v>
      </c>
      <c r="M34" s="36" t="n">
        <f aca="false">IF($B34="","",IFERROR(INDEX(Rubric!$C$15:$C$24,MATCH(LOWER($B34),Rubric!$A$15:$A$24,0)),INDEX(Rubric!$C$15:$C$24,MATCH("other",Rubric!$A$15:$A$24,0))))</f>
        <v>11</v>
      </c>
      <c r="N34" s="37" t="n">
        <f aca="false">IF(OR($A34="",$C34=""),"",$C34*Rubric!$B$5+$D34*Rubric!$B$6+$E34*Rubric!$B$7+$F34*Rubric!$B$8+$G34*Rubric!$B$9+$H34*Rubric!$B$10)</f>
        <v>4.35</v>
      </c>
      <c r="O34" s="38" t="str">
        <f aca="false">IF($A34="","",IF(OR(UPPER($I34)="Y",UPPER($J34)="Y"),"FAIL","PASS"))</f>
        <v>PASS</v>
      </c>
      <c r="P34" s="39" t="n">
        <f aca="false">IF(OR($A34="",$L34=""),"",MAX(0,$L34-MAX($L34*Assumptions!$B$4,Assumptions!$B$5)))</f>
        <v>6400</v>
      </c>
      <c r="Q34" s="40" t="n">
        <f aca="false">IF($A34="","",Assumptions!$B$13)</f>
        <v>0.0960792032000001</v>
      </c>
      <c r="R34" s="39" t="n">
        <f aca="false">IF(OR($A34="",$M34=""),"",$M34*Assumptions!$B$7)</f>
        <v>55</v>
      </c>
      <c r="S34" s="39" t="n">
        <f aca="false">IF(OR($A34="",$P34="",$R34=""),"",MAX(0,$P34*$Q34-$R34))</f>
        <v>559.90690048</v>
      </c>
      <c r="T34" s="38" t="str">
        <f aca="false">IF($A34="","",IF($O34="FAIL","REJECT",IF($N34&gt;=4,IF(AND($K34&lt;&gt;"",$K34&gt;$S34),"BUY IF CHEAPER","BUY"),IF($N34&gt;=3.2,"WATCH","PASS"))))</f>
        <v>BUY</v>
      </c>
      <c r="U34" s="26" t="s">
        <v>170</v>
      </c>
      <c r="V34" s="33" t="s">
        <v>231</v>
      </c>
    </row>
    <row r="35" customFormat="false" ht="15" hidden="false" customHeight="true" outlineLevel="0" collapsed="false">
      <c r="A35" s="23" t="s">
        <v>232</v>
      </c>
      <c r="B35" s="34" t="str">
        <f aca="false">IF($A35="","",IF(ISERROR(FIND(".",$A35)),"",LOWER(MID($A35,FIND(CHAR(1),SUBSTITUTE($A35,".",CHAR(1),LEN($A35)-LEN(SUBSTITUTE($A35,".",""))))+1,LEN($A35)))))</f>
        <v>com</v>
      </c>
      <c r="C35" s="35" t="n">
        <f aca="false">IF($B35="","",IFERROR(INDEX(Rubric!$B$15:$B$24,MATCH(LOWER($B35),Rubric!$A$15:$A$24,0)),INDEX(Rubric!$B$15:$B$24,MATCH("other",Rubric!$A$15:$A$24,0))))</f>
        <v>5</v>
      </c>
      <c r="D35" s="26" t="n">
        <v>5</v>
      </c>
      <c r="E35" s="26" t="n">
        <v>3</v>
      </c>
      <c r="F35" s="26" t="n">
        <v>4</v>
      </c>
      <c r="G35" s="26" t="n">
        <v>5</v>
      </c>
      <c r="H35" s="26" t="n">
        <v>4</v>
      </c>
      <c r="I35" s="26" t="s">
        <v>169</v>
      </c>
      <c r="J35" s="26" t="s">
        <v>169</v>
      </c>
      <c r="K35" s="27"/>
      <c r="L35" s="27" t="n">
        <v>9000</v>
      </c>
      <c r="M35" s="36" t="n">
        <f aca="false">IF($B35="","",IFERROR(INDEX(Rubric!$C$15:$C$24,MATCH(LOWER($B35),Rubric!$A$15:$A$24,0)),INDEX(Rubric!$C$15:$C$24,MATCH("other",Rubric!$A$15:$A$24,0))))</f>
        <v>11</v>
      </c>
      <c r="N35" s="37" t="n">
        <f aca="false">IF(OR($A35="",$C35=""),"",$C35*Rubric!$B$5+$D35*Rubric!$B$6+$E35*Rubric!$B$7+$F35*Rubric!$B$8+$G35*Rubric!$B$9+$H35*Rubric!$B$10)</f>
        <v>4.35</v>
      </c>
      <c r="O35" s="38" t="str">
        <f aca="false">IF($A35="","",IF(OR(UPPER($I35)="Y",UPPER($J35)="Y"),"FAIL","PASS"))</f>
        <v>PASS</v>
      </c>
      <c r="P35" s="39" t="n">
        <f aca="false">IF(OR($A35="",$L35=""),"",MAX(0,$L35-MAX($L35*Assumptions!$B$4,Assumptions!$B$5)))</f>
        <v>7200</v>
      </c>
      <c r="Q35" s="40" t="n">
        <f aca="false">IF($A35="","",Assumptions!$B$13)</f>
        <v>0.0960792032000001</v>
      </c>
      <c r="R35" s="39" t="n">
        <f aca="false">IF(OR($A35="",$M35=""),"",$M35*Assumptions!$B$7)</f>
        <v>55</v>
      </c>
      <c r="S35" s="39" t="n">
        <f aca="false">IF(OR($A35="",$P35="",$R35=""),"",MAX(0,$P35*$Q35-$R35))</f>
        <v>636.770263040001</v>
      </c>
      <c r="T35" s="38" t="str">
        <f aca="false">IF($A35="","",IF($O35="FAIL","REJECT",IF($N35&gt;=4,IF(AND($K35&lt;&gt;"",$K35&gt;$S35),"BUY IF CHEAPER","BUY"),IF($N35&gt;=3.2,"WATCH","PASS"))))</f>
        <v>BUY</v>
      </c>
      <c r="U35" s="26" t="s">
        <v>170</v>
      </c>
      <c r="V35" s="33" t="s">
        <v>231</v>
      </c>
    </row>
    <row r="36" customFormat="false" ht="15" hidden="false" customHeight="true" outlineLevel="0" collapsed="false">
      <c r="A36" s="23" t="s">
        <v>233</v>
      </c>
      <c r="B36" s="34" t="str">
        <f aca="false">IF($A36="","",IF(ISERROR(FIND(".",$A36)),"",LOWER(MID($A36,FIND(CHAR(1),SUBSTITUTE($A36,".",CHAR(1),LEN($A36)-LEN(SUBSTITUTE($A36,".",""))))+1,LEN($A36)))))</f>
        <v>com</v>
      </c>
      <c r="C36" s="35" t="n">
        <f aca="false">IF($B36="","",IFERROR(INDEX(Rubric!$B$15:$B$24,MATCH(LOWER($B36),Rubric!$A$15:$A$24,0)),INDEX(Rubric!$B$15:$B$24,MATCH("other",Rubric!$A$15:$A$24,0))))</f>
        <v>5</v>
      </c>
      <c r="D36" s="26" t="n">
        <v>4</v>
      </c>
      <c r="E36" s="26" t="n">
        <v>3</v>
      </c>
      <c r="F36" s="26" t="n">
        <v>4</v>
      </c>
      <c r="G36" s="26" t="n">
        <v>5</v>
      </c>
      <c r="H36" s="26" t="n">
        <v>4</v>
      </c>
      <c r="I36" s="26" t="s">
        <v>169</v>
      </c>
      <c r="J36" s="26" t="s">
        <v>169</v>
      </c>
      <c r="K36" s="41" t="n">
        <v>6495</v>
      </c>
      <c r="L36" s="27" t="n">
        <v>5000</v>
      </c>
      <c r="M36" s="36" t="n">
        <f aca="false">IF($B36="","",IFERROR(INDEX(Rubric!$C$15:$C$24,MATCH(LOWER($B36),Rubric!$A$15:$A$24,0)),INDEX(Rubric!$C$15:$C$24,MATCH("other",Rubric!$A$15:$A$24,0))))</f>
        <v>11</v>
      </c>
      <c r="N36" s="37" t="n">
        <f aca="false">IF(OR($A36="",$C36=""),"",$C36*Rubric!$B$5+$D36*Rubric!$B$6+$E36*Rubric!$B$7+$F36*Rubric!$B$8+$G36*Rubric!$B$9+$H36*Rubric!$B$10)</f>
        <v>4.1</v>
      </c>
      <c r="O36" s="38" t="str">
        <f aca="false">IF($A36="","",IF(OR(UPPER($I36)="Y",UPPER($J36)="Y"),"FAIL","PASS"))</f>
        <v>PASS</v>
      </c>
      <c r="P36" s="39" t="n">
        <f aca="false">IF(OR($A36="",$L36=""),"",MAX(0,$L36-MAX($L36*Assumptions!$B$4,Assumptions!$B$5)))</f>
        <v>4000</v>
      </c>
      <c r="Q36" s="40" t="n">
        <f aca="false">IF($A36="","",Assumptions!$B$13)</f>
        <v>0.0960792032000001</v>
      </c>
      <c r="R36" s="39" t="n">
        <f aca="false">IF(OR($A36="",$M36=""),"",$M36*Assumptions!$B$7)</f>
        <v>55</v>
      </c>
      <c r="S36" s="39" t="n">
        <f aca="false">IF(OR($A36="",$P36="",$R36=""),"",MAX(0,$P36*$Q36-$R36))</f>
        <v>329.3168128</v>
      </c>
      <c r="T36" s="38" t="str">
        <f aca="false">IF($A36="","",IF($O36="FAIL","REJECT",IF($N36&gt;=4,IF(AND($K36&lt;&gt;"",$K36&gt;$S36),"BUY IF CHEAPER","BUY"),IF($N36&gt;=3.2,"WATCH","PASS"))))</f>
        <v>BUY IF CHEAPER</v>
      </c>
      <c r="U36" s="26" t="s">
        <v>197</v>
      </c>
      <c r="V36" s="33" t="s">
        <v>234</v>
      </c>
    </row>
    <row r="37" customFormat="false" ht="15" hidden="false" customHeight="true" outlineLevel="0" collapsed="false">
      <c r="A37" s="23" t="s">
        <v>235</v>
      </c>
      <c r="B37" s="34" t="str">
        <f aca="false">IF($A37="","",IF(ISERROR(FIND(".",$A37)),"",LOWER(MID($A37,FIND(CHAR(1),SUBSTITUTE($A37,".",CHAR(1),LEN($A37)-LEN(SUBSTITUTE($A37,".",""))))+1,LEN($A37)))))</f>
        <v>com</v>
      </c>
      <c r="C37" s="35" t="n">
        <f aca="false">IF($B37="","",IFERROR(INDEX(Rubric!$B$15:$B$24,MATCH(LOWER($B37),Rubric!$A$15:$A$24,0)),INDEX(Rubric!$B$15:$B$24,MATCH("other",Rubric!$A$15:$A$24,0))))</f>
        <v>5</v>
      </c>
      <c r="D37" s="26" t="n">
        <v>4</v>
      </c>
      <c r="E37" s="26" t="n">
        <v>3</v>
      </c>
      <c r="F37" s="26" t="n">
        <v>5</v>
      </c>
      <c r="G37" s="26" t="n">
        <v>5</v>
      </c>
      <c r="H37" s="26" t="n">
        <v>4</v>
      </c>
      <c r="I37" s="26" t="s">
        <v>169</v>
      </c>
      <c r="J37" s="26" t="s">
        <v>169</v>
      </c>
      <c r="K37" s="27"/>
      <c r="L37" s="27" t="n">
        <v>5500</v>
      </c>
      <c r="M37" s="36" t="n">
        <f aca="false">IF($B37="","",IFERROR(INDEX(Rubric!$C$15:$C$24,MATCH(LOWER($B37),Rubric!$A$15:$A$24,0)),INDEX(Rubric!$C$15:$C$24,MATCH("other",Rubric!$A$15:$A$24,0))))</f>
        <v>11</v>
      </c>
      <c r="N37" s="37" t="n">
        <f aca="false">IF(OR($A37="",$C37=""),"",$C37*Rubric!$B$5+$D37*Rubric!$B$6+$E37*Rubric!$B$7+$F37*Rubric!$B$8+$G37*Rubric!$B$9+$H37*Rubric!$B$10)</f>
        <v>4.25</v>
      </c>
      <c r="O37" s="38" t="str">
        <f aca="false">IF($A37="","",IF(OR(UPPER($I37)="Y",UPPER($J37)="Y"),"FAIL","PASS"))</f>
        <v>PASS</v>
      </c>
      <c r="P37" s="39" t="n">
        <f aca="false">IF(OR($A37="",$L37=""),"",MAX(0,$L37-MAX($L37*Assumptions!$B$4,Assumptions!$B$5)))</f>
        <v>4400</v>
      </c>
      <c r="Q37" s="40" t="n">
        <f aca="false">IF($A37="","",Assumptions!$B$13)</f>
        <v>0.0960792032000001</v>
      </c>
      <c r="R37" s="39" t="n">
        <f aca="false">IF(OR($A37="",$M37=""),"",$M37*Assumptions!$B$7)</f>
        <v>55</v>
      </c>
      <c r="S37" s="39" t="n">
        <f aca="false">IF(OR($A37="",$P37="",$R37=""),"",MAX(0,$P37*$Q37-$R37))</f>
        <v>367.74849408</v>
      </c>
      <c r="T37" s="38" t="str">
        <f aca="false">IF($A37="","",IF($O37="FAIL","REJECT",IF($N37&gt;=4,IF(AND($K37&lt;&gt;"",$K37&gt;$S37),"BUY IF CHEAPER","BUY"),IF($N37&gt;=3.2,"WATCH","PASS"))))</f>
        <v>BUY</v>
      </c>
      <c r="U37" s="26" t="s">
        <v>170</v>
      </c>
      <c r="V37" s="33" t="s">
        <v>236</v>
      </c>
    </row>
    <row r="38" customFormat="false" ht="15" hidden="false" customHeight="true" outlineLevel="0" collapsed="false">
      <c r="A38" s="23" t="s">
        <v>237</v>
      </c>
      <c r="B38" s="34" t="str">
        <f aca="false">IF($A38="","",IF(ISERROR(FIND(".",$A38)),"",LOWER(MID($A38,FIND(CHAR(1),SUBSTITUTE($A38,".",CHAR(1),LEN($A38)-LEN(SUBSTITUTE($A38,".",""))))+1,LEN($A38)))))</f>
        <v>com</v>
      </c>
      <c r="C38" s="35" t="n">
        <f aca="false">IF($B38="","",IFERROR(INDEX(Rubric!$B$15:$B$24,MATCH(LOWER($B38),Rubric!$A$15:$A$24,0)),INDEX(Rubric!$B$15:$B$24,MATCH("other",Rubric!$A$15:$A$24,0))))</f>
        <v>5</v>
      </c>
      <c r="D38" s="26" t="n">
        <v>4</v>
      </c>
      <c r="E38" s="26" t="n">
        <v>3</v>
      </c>
      <c r="F38" s="26" t="n">
        <v>5</v>
      </c>
      <c r="G38" s="26" t="n">
        <v>5</v>
      </c>
      <c r="H38" s="26" t="n">
        <v>4</v>
      </c>
      <c r="I38" s="26" t="s">
        <v>169</v>
      </c>
      <c r="J38" s="26" t="s">
        <v>169</v>
      </c>
      <c r="K38" s="41" t="n">
        <v>4900</v>
      </c>
      <c r="L38" s="27" t="n">
        <v>5500</v>
      </c>
      <c r="M38" s="36" t="n">
        <f aca="false">IF($B38="","",IFERROR(INDEX(Rubric!$C$15:$C$24,MATCH(LOWER($B38),Rubric!$A$15:$A$24,0)),INDEX(Rubric!$C$15:$C$24,MATCH("other",Rubric!$A$15:$A$24,0))))</f>
        <v>11</v>
      </c>
      <c r="N38" s="37" t="n">
        <f aca="false">IF(OR($A38="",$C38=""),"",$C38*Rubric!$B$5+$D38*Rubric!$B$6+$E38*Rubric!$B$7+$F38*Rubric!$B$8+$G38*Rubric!$B$9+$H38*Rubric!$B$10)</f>
        <v>4.25</v>
      </c>
      <c r="O38" s="38" t="str">
        <f aca="false">IF($A38="","",IF(OR(UPPER($I38)="Y",UPPER($J38)="Y"),"FAIL","PASS"))</f>
        <v>PASS</v>
      </c>
      <c r="P38" s="39" t="n">
        <f aca="false">IF(OR($A38="",$L38=""),"",MAX(0,$L38-MAX($L38*Assumptions!$B$4,Assumptions!$B$5)))</f>
        <v>4400</v>
      </c>
      <c r="Q38" s="40" t="n">
        <f aca="false">IF($A38="","",Assumptions!$B$13)</f>
        <v>0.0960792032000001</v>
      </c>
      <c r="R38" s="39" t="n">
        <f aca="false">IF(OR($A38="",$M38=""),"",$M38*Assumptions!$B$7)</f>
        <v>55</v>
      </c>
      <c r="S38" s="39" t="n">
        <f aca="false">IF(OR($A38="",$P38="",$R38=""),"",MAX(0,$P38*$Q38-$R38))</f>
        <v>367.74849408</v>
      </c>
      <c r="T38" s="38" t="str">
        <f aca="false">IF($A38="","",IF($O38="FAIL","REJECT",IF($N38&gt;=4,IF(AND($K38&lt;&gt;"",$K38&gt;$S38),"BUY IF CHEAPER","BUY"),IF($N38&gt;=3.2,"WATCH","PASS"))))</f>
        <v>BUY IF CHEAPER</v>
      </c>
      <c r="U38" s="26" t="s">
        <v>197</v>
      </c>
      <c r="V38" s="33" t="s">
        <v>238</v>
      </c>
    </row>
    <row r="39" customFormat="false" ht="15" hidden="false" customHeight="true" outlineLevel="0" collapsed="false">
      <c r="A39" s="23" t="s">
        <v>239</v>
      </c>
      <c r="B39" s="34" t="str">
        <f aca="false">IF($A39="","",IF(ISERROR(FIND(".",$A39)),"",LOWER(MID($A39,FIND(CHAR(1),SUBSTITUTE($A39,".",CHAR(1),LEN($A39)-LEN(SUBSTITUTE($A39,".",""))))+1,LEN($A39)))))</f>
        <v>com</v>
      </c>
      <c r="C39" s="35" t="n">
        <f aca="false">IF($B39="","",IFERROR(INDEX(Rubric!$B$15:$B$24,MATCH(LOWER($B39),Rubric!$A$15:$A$24,0)),INDEX(Rubric!$B$15:$B$24,MATCH("other",Rubric!$A$15:$A$24,0))))</f>
        <v>5</v>
      </c>
      <c r="D39" s="26" t="n">
        <v>4</v>
      </c>
      <c r="E39" s="26" t="n">
        <v>3</v>
      </c>
      <c r="F39" s="26" t="n">
        <v>5</v>
      </c>
      <c r="G39" s="26" t="n">
        <v>5</v>
      </c>
      <c r="H39" s="26" t="n">
        <v>4</v>
      </c>
      <c r="I39" s="26" t="s">
        <v>169</v>
      </c>
      <c r="J39" s="26" t="s">
        <v>169</v>
      </c>
      <c r="K39" s="27"/>
      <c r="L39" s="27" t="n">
        <v>5500</v>
      </c>
      <c r="M39" s="36" t="n">
        <f aca="false">IF($B39="","",IFERROR(INDEX(Rubric!$C$15:$C$24,MATCH(LOWER($B39),Rubric!$A$15:$A$24,0)),INDEX(Rubric!$C$15:$C$24,MATCH("other",Rubric!$A$15:$A$24,0))))</f>
        <v>11</v>
      </c>
      <c r="N39" s="37" t="n">
        <f aca="false">IF(OR($A39="",$C39=""),"",$C39*Rubric!$B$5+$D39*Rubric!$B$6+$E39*Rubric!$B$7+$F39*Rubric!$B$8+$G39*Rubric!$B$9+$H39*Rubric!$B$10)</f>
        <v>4.25</v>
      </c>
      <c r="O39" s="38" t="str">
        <f aca="false">IF($A39="","",IF(OR(UPPER($I39)="Y",UPPER($J39)="Y"),"FAIL","PASS"))</f>
        <v>PASS</v>
      </c>
      <c r="P39" s="39" t="n">
        <f aca="false">IF(OR($A39="",$L39=""),"",MAX(0,$L39-MAX($L39*Assumptions!$B$4,Assumptions!$B$5)))</f>
        <v>4400</v>
      </c>
      <c r="Q39" s="40" t="n">
        <f aca="false">IF($A39="","",Assumptions!$B$13)</f>
        <v>0.0960792032000001</v>
      </c>
      <c r="R39" s="39" t="n">
        <f aca="false">IF(OR($A39="",$M39=""),"",$M39*Assumptions!$B$7)</f>
        <v>55</v>
      </c>
      <c r="S39" s="39" t="n">
        <f aca="false">IF(OR($A39="",$P39="",$R39=""),"",MAX(0,$P39*$Q39-$R39))</f>
        <v>367.74849408</v>
      </c>
      <c r="T39" s="38" t="str">
        <f aca="false">IF($A39="","",IF($O39="FAIL","REJECT",IF($N39&gt;=4,IF(AND($K39&lt;&gt;"",$K39&gt;$S39),"BUY IF CHEAPER","BUY"),IF($N39&gt;=3.2,"WATCH","PASS"))))</f>
        <v>BUY</v>
      </c>
      <c r="U39" s="26" t="s">
        <v>170</v>
      </c>
      <c r="V39" s="33" t="s">
        <v>238</v>
      </c>
    </row>
    <row r="40" customFormat="false" ht="15" hidden="false" customHeight="true" outlineLevel="0" collapsed="false">
      <c r="A40" s="23" t="s">
        <v>240</v>
      </c>
      <c r="B40" s="34" t="str">
        <f aca="false">IF($A40="","",IF(ISERROR(FIND(".",$A40)),"",LOWER(MID($A40,FIND(CHAR(1),SUBSTITUTE($A40,".",CHAR(1),LEN($A40)-LEN(SUBSTITUTE($A40,".",""))))+1,LEN($A40)))))</f>
        <v>com</v>
      </c>
      <c r="C40" s="35" t="n">
        <f aca="false">IF($B40="","",IFERROR(INDEX(Rubric!$B$15:$B$24,MATCH(LOWER($B40),Rubric!$A$15:$A$24,0)),INDEX(Rubric!$B$15:$B$24,MATCH("other",Rubric!$A$15:$A$24,0))))</f>
        <v>5</v>
      </c>
      <c r="D40" s="26" t="n">
        <v>4</v>
      </c>
      <c r="E40" s="26" t="n">
        <v>3</v>
      </c>
      <c r="F40" s="26" t="n">
        <v>5</v>
      </c>
      <c r="G40" s="26" t="n">
        <v>5</v>
      </c>
      <c r="H40" s="26" t="n">
        <v>4</v>
      </c>
      <c r="I40" s="26" t="s">
        <v>169</v>
      </c>
      <c r="J40" s="26" t="s">
        <v>169</v>
      </c>
      <c r="K40" s="41" t="n">
        <v>500000</v>
      </c>
      <c r="L40" s="27" t="n">
        <v>5000</v>
      </c>
      <c r="M40" s="36" t="n">
        <f aca="false">IF($B40="","",IFERROR(INDEX(Rubric!$C$15:$C$24,MATCH(LOWER($B40),Rubric!$A$15:$A$24,0)),INDEX(Rubric!$C$15:$C$24,MATCH("other",Rubric!$A$15:$A$24,0))))</f>
        <v>11</v>
      </c>
      <c r="N40" s="37" t="n">
        <f aca="false">IF(OR($A40="",$C40=""),"",$C40*Rubric!$B$5+$D40*Rubric!$B$6+$E40*Rubric!$B$7+$F40*Rubric!$B$8+$G40*Rubric!$B$9+$H40*Rubric!$B$10)</f>
        <v>4.25</v>
      </c>
      <c r="O40" s="38" t="str">
        <f aca="false">IF($A40="","",IF(OR(UPPER($I40)="Y",UPPER($J40)="Y"),"FAIL","PASS"))</f>
        <v>PASS</v>
      </c>
      <c r="P40" s="39" t="n">
        <f aca="false">IF(OR($A40="",$L40=""),"",MAX(0,$L40-MAX($L40*Assumptions!$B$4,Assumptions!$B$5)))</f>
        <v>4000</v>
      </c>
      <c r="Q40" s="40" t="n">
        <f aca="false">IF($A40="","",Assumptions!$B$13)</f>
        <v>0.0960792032000001</v>
      </c>
      <c r="R40" s="39" t="n">
        <f aca="false">IF(OR($A40="",$M40=""),"",$M40*Assumptions!$B$7)</f>
        <v>55</v>
      </c>
      <c r="S40" s="39" t="n">
        <f aca="false">IF(OR($A40="",$P40="",$R40=""),"",MAX(0,$P40*$Q40-$R40))</f>
        <v>329.3168128</v>
      </c>
      <c r="T40" s="38" t="str">
        <f aca="false">IF($A40="","",IF($O40="FAIL","REJECT",IF($N40&gt;=4,IF(AND($K40&lt;&gt;"",$K40&gt;$S40),"BUY IF CHEAPER","BUY"),IF($N40&gt;=3.2,"WATCH","PASS"))))</f>
        <v>BUY IF CHEAPER</v>
      </c>
      <c r="U40" s="26" t="s">
        <v>197</v>
      </c>
      <c r="V40" s="33" t="s">
        <v>238</v>
      </c>
    </row>
    <row r="41" customFormat="false" ht="15" hidden="false" customHeight="true" outlineLevel="0" collapsed="false">
      <c r="A41" s="23" t="s">
        <v>241</v>
      </c>
      <c r="B41" s="34" t="str">
        <f aca="false">IF($A41="","",IF(ISERROR(FIND(".",$A41)),"",LOWER(MID($A41,FIND(CHAR(1),SUBSTITUTE($A41,".",CHAR(1),LEN($A41)-LEN(SUBSTITUTE($A41,".",""))))+1,LEN($A41)))))</f>
        <v>com</v>
      </c>
      <c r="C41" s="35" t="n">
        <f aca="false">IF($B41="","",IFERROR(INDEX(Rubric!$B$15:$B$24,MATCH(LOWER($B41),Rubric!$A$15:$A$24,0)),INDEX(Rubric!$B$15:$B$24,MATCH("other",Rubric!$A$15:$A$24,0))))</f>
        <v>5</v>
      </c>
      <c r="D41" s="26" t="n">
        <v>4</v>
      </c>
      <c r="E41" s="26" t="n">
        <v>3</v>
      </c>
      <c r="F41" s="26" t="n">
        <v>5</v>
      </c>
      <c r="G41" s="26" t="n">
        <v>5</v>
      </c>
      <c r="H41" s="26" t="n">
        <v>3</v>
      </c>
      <c r="I41" s="26" t="s">
        <v>169</v>
      </c>
      <c r="J41" s="26" t="s">
        <v>169</v>
      </c>
      <c r="K41" s="27"/>
      <c r="L41" s="27" t="n">
        <v>12000</v>
      </c>
      <c r="M41" s="36" t="n">
        <f aca="false">IF($B41="","",IFERROR(INDEX(Rubric!$C$15:$C$24,MATCH(LOWER($B41),Rubric!$A$15:$A$24,0)),INDEX(Rubric!$C$15:$C$24,MATCH("other",Rubric!$A$15:$A$24,0))))</f>
        <v>11</v>
      </c>
      <c r="N41" s="37" t="n">
        <f aca="false">IF(OR($A41="",$C41=""),"",$C41*Rubric!$B$5+$D41*Rubric!$B$6+$E41*Rubric!$B$7+$F41*Rubric!$B$8+$G41*Rubric!$B$9+$H41*Rubric!$B$10)</f>
        <v>4.15</v>
      </c>
      <c r="O41" s="38" t="str">
        <f aca="false">IF($A41="","",IF(OR(UPPER($I41)="Y",UPPER($J41)="Y"),"FAIL","PASS"))</f>
        <v>PASS</v>
      </c>
      <c r="P41" s="39" t="n">
        <f aca="false">IF(OR($A41="",$L41=""),"",MAX(0,$L41-MAX($L41*Assumptions!$B$4,Assumptions!$B$5)))</f>
        <v>9600</v>
      </c>
      <c r="Q41" s="40" t="n">
        <f aca="false">IF($A41="","",Assumptions!$B$13)</f>
        <v>0.0960792032000001</v>
      </c>
      <c r="R41" s="39" t="n">
        <f aca="false">IF(OR($A41="",$M41=""),"",$M41*Assumptions!$B$7)</f>
        <v>55</v>
      </c>
      <c r="S41" s="39" t="n">
        <f aca="false">IF(OR($A41="",$P41="",$R41=""),"",MAX(0,$P41*$Q41-$R41))</f>
        <v>867.360350720001</v>
      </c>
      <c r="T41" s="38" t="str">
        <f aca="false">IF($A41="","",IF($O41="FAIL","REJECT",IF($N41&gt;=4,IF(AND($K41&lt;&gt;"",$K41&gt;$S41),"BUY IF CHEAPER","BUY"),IF($N41&gt;=3.2,"WATCH","PASS"))))</f>
        <v>BUY</v>
      </c>
      <c r="U41" s="26" t="s">
        <v>170</v>
      </c>
      <c r="V41" s="33" t="s">
        <v>242</v>
      </c>
    </row>
    <row r="42" customFormat="false" ht="15" hidden="false" customHeight="true" outlineLevel="0" collapsed="false">
      <c r="A42" s="23" t="s">
        <v>243</v>
      </c>
      <c r="B42" s="34" t="str">
        <f aca="false">IF($A42="","",IF(ISERROR(FIND(".",$A42)),"",LOWER(MID($A42,FIND(CHAR(1),SUBSTITUTE($A42,".",CHAR(1),LEN($A42)-LEN(SUBSTITUTE($A42,".",""))))+1,LEN($A42)))))</f>
        <v>com</v>
      </c>
      <c r="C42" s="35" t="n">
        <f aca="false">IF($B42="","",IFERROR(INDEX(Rubric!$B$15:$B$24,MATCH(LOWER($B42),Rubric!$A$15:$A$24,0)),INDEX(Rubric!$B$15:$B$24,MATCH("other",Rubric!$A$15:$A$24,0))))</f>
        <v>5</v>
      </c>
      <c r="D42" s="26" t="n">
        <v>4</v>
      </c>
      <c r="E42" s="26" t="n">
        <v>3</v>
      </c>
      <c r="F42" s="26" t="n">
        <v>5</v>
      </c>
      <c r="G42" s="26" t="n">
        <v>5</v>
      </c>
      <c r="H42" s="26" t="n">
        <v>3</v>
      </c>
      <c r="I42" s="26" t="s">
        <v>169</v>
      </c>
      <c r="J42" s="26" t="s">
        <v>169</v>
      </c>
      <c r="K42" s="27"/>
      <c r="L42" s="27" t="n">
        <v>12000</v>
      </c>
      <c r="M42" s="36" t="n">
        <f aca="false">IF($B42="","",IFERROR(INDEX(Rubric!$C$15:$C$24,MATCH(LOWER($B42),Rubric!$A$15:$A$24,0)),INDEX(Rubric!$C$15:$C$24,MATCH("other",Rubric!$A$15:$A$24,0))))</f>
        <v>11</v>
      </c>
      <c r="N42" s="37" t="n">
        <f aca="false">IF(OR($A42="",$C42=""),"",$C42*Rubric!$B$5+$D42*Rubric!$B$6+$E42*Rubric!$B$7+$F42*Rubric!$B$8+$G42*Rubric!$B$9+$H42*Rubric!$B$10)</f>
        <v>4.15</v>
      </c>
      <c r="O42" s="38" t="str">
        <f aca="false">IF($A42="","",IF(OR(UPPER($I42)="Y",UPPER($J42)="Y"),"FAIL","PASS"))</f>
        <v>PASS</v>
      </c>
      <c r="P42" s="39" t="n">
        <f aca="false">IF(OR($A42="",$L42=""),"",MAX(0,$L42-MAX($L42*Assumptions!$B$4,Assumptions!$B$5)))</f>
        <v>9600</v>
      </c>
      <c r="Q42" s="40" t="n">
        <f aca="false">IF($A42="","",Assumptions!$B$13)</f>
        <v>0.0960792032000001</v>
      </c>
      <c r="R42" s="39" t="n">
        <f aca="false">IF(OR($A42="",$M42=""),"",$M42*Assumptions!$B$7)</f>
        <v>55</v>
      </c>
      <c r="S42" s="39" t="n">
        <f aca="false">IF(OR($A42="",$P42="",$R42=""),"",MAX(0,$P42*$Q42-$R42))</f>
        <v>867.360350720001</v>
      </c>
      <c r="T42" s="38" t="str">
        <f aca="false">IF($A42="","",IF($O42="FAIL","REJECT",IF($N42&gt;=4,IF(AND($K42&lt;&gt;"",$K42&gt;$S42),"BUY IF CHEAPER","BUY"),IF($N42&gt;=3.2,"WATCH","PASS"))))</f>
        <v>BUY</v>
      </c>
      <c r="U42" s="26" t="s">
        <v>170</v>
      </c>
      <c r="V42" s="33" t="s">
        <v>244</v>
      </c>
    </row>
    <row r="43" customFormat="false" ht="15" hidden="false" customHeight="true" outlineLevel="0" collapsed="false">
      <c r="A43" s="23" t="s">
        <v>245</v>
      </c>
      <c r="B43" s="34" t="str">
        <f aca="false">IF($A43="","",IF(ISERROR(FIND(".",$A43)),"",LOWER(MID($A43,FIND(CHAR(1),SUBSTITUTE($A43,".",CHAR(1),LEN($A43)-LEN(SUBSTITUTE($A43,".",""))))+1,LEN($A43)))))</f>
        <v>com</v>
      </c>
      <c r="C43" s="35" t="n">
        <f aca="false">IF($B43="","",IFERROR(INDEX(Rubric!$B$15:$B$24,MATCH(LOWER($B43),Rubric!$A$15:$A$24,0)),INDEX(Rubric!$B$15:$B$24,MATCH("other",Rubric!$A$15:$A$24,0))))</f>
        <v>5</v>
      </c>
      <c r="D43" s="26" t="n">
        <v>4</v>
      </c>
      <c r="E43" s="26" t="n">
        <v>2</v>
      </c>
      <c r="F43" s="26" t="n">
        <v>5</v>
      </c>
      <c r="G43" s="26" t="n">
        <v>3</v>
      </c>
      <c r="H43" s="26" t="n">
        <v>5</v>
      </c>
      <c r="I43" s="26" t="s">
        <v>169</v>
      </c>
      <c r="J43" s="26" t="s">
        <v>246</v>
      </c>
      <c r="K43" s="41" t="n">
        <v>2795</v>
      </c>
      <c r="L43" s="27" t="n">
        <v>3000</v>
      </c>
      <c r="M43" s="36" t="n">
        <f aca="false">IF($B43="","",IFERROR(INDEX(Rubric!$C$15:$C$24,MATCH(LOWER($B43),Rubric!$A$15:$A$24,0)),INDEX(Rubric!$C$15:$C$24,MATCH("other",Rubric!$A$15:$A$24,0))))</f>
        <v>11</v>
      </c>
      <c r="N43" s="37" t="n">
        <f aca="false">IF(OR($A43="",$C43=""),"",$C43*Rubric!$B$5+$D43*Rubric!$B$6+$E43*Rubric!$B$7+$F43*Rubric!$B$8+$G43*Rubric!$B$9+$H43*Rubric!$B$10)</f>
        <v>3.95</v>
      </c>
      <c r="O43" s="38" t="str">
        <f aca="false">IF($A43="","",IF(OR(UPPER($I43)="Y",UPPER($J43)="Y"),"FAIL","PASS"))</f>
        <v>FAIL</v>
      </c>
      <c r="P43" s="39" t="n">
        <f aca="false">IF(OR($A43="",$L43=""),"",MAX(0,$L43-MAX($L43*Assumptions!$B$4,Assumptions!$B$5)))</f>
        <v>2400</v>
      </c>
      <c r="Q43" s="40" t="n">
        <f aca="false">IF($A43="","",Assumptions!$B$13)</f>
        <v>0.0960792032000001</v>
      </c>
      <c r="R43" s="39" t="n">
        <f aca="false">IF(OR($A43="",$M43=""),"",$M43*Assumptions!$B$7)</f>
        <v>55</v>
      </c>
      <c r="S43" s="39" t="n">
        <f aca="false">IF(OR($A43="",$P43="",$R43=""),"",MAX(0,$P43*$Q43-$R43))</f>
        <v>175.59008768</v>
      </c>
      <c r="T43" s="38" t="str">
        <f aca="false">IF($A43="","",IF($O43="FAIL","REJECT",IF($N43&gt;=4,IF(AND($K43&lt;&gt;"",$K43&gt;$S43),"BUY IF CHEAPER","BUY"),IF($N43&gt;=3.2,"WATCH","PASS"))))</f>
        <v>REJECT</v>
      </c>
      <c r="U43" s="26" t="s">
        <v>197</v>
      </c>
      <c r="V43" s="33" t="s">
        <v>247</v>
      </c>
    </row>
    <row r="44" customFormat="false" ht="23.25" hidden="false" customHeight="true" outlineLevel="0" collapsed="false">
      <c r="A44" s="23" t="s">
        <v>248</v>
      </c>
      <c r="B44" s="34" t="str">
        <f aca="false">IF($A44="","",IF(ISERROR(FIND(".",$A44)),"",LOWER(MID($A44,FIND(CHAR(1),SUBSTITUTE($A44,".",CHAR(1),LEN($A44)-LEN(SUBSTITUTE($A44,".",""))))+1,LEN($A44)))))</f>
        <v>com</v>
      </c>
      <c r="C44" s="35" t="n">
        <f aca="false">IF($B44="","",IFERROR(INDEX(Rubric!$B$15:$B$24,MATCH(LOWER($B44),Rubric!$A$15:$A$24,0)),INDEX(Rubric!$B$15:$B$24,MATCH("other",Rubric!$A$15:$A$24,0))))</f>
        <v>5</v>
      </c>
      <c r="D44" s="26" t="n">
        <v>4</v>
      </c>
      <c r="E44" s="26" t="n">
        <v>2</v>
      </c>
      <c r="F44" s="26" t="n">
        <v>2</v>
      </c>
      <c r="G44" s="26" t="n">
        <v>4</v>
      </c>
      <c r="H44" s="26" t="n">
        <v>5</v>
      </c>
      <c r="I44" s="26" t="s">
        <v>169</v>
      </c>
      <c r="J44" s="26" t="s">
        <v>246</v>
      </c>
      <c r="K44" s="41" t="n">
        <v>22.99</v>
      </c>
      <c r="L44" s="27" t="n">
        <v>2500</v>
      </c>
      <c r="M44" s="36" t="n">
        <f aca="false">IF($B44="","",IFERROR(INDEX(Rubric!$C$15:$C$24,MATCH(LOWER($B44),Rubric!$A$15:$A$24,0)),INDEX(Rubric!$C$15:$C$24,MATCH("other",Rubric!$A$15:$A$24,0))))</f>
        <v>11</v>
      </c>
      <c r="N44" s="37" t="n">
        <f aca="false">IF(OR($A44="",$C44=""),"",$C44*Rubric!$B$5+$D44*Rubric!$B$6+$E44*Rubric!$B$7+$F44*Rubric!$B$8+$G44*Rubric!$B$9+$H44*Rubric!$B$10)</f>
        <v>3.6</v>
      </c>
      <c r="O44" s="38" t="str">
        <f aca="false">IF($A44="","",IF(OR(UPPER($I44)="Y",UPPER($J44)="Y"),"FAIL","PASS"))</f>
        <v>FAIL</v>
      </c>
      <c r="P44" s="39" t="n">
        <f aca="false">IF(OR($A44="",$L44=""),"",MAX(0,$L44-MAX($L44*Assumptions!$B$4,Assumptions!$B$5)))</f>
        <v>2000</v>
      </c>
      <c r="Q44" s="40" t="n">
        <f aca="false">IF($A44="","",Assumptions!$B$13)</f>
        <v>0.0960792032000001</v>
      </c>
      <c r="R44" s="39" t="n">
        <f aca="false">IF(OR($A44="",$M44=""),"",$M44*Assumptions!$B$7)</f>
        <v>55</v>
      </c>
      <c r="S44" s="39" t="n">
        <f aca="false">IF(OR($A44="",$P44="",$R44=""),"",MAX(0,$P44*$Q44-$R44))</f>
        <v>137.1584064</v>
      </c>
      <c r="T44" s="38" t="str">
        <f aca="false">IF($A44="","",IF($O44="FAIL","REJECT",IF($N44&gt;=4,IF(AND($K44&lt;&gt;"",$K44&gt;$S44),"BUY IF CHEAPER","BUY"),IF($N44&gt;=3.2,"WATCH","PASS"))))</f>
        <v>REJECT</v>
      </c>
      <c r="U44" s="26" t="s">
        <v>210</v>
      </c>
      <c r="V44" s="33" t="s">
        <v>249</v>
      </c>
    </row>
    <row r="45" customFormat="false" ht="15" hidden="false" customHeight="true" outlineLevel="0" collapsed="false">
      <c r="A45" s="23" t="s">
        <v>250</v>
      </c>
      <c r="B45" s="34" t="str">
        <f aca="false">IF($A45="","",IF(ISERROR(FIND(".",$A45)),"",LOWER(MID($A45,FIND(CHAR(1),SUBSTITUTE($A45,".",CHAR(1),LEN($A45)-LEN(SUBSTITUTE($A45,".",""))))+1,LEN($A45)))))</f>
        <v>com</v>
      </c>
      <c r="C45" s="35" t="n">
        <f aca="false">IF($B45="","",IFERROR(INDEX(Rubric!$B$15:$B$24,MATCH(LOWER($B45),Rubric!$A$15:$A$24,0)),INDEX(Rubric!$B$15:$B$24,MATCH("other",Rubric!$A$15:$A$24,0))))</f>
        <v>5</v>
      </c>
      <c r="D45" s="26" t="n">
        <v>4</v>
      </c>
      <c r="E45" s="26" t="n">
        <v>2</v>
      </c>
      <c r="F45" s="26" t="n">
        <v>3</v>
      </c>
      <c r="G45" s="26" t="n">
        <v>4</v>
      </c>
      <c r="H45" s="26" t="n">
        <v>5</v>
      </c>
      <c r="I45" s="26" t="s">
        <v>169</v>
      </c>
      <c r="J45" s="26" t="s">
        <v>246</v>
      </c>
      <c r="K45" s="41" t="n">
        <v>3595</v>
      </c>
      <c r="L45" s="27" t="n">
        <v>500</v>
      </c>
      <c r="M45" s="36" t="n">
        <f aca="false">IF($B45="","",IFERROR(INDEX(Rubric!$C$15:$C$24,MATCH(LOWER($B45),Rubric!$A$15:$A$24,0)),INDEX(Rubric!$C$15:$C$24,MATCH("other",Rubric!$A$15:$A$24,0))))</f>
        <v>11</v>
      </c>
      <c r="N45" s="37" t="n">
        <f aca="false">IF(OR($A45="",$C45=""),"",$C45*Rubric!$B$5+$D45*Rubric!$B$6+$E45*Rubric!$B$7+$F45*Rubric!$B$8+$G45*Rubric!$B$9+$H45*Rubric!$B$10)</f>
        <v>3.75</v>
      </c>
      <c r="O45" s="38" t="str">
        <f aca="false">IF($A45="","",IF(OR(UPPER($I45)="Y",UPPER($J45)="Y"),"FAIL","PASS"))</f>
        <v>FAIL</v>
      </c>
      <c r="P45" s="39" t="n">
        <f aca="false">IF(OR($A45="",$L45=""),"",MAX(0,$L45-MAX($L45*Assumptions!$B$4,Assumptions!$B$5)))</f>
        <v>400</v>
      </c>
      <c r="Q45" s="40" t="n">
        <f aca="false">IF($A45="","",Assumptions!$B$13)</f>
        <v>0.0960792032000001</v>
      </c>
      <c r="R45" s="39" t="n">
        <f aca="false">IF(OR($A45="",$M45=""),"",$M45*Assumptions!$B$7)</f>
        <v>55</v>
      </c>
      <c r="S45" s="39" t="n">
        <f aca="false">IF(OR($A45="",$P45="",$R45=""),"",MAX(0,$P45*$Q45-$R45))</f>
        <v>0</v>
      </c>
      <c r="T45" s="38" t="str">
        <f aca="false">IF($A45="","",IF($O45="FAIL","REJECT",IF($N45&gt;=4,IF(AND($K45&lt;&gt;"",$K45&gt;$S45),"BUY IF CHEAPER","BUY"),IF($N45&gt;=3.2,"WATCH","PASS"))))</f>
        <v>REJECT</v>
      </c>
      <c r="U45" s="26" t="s">
        <v>197</v>
      </c>
      <c r="V45" s="33" t="s">
        <v>251</v>
      </c>
    </row>
    <row r="46" customFormat="false" ht="15" hidden="false" customHeight="true" outlineLevel="0" collapsed="false">
      <c r="A46" s="23" t="s">
        <v>252</v>
      </c>
      <c r="B46" s="34" t="str">
        <f aca="false">IF($A46="","",IF(ISERROR(FIND(".",$A46)),"",LOWER(MID($A46,FIND(CHAR(1),SUBSTITUTE($A46,".",CHAR(1),LEN($A46)-LEN(SUBSTITUTE($A46,".",""))))+1,LEN($A46)))))</f>
        <v>com</v>
      </c>
      <c r="C46" s="35" t="n">
        <f aca="false">IF($B46="","",IFERROR(INDEX(Rubric!$B$15:$B$24,MATCH(LOWER($B46),Rubric!$A$15:$A$24,0)),INDEX(Rubric!$B$15:$B$24,MATCH("other",Rubric!$A$15:$A$24,0))))</f>
        <v>5</v>
      </c>
      <c r="D46" s="26" t="n">
        <v>4</v>
      </c>
      <c r="E46" s="26" t="n">
        <v>3</v>
      </c>
      <c r="F46" s="26" t="n">
        <v>4</v>
      </c>
      <c r="G46" s="26" t="n">
        <v>5</v>
      </c>
      <c r="H46" s="26" t="n">
        <v>5</v>
      </c>
      <c r="I46" s="26" t="s">
        <v>169</v>
      </c>
      <c r="J46" s="26" t="s">
        <v>169</v>
      </c>
      <c r="K46" s="41" t="n">
        <v>19000</v>
      </c>
      <c r="L46" s="27" t="n">
        <v>4000</v>
      </c>
      <c r="M46" s="36" t="n">
        <f aca="false">IF($B46="","",IFERROR(INDEX(Rubric!$C$15:$C$24,MATCH(LOWER($B46),Rubric!$A$15:$A$24,0)),INDEX(Rubric!$C$15:$C$24,MATCH("other",Rubric!$A$15:$A$24,0))))</f>
        <v>11</v>
      </c>
      <c r="N46" s="37" t="n">
        <f aca="false">IF(OR($A46="",$C46=""),"",$C46*Rubric!$B$5+$D46*Rubric!$B$6+$E46*Rubric!$B$7+$F46*Rubric!$B$8+$G46*Rubric!$B$9+$H46*Rubric!$B$10)</f>
        <v>4.2</v>
      </c>
      <c r="O46" s="38" t="str">
        <f aca="false">IF($A46="","",IF(OR(UPPER($I46)="Y",UPPER($J46)="Y"),"FAIL","PASS"))</f>
        <v>PASS</v>
      </c>
      <c r="P46" s="39" t="n">
        <f aca="false">IF(OR($A46="",$L46=""),"",MAX(0,$L46-MAX($L46*Assumptions!$B$4,Assumptions!$B$5)))</f>
        <v>3200</v>
      </c>
      <c r="Q46" s="40" t="n">
        <f aca="false">IF($A46="","",Assumptions!$B$13)</f>
        <v>0.0960792032000001</v>
      </c>
      <c r="R46" s="39" t="n">
        <f aca="false">IF(OR($A46="",$M46=""),"",$M46*Assumptions!$B$7)</f>
        <v>55</v>
      </c>
      <c r="S46" s="39" t="n">
        <f aca="false">IF(OR($A46="",$P46="",$R46=""),"",MAX(0,$P46*$Q46-$R46))</f>
        <v>252.45345024</v>
      </c>
      <c r="T46" s="38" t="str">
        <f aca="false">IF($A46="","",IF($O46="FAIL","REJECT",IF($N46&gt;=4,IF(AND($K46&lt;&gt;"",$K46&gt;$S46),"BUY IF CHEAPER","BUY"),IF($N46&gt;=3.2,"WATCH","PASS"))))</f>
        <v>BUY IF CHEAPER</v>
      </c>
      <c r="U46" s="26" t="s">
        <v>197</v>
      </c>
      <c r="V46" s="33" t="s">
        <v>253</v>
      </c>
    </row>
    <row r="47" customFormat="false" ht="15" hidden="false" customHeight="true" outlineLevel="0" collapsed="false">
      <c r="A47" s="23" t="s">
        <v>254</v>
      </c>
      <c r="B47" s="34" t="str">
        <f aca="false">IF($A47="","",IF(ISERROR(FIND(".",$A47)),"",LOWER(MID($A47,FIND(CHAR(1),SUBSTITUTE($A47,".",CHAR(1),LEN($A47)-LEN(SUBSTITUTE($A47,".",""))))+1,LEN($A47)))))</f>
        <v>com</v>
      </c>
      <c r="C47" s="35" t="n">
        <f aca="false">IF($B47="","",IFERROR(INDEX(Rubric!$B$15:$B$24,MATCH(LOWER($B47),Rubric!$A$15:$A$24,0)),INDEX(Rubric!$B$15:$B$24,MATCH("other",Rubric!$A$15:$A$24,0))))</f>
        <v>5</v>
      </c>
      <c r="D47" s="26" t="n">
        <v>4</v>
      </c>
      <c r="E47" s="26" t="n">
        <v>3</v>
      </c>
      <c r="F47" s="26" t="n">
        <v>4</v>
      </c>
      <c r="G47" s="26" t="n">
        <v>4</v>
      </c>
      <c r="H47" s="26" t="n">
        <v>5</v>
      </c>
      <c r="I47" s="26" t="s">
        <v>169</v>
      </c>
      <c r="J47" s="26" t="s">
        <v>169</v>
      </c>
      <c r="K47" s="27"/>
      <c r="L47" s="27" t="n">
        <v>3500</v>
      </c>
      <c r="M47" s="36" t="n">
        <f aca="false">IF($B47="","",IFERROR(INDEX(Rubric!$C$15:$C$24,MATCH(LOWER($B47),Rubric!$A$15:$A$24,0)),INDEX(Rubric!$C$15:$C$24,MATCH("other",Rubric!$A$15:$A$24,0))))</f>
        <v>11</v>
      </c>
      <c r="N47" s="37" t="n">
        <f aca="false">IF(OR($A47="",$C47=""),"",$C47*Rubric!$B$5+$D47*Rubric!$B$6+$E47*Rubric!$B$7+$F47*Rubric!$B$8+$G47*Rubric!$B$9+$H47*Rubric!$B$10)</f>
        <v>4.1</v>
      </c>
      <c r="O47" s="38" t="str">
        <f aca="false">IF($A47="","",IF(OR(UPPER($I47)="Y",UPPER($J47)="Y"),"FAIL","PASS"))</f>
        <v>PASS</v>
      </c>
      <c r="P47" s="39" t="n">
        <f aca="false">IF(OR($A47="",$L47=""),"",MAX(0,$L47-MAX($L47*Assumptions!$B$4,Assumptions!$B$5)))</f>
        <v>2800</v>
      </c>
      <c r="Q47" s="40" t="n">
        <f aca="false">IF($A47="","",Assumptions!$B$13)</f>
        <v>0.0960792032000001</v>
      </c>
      <c r="R47" s="39" t="n">
        <f aca="false">IF(OR($A47="",$M47=""),"",$M47*Assumptions!$B$7)</f>
        <v>55</v>
      </c>
      <c r="S47" s="39" t="n">
        <f aca="false">IF(OR($A47="",$P47="",$R47=""),"",MAX(0,$P47*$Q47-$R47))</f>
        <v>214.02176896</v>
      </c>
      <c r="T47" s="38" t="str">
        <f aca="false">IF($A47="","",IF($O47="FAIL","REJECT",IF($N47&gt;=4,IF(AND($K47&lt;&gt;"",$K47&gt;$S47),"BUY IF CHEAPER","BUY"),IF($N47&gt;=3.2,"WATCH","PASS"))))</f>
        <v>BUY</v>
      </c>
      <c r="U47" s="26" t="s">
        <v>170</v>
      </c>
      <c r="V47" s="33" t="s">
        <v>255</v>
      </c>
    </row>
    <row r="48" customFormat="false" ht="15" hidden="false" customHeight="true" outlineLevel="0" collapsed="false">
      <c r="A48" s="23" t="s">
        <v>256</v>
      </c>
      <c r="B48" s="34" t="str">
        <f aca="false">IF($A48="","",IF(ISERROR(FIND(".",$A48)),"",LOWER(MID($A48,FIND(CHAR(1),SUBSTITUTE($A48,".",CHAR(1),LEN($A48)-LEN(SUBSTITUTE($A48,".",""))))+1,LEN($A48)))))</f>
        <v>com</v>
      </c>
      <c r="C48" s="35" t="n">
        <f aca="false">IF($B48="","",IFERROR(INDEX(Rubric!$B$15:$B$24,MATCH(LOWER($B48),Rubric!$A$15:$A$24,0)),INDEX(Rubric!$B$15:$B$24,MATCH("other",Rubric!$A$15:$A$24,0))))</f>
        <v>5</v>
      </c>
      <c r="D48" s="26" t="n">
        <v>4</v>
      </c>
      <c r="E48" s="26" t="n">
        <v>3</v>
      </c>
      <c r="F48" s="26" t="n">
        <v>4</v>
      </c>
      <c r="G48" s="26" t="n">
        <v>5</v>
      </c>
      <c r="H48" s="26" t="n">
        <v>5</v>
      </c>
      <c r="I48" s="26" t="s">
        <v>169</v>
      </c>
      <c r="J48" s="26" t="s">
        <v>169</v>
      </c>
      <c r="K48" s="41" t="n">
        <v>8995</v>
      </c>
      <c r="L48" s="27" t="n">
        <v>3500</v>
      </c>
      <c r="M48" s="36" t="n">
        <f aca="false">IF($B48="","",IFERROR(INDEX(Rubric!$C$15:$C$24,MATCH(LOWER($B48),Rubric!$A$15:$A$24,0)),INDEX(Rubric!$C$15:$C$24,MATCH("other",Rubric!$A$15:$A$24,0))))</f>
        <v>11</v>
      </c>
      <c r="N48" s="37" t="n">
        <f aca="false">IF(OR($A48="",$C48=""),"",$C48*Rubric!$B$5+$D48*Rubric!$B$6+$E48*Rubric!$B$7+$F48*Rubric!$B$8+$G48*Rubric!$B$9+$H48*Rubric!$B$10)</f>
        <v>4.2</v>
      </c>
      <c r="O48" s="38" t="str">
        <f aca="false">IF($A48="","",IF(OR(UPPER($I48)="Y",UPPER($J48)="Y"),"FAIL","PASS"))</f>
        <v>PASS</v>
      </c>
      <c r="P48" s="39" t="n">
        <f aca="false">IF(OR($A48="",$L48=""),"",MAX(0,$L48-MAX($L48*Assumptions!$B$4,Assumptions!$B$5)))</f>
        <v>2800</v>
      </c>
      <c r="Q48" s="40" t="n">
        <f aca="false">IF($A48="","",Assumptions!$B$13)</f>
        <v>0.0960792032000001</v>
      </c>
      <c r="R48" s="39" t="n">
        <f aca="false">IF(OR($A48="",$M48=""),"",$M48*Assumptions!$B$7)</f>
        <v>55</v>
      </c>
      <c r="S48" s="39" t="n">
        <f aca="false">IF(OR($A48="",$P48="",$R48=""),"",MAX(0,$P48*$Q48-$R48))</f>
        <v>214.02176896</v>
      </c>
      <c r="T48" s="38" t="str">
        <f aca="false">IF($A48="","",IF($O48="FAIL","REJECT",IF($N48&gt;=4,IF(AND($K48&lt;&gt;"",$K48&gt;$S48),"BUY IF CHEAPER","BUY"),IF($N48&gt;=3.2,"WATCH","PASS"))))</f>
        <v>BUY IF CHEAPER</v>
      </c>
      <c r="U48" s="26" t="s">
        <v>197</v>
      </c>
      <c r="V48" s="33" t="s">
        <v>257</v>
      </c>
    </row>
    <row r="49" customFormat="false" ht="15" hidden="false" customHeight="true" outlineLevel="0" collapsed="false">
      <c r="A49" s="23" t="s">
        <v>258</v>
      </c>
      <c r="B49" s="34" t="str">
        <f aca="false">IF($A49="","",IF(ISERROR(FIND(".",$A49)),"",LOWER(MID($A49,FIND(CHAR(1),SUBSTITUTE($A49,".",CHAR(1),LEN($A49)-LEN(SUBSTITUTE($A49,".",""))))+1,LEN($A49)))))</f>
        <v>com</v>
      </c>
      <c r="C49" s="35" t="n">
        <f aca="false">IF($B49="","",IFERROR(INDEX(Rubric!$B$15:$B$24,MATCH(LOWER($B49),Rubric!$A$15:$A$24,0)),INDEX(Rubric!$B$15:$B$24,MATCH("other",Rubric!$A$15:$A$24,0))))</f>
        <v>5</v>
      </c>
      <c r="D49" s="26" t="n">
        <v>3</v>
      </c>
      <c r="E49" s="26" t="n">
        <v>2</v>
      </c>
      <c r="F49" s="26" t="n">
        <v>4</v>
      </c>
      <c r="G49" s="26" t="n">
        <v>4</v>
      </c>
      <c r="H49" s="26" t="n">
        <v>5</v>
      </c>
      <c r="I49" s="26" t="s">
        <v>169</v>
      </c>
      <c r="J49" s="26" t="s">
        <v>169</v>
      </c>
      <c r="K49" s="27"/>
      <c r="L49" s="27" t="n">
        <v>3000</v>
      </c>
      <c r="M49" s="36" t="n">
        <f aca="false">IF($B49="","",IFERROR(INDEX(Rubric!$C$15:$C$24,MATCH(LOWER($B49),Rubric!$A$15:$A$24,0)),INDEX(Rubric!$C$15:$C$24,MATCH("other",Rubric!$A$15:$A$24,0))))</f>
        <v>11</v>
      </c>
      <c r="N49" s="37" t="n">
        <f aca="false">IF(OR($A49="",$C49=""),"",$C49*Rubric!$B$5+$D49*Rubric!$B$6+$E49*Rubric!$B$7+$F49*Rubric!$B$8+$G49*Rubric!$B$9+$H49*Rubric!$B$10)</f>
        <v>3.65</v>
      </c>
      <c r="O49" s="38" t="str">
        <f aca="false">IF($A49="","",IF(OR(UPPER($I49)="Y",UPPER($J49)="Y"),"FAIL","PASS"))</f>
        <v>PASS</v>
      </c>
      <c r="P49" s="39" t="n">
        <f aca="false">IF(OR($A49="",$L49=""),"",MAX(0,$L49-MAX($L49*Assumptions!$B$4,Assumptions!$B$5)))</f>
        <v>2400</v>
      </c>
      <c r="Q49" s="40" t="n">
        <f aca="false">IF($A49="","",Assumptions!$B$13)</f>
        <v>0.0960792032000001</v>
      </c>
      <c r="R49" s="39" t="n">
        <f aca="false">IF(OR($A49="",$M49=""),"",$M49*Assumptions!$B$7)</f>
        <v>55</v>
      </c>
      <c r="S49" s="39" t="n">
        <f aca="false">IF(OR($A49="",$P49="",$R49=""),"",MAX(0,$P49*$Q49-$R49))</f>
        <v>175.59008768</v>
      </c>
      <c r="T49" s="38" t="str">
        <f aca="false">IF($A49="","",IF($O49="FAIL","REJECT",IF($N49&gt;=4,IF(AND($K49&lt;&gt;"",$K49&gt;$S49),"BUY IF CHEAPER","BUY"),IF($N49&gt;=3.2,"WATCH","PASS"))))</f>
        <v>WATCH</v>
      </c>
      <c r="U49" s="26" t="s">
        <v>170</v>
      </c>
      <c r="V49" s="33" t="s">
        <v>259</v>
      </c>
    </row>
    <row r="50" customFormat="false" ht="15" hidden="false" customHeight="true" outlineLevel="0" collapsed="false">
      <c r="A50" s="23" t="s">
        <v>260</v>
      </c>
      <c r="B50" s="34" t="str">
        <f aca="false">IF($A50="","",IF(ISERROR(FIND(".",$A50)),"",LOWER(MID($A50,FIND(CHAR(1),SUBSTITUTE($A50,".",CHAR(1),LEN($A50)-LEN(SUBSTITUTE($A50,".",""))))+1,LEN($A50)))))</f>
        <v>com</v>
      </c>
      <c r="C50" s="35" t="n">
        <f aca="false">IF($B50="","",IFERROR(INDEX(Rubric!$B$15:$B$24,MATCH(LOWER($B50),Rubric!$A$15:$A$24,0)),INDEX(Rubric!$B$15:$B$24,MATCH("other",Rubric!$A$15:$A$24,0))))</f>
        <v>5</v>
      </c>
      <c r="D50" s="26" t="n">
        <v>3</v>
      </c>
      <c r="E50" s="26" t="n">
        <v>2</v>
      </c>
      <c r="F50" s="26" t="n">
        <v>5</v>
      </c>
      <c r="G50" s="26" t="n">
        <v>4</v>
      </c>
      <c r="H50" s="26" t="n">
        <v>5</v>
      </c>
      <c r="I50" s="26" t="s">
        <v>169</v>
      </c>
      <c r="J50" s="26" t="s">
        <v>169</v>
      </c>
      <c r="K50" s="27"/>
      <c r="L50" s="27" t="n">
        <v>3000</v>
      </c>
      <c r="M50" s="36" t="n">
        <f aca="false">IF($B50="","",IFERROR(INDEX(Rubric!$C$15:$C$24,MATCH(LOWER($B50),Rubric!$A$15:$A$24,0)),INDEX(Rubric!$C$15:$C$24,MATCH("other",Rubric!$A$15:$A$24,0))))</f>
        <v>11</v>
      </c>
      <c r="N50" s="37" t="n">
        <f aca="false">IF(OR($A50="",$C50=""),"",$C50*Rubric!$B$5+$D50*Rubric!$B$6+$E50*Rubric!$B$7+$F50*Rubric!$B$8+$G50*Rubric!$B$9+$H50*Rubric!$B$10)</f>
        <v>3.8</v>
      </c>
      <c r="O50" s="38" t="str">
        <f aca="false">IF($A50="","",IF(OR(UPPER($I50)="Y",UPPER($J50)="Y"),"FAIL","PASS"))</f>
        <v>PASS</v>
      </c>
      <c r="P50" s="39" t="n">
        <f aca="false">IF(OR($A50="",$L50=""),"",MAX(0,$L50-MAX($L50*Assumptions!$B$4,Assumptions!$B$5)))</f>
        <v>2400</v>
      </c>
      <c r="Q50" s="40" t="n">
        <f aca="false">IF($A50="","",Assumptions!$B$13)</f>
        <v>0.0960792032000001</v>
      </c>
      <c r="R50" s="39" t="n">
        <f aca="false">IF(OR($A50="",$M50=""),"",$M50*Assumptions!$B$7)</f>
        <v>55</v>
      </c>
      <c r="S50" s="39" t="n">
        <f aca="false">IF(OR($A50="",$P50="",$R50=""),"",MAX(0,$P50*$Q50-$R50))</f>
        <v>175.59008768</v>
      </c>
      <c r="T50" s="38" t="str">
        <f aca="false">IF($A50="","",IF($O50="FAIL","REJECT",IF($N50&gt;=4,IF(AND($K50&lt;&gt;"",$K50&gt;$S50),"BUY IF CHEAPER","BUY"),IF($N50&gt;=3.2,"WATCH","PASS"))))</f>
        <v>WATCH</v>
      </c>
      <c r="U50" s="26" t="s">
        <v>170</v>
      </c>
      <c r="V50" s="33" t="s">
        <v>261</v>
      </c>
    </row>
    <row r="51" customFormat="false" ht="15" hidden="false" customHeight="true" outlineLevel="0" collapsed="false">
      <c r="A51" s="23" t="s">
        <v>262</v>
      </c>
      <c r="B51" s="34" t="str">
        <f aca="false">IF($A51="","",IF(ISERROR(FIND(".",$A51)),"",LOWER(MID($A51,FIND(CHAR(1),SUBSTITUTE($A51,".",CHAR(1),LEN($A51)-LEN(SUBSTITUTE($A51,".",""))))+1,LEN($A51)))))</f>
        <v>com</v>
      </c>
      <c r="C51" s="35" t="n">
        <f aca="false">IF($B51="","",IFERROR(INDEX(Rubric!$B$15:$B$24,MATCH(LOWER($B51),Rubric!$A$15:$A$24,0)),INDEX(Rubric!$B$15:$B$24,MATCH("other",Rubric!$A$15:$A$24,0))))</f>
        <v>5</v>
      </c>
      <c r="D51" s="26" t="n">
        <v>3</v>
      </c>
      <c r="E51" s="26" t="n">
        <v>2</v>
      </c>
      <c r="F51" s="26" t="n">
        <v>4</v>
      </c>
      <c r="G51" s="26" t="n">
        <v>4</v>
      </c>
      <c r="H51" s="26" t="n">
        <v>5</v>
      </c>
      <c r="I51" s="26" t="s">
        <v>169</v>
      </c>
      <c r="J51" s="26" t="s">
        <v>169</v>
      </c>
      <c r="K51" s="27"/>
      <c r="L51" s="27" t="n">
        <v>2500</v>
      </c>
      <c r="M51" s="36" t="n">
        <f aca="false">IF($B51="","",IFERROR(INDEX(Rubric!$C$15:$C$24,MATCH(LOWER($B51),Rubric!$A$15:$A$24,0)),INDEX(Rubric!$C$15:$C$24,MATCH("other",Rubric!$A$15:$A$24,0))))</f>
        <v>11</v>
      </c>
      <c r="N51" s="37" t="n">
        <f aca="false">IF(OR($A51="",$C51=""),"",$C51*Rubric!$B$5+$D51*Rubric!$B$6+$E51*Rubric!$B$7+$F51*Rubric!$B$8+$G51*Rubric!$B$9+$H51*Rubric!$B$10)</f>
        <v>3.65</v>
      </c>
      <c r="O51" s="38" t="str">
        <f aca="false">IF($A51="","",IF(OR(UPPER($I51)="Y",UPPER($J51)="Y"),"FAIL","PASS"))</f>
        <v>PASS</v>
      </c>
      <c r="P51" s="39" t="n">
        <f aca="false">IF(OR($A51="",$L51=""),"",MAX(0,$L51-MAX($L51*Assumptions!$B$4,Assumptions!$B$5)))</f>
        <v>2000</v>
      </c>
      <c r="Q51" s="40" t="n">
        <f aca="false">IF($A51="","",Assumptions!$B$13)</f>
        <v>0.0960792032000001</v>
      </c>
      <c r="R51" s="39" t="n">
        <f aca="false">IF(OR($A51="",$M51=""),"",$M51*Assumptions!$B$7)</f>
        <v>55</v>
      </c>
      <c r="S51" s="39" t="n">
        <f aca="false">IF(OR($A51="",$P51="",$R51=""),"",MAX(0,$P51*$Q51-$R51))</f>
        <v>137.1584064</v>
      </c>
      <c r="T51" s="38" t="str">
        <f aca="false">IF($A51="","",IF($O51="FAIL","REJECT",IF($N51&gt;=4,IF(AND($K51&lt;&gt;"",$K51&gt;$S51),"BUY IF CHEAPER","BUY"),IF($N51&gt;=3.2,"WATCH","PASS"))))</f>
        <v>WATCH</v>
      </c>
      <c r="U51" s="26" t="s">
        <v>170</v>
      </c>
      <c r="V51" s="33" t="s">
        <v>263</v>
      </c>
    </row>
    <row r="52" customFormat="false" ht="15" hidden="false" customHeight="true" outlineLevel="0" collapsed="false">
      <c r="A52" s="23" t="s">
        <v>264</v>
      </c>
      <c r="B52" s="34" t="str">
        <f aca="false">IF($A52="","",IF(ISERROR(FIND(".",$A52)),"",LOWER(MID($A52,FIND(CHAR(1),SUBSTITUTE($A52,".",CHAR(1),LEN($A52)-LEN(SUBSTITUTE($A52,".",""))))+1,LEN($A52)))))</f>
        <v>com</v>
      </c>
      <c r="C52" s="35" t="n">
        <f aca="false">IF($B52="","",IFERROR(INDEX(Rubric!$B$15:$B$24,MATCH(LOWER($B52),Rubric!$A$15:$A$24,0)),INDEX(Rubric!$B$15:$B$24,MATCH("other",Rubric!$A$15:$A$24,0))))</f>
        <v>5</v>
      </c>
      <c r="D52" s="26" t="n">
        <v>3</v>
      </c>
      <c r="E52" s="26" t="n">
        <v>2</v>
      </c>
      <c r="F52" s="26" t="n">
        <v>4</v>
      </c>
      <c r="G52" s="26" t="n">
        <v>4</v>
      </c>
      <c r="H52" s="26" t="n">
        <v>5</v>
      </c>
      <c r="I52" s="26" t="s">
        <v>169</v>
      </c>
      <c r="J52" s="26" t="s">
        <v>169</v>
      </c>
      <c r="K52" s="27"/>
      <c r="L52" s="27" t="n">
        <v>2800</v>
      </c>
      <c r="M52" s="36" t="n">
        <f aca="false">IF($B52="","",IFERROR(INDEX(Rubric!$C$15:$C$24,MATCH(LOWER($B52),Rubric!$A$15:$A$24,0)),INDEX(Rubric!$C$15:$C$24,MATCH("other",Rubric!$A$15:$A$24,0))))</f>
        <v>11</v>
      </c>
      <c r="N52" s="37" t="n">
        <f aca="false">IF(OR($A52="",$C52=""),"",$C52*Rubric!$B$5+$D52*Rubric!$B$6+$E52*Rubric!$B$7+$F52*Rubric!$B$8+$G52*Rubric!$B$9+$H52*Rubric!$B$10)</f>
        <v>3.65</v>
      </c>
      <c r="O52" s="38" t="str">
        <f aca="false">IF($A52="","",IF(OR(UPPER($I52)="Y",UPPER($J52)="Y"),"FAIL","PASS"))</f>
        <v>PASS</v>
      </c>
      <c r="P52" s="39" t="n">
        <f aca="false">IF(OR($A52="",$L52=""),"",MAX(0,$L52-MAX($L52*Assumptions!$B$4,Assumptions!$B$5)))</f>
        <v>2240</v>
      </c>
      <c r="Q52" s="40" t="n">
        <f aca="false">IF($A52="","",Assumptions!$B$13)</f>
        <v>0.0960792032000001</v>
      </c>
      <c r="R52" s="39" t="n">
        <f aca="false">IF(OR($A52="",$M52=""),"",$M52*Assumptions!$B$7)</f>
        <v>55</v>
      </c>
      <c r="S52" s="39" t="n">
        <f aca="false">IF(OR($A52="",$P52="",$R52=""),"",MAX(0,$P52*$Q52-$R52))</f>
        <v>160.217415168</v>
      </c>
      <c r="T52" s="38" t="str">
        <f aca="false">IF($A52="","",IF($O52="FAIL","REJECT",IF($N52&gt;=4,IF(AND($K52&lt;&gt;"",$K52&gt;$S52),"BUY IF CHEAPER","BUY"),IF($N52&gt;=3.2,"WATCH","PASS"))))</f>
        <v>WATCH</v>
      </c>
      <c r="U52" s="26" t="s">
        <v>170</v>
      </c>
      <c r="V52" s="33" t="s">
        <v>265</v>
      </c>
    </row>
    <row r="53" customFormat="false" ht="23.25" hidden="false" customHeight="true" outlineLevel="0" collapsed="false">
      <c r="A53" s="23" t="s">
        <v>266</v>
      </c>
      <c r="B53" s="34" t="str">
        <f aca="false">IF($A53="","",IF(ISERROR(FIND(".",$A53)),"",LOWER(MID($A53,FIND(CHAR(1),SUBSTITUTE($A53,".",CHAR(1),LEN($A53)-LEN(SUBSTITUTE($A53,".",""))))+1,LEN($A53)))))</f>
        <v>com</v>
      </c>
      <c r="C53" s="35" t="n">
        <f aca="false">IF($B53="","",IFERROR(INDEX(Rubric!$B$15:$B$24,MATCH(LOWER($B53),Rubric!$A$15:$A$24,0)),INDEX(Rubric!$B$15:$B$24,MATCH("other",Rubric!$A$15:$A$24,0))))</f>
        <v>5</v>
      </c>
      <c r="D53" s="26" t="n">
        <v>3</v>
      </c>
      <c r="E53" s="26" t="n">
        <v>2</v>
      </c>
      <c r="F53" s="26" t="n">
        <v>4</v>
      </c>
      <c r="G53" s="26" t="n">
        <v>4</v>
      </c>
      <c r="H53" s="26" t="n">
        <v>5</v>
      </c>
      <c r="I53" s="26" t="s">
        <v>169</v>
      </c>
      <c r="J53" s="26" t="s">
        <v>169</v>
      </c>
      <c r="K53" s="41" t="n">
        <v>22.99</v>
      </c>
      <c r="L53" s="27" t="n">
        <v>2500</v>
      </c>
      <c r="M53" s="36" t="n">
        <f aca="false">IF($B53="","",IFERROR(INDEX(Rubric!$C$15:$C$24,MATCH(LOWER($B53),Rubric!$A$15:$A$24,0)),INDEX(Rubric!$C$15:$C$24,MATCH("other",Rubric!$A$15:$A$24,0))))</f>
        <v>11</v>
      </c>
      <c r="N53" s="37" t="n">
        <f aca="false">IF(OR($A53="",$C53=""),"",$C53*Rubric!$B$5+$D53*Rubric!$B$6+$E53*Rubric!$B$7+$F53*Rubric!$B$8+$G53*Rubric!$B$9+$H53*Rubric!$B$10)</f>
        <v>3.65</v>
      </c>
      <c r="O53" s="38" t="str">
        <f aca="false">IF($A53="","",IF(OR(UPPER($I53)="Y",UPPER($J53)="Y"),"FAIL","PASS"))</f>
        <v>PASS</v>
      </c>
      <c r="P53" s="39" t="n">
        <f aca="false">IF(OR($A53="",$L53=""),"",MAX(0,$L53-MAX($L53*Assumptions!$B$4,Assumptions!$B$5)))</f>
        <v>2000</v>
      </c>
      <c r="Q53" s="40" t="n">
        <f aca="false">IF($A53="","",Assumptions!$B$13)</f>
        <v>0.0960792032000001</v>
      </c>
      <c r="R53" s="39" t="n">
        <f aca="false">IF(OR($A53="",$M53=""),"",$M53*Assumptions!$B$7)</f>
        <v>55</v>
      </c>
      <c r="S53" s="39" t="n">
        <f aca="false">IF(OR($A53="",$P53="",$R53=""),"",MAX(0,$P53*$Q53-$R53))</f>
        <v>137.1584064</v>
      </c>
      <c r="T53" s="38" t="str">
        <f aca="false">IF($A53="","",IF($O53="FAIL","REJECT",IF($N53&gt;=4,IF(AND($K53&lt;&gt;"",$K53&gt;$S53),"BUY IF CHEAPER","BUY"),IF($N53&gt;=3.2,"WATCH","PASS"))))</f>
        <v>WATCH</v>
      </c>
      <c r="U53" s="26" t="s">
        <v>210</v>
      </c>
      <c r="V53" s="33" t="s">
        <v>267</v>
      </c>
    </row>
    <row r="54" customFormat="false" ht="23.25" hidden="false" customHeight="true" outlineLevel="0" collapsed="false">
      <c r="A54" s="23" t="s">
        <v>268</v>
      </c>
      <c r="B54" s="34" t="str">
        <f aca="false">IF($A54="","",IF(ISERROR(FIND(".",$A54)),"",LOWER(MID($A54,FIND(CHAR(1),SUBSTITUTE($A54,".",CHAR(1),LEN($A54)-LEN(SUBSTITUTE($A54,".",""))))+1,LEN($A54)))))</f>
        <v>com</v>
      </c>
      <c r="C54" s="35" t="n">
        <f aca="false">IF($B54="","",IFERROR(INDEX(Rubric!$B$15:$B$24,MATCH(LOWER($B54),Rubric!$A$15:$A$24,0)),INDEX(Rubric!$B$15:$B$24,MATCH("other",Rubric!$A$15:$A$24,0))))</f>
        <v>5</v>
      </c>
      <c r="D54" s="26" t="n">
        <v>3</v>
      </c>
      <c r="E54" s="26" t="n">
        <v>2</v>
      </c>
      <c r="F54" s="26" t="n">
        <v>4</v>
      </c>
      <c r="G54" s="26" t="n">
        <v>5</v>
      </c>
      <c r="H54" s="26" t="n">
        <v>5</v>
      </c>
      <c r="I54" s="26" t="s">
        <v>246</v>
      </c>
      <c r="J54" s="26" t="s">
        <v>169</v>
      </c>
      <c r="K54" s="27"/>
      <c r="L54" s="27" t="n">
        <v>2500</v>
      </c>
      <c r="M54" s="36" t="n">
        <f aca="false">IF($B54="","",IFERROR(INDEX(Rubric!$C$15:$C$24,MATCH(LOWER($B54),Rubric!$A$15:$A$24,0)),INDEX(Rubric!$C$15:$C$24,MATCH("other",Rubric!$A$15:$A$24,0))))</f>
        <v>11</v>
      </c>
      <c r="N54" s="37" t="n">
        <f aca="false">IF(OR($A54="",$C54=""),"",$C54*Rubric!$B$5+$D54*Rubric!$B$6+$E54*Rubric!$B$7+$F54*Rubric!$B$8+$G54*Rubric!$B$9+$H54*Rubric!$B$10)</f>
        <v>3.75</v>
      </c>
      <c r="O54" s="38" t="str">
        <f aca="false">IF($A54="","",IF(OR(UPPER($I54)="Y",UPPER($J54)="Y"),"FAIL","PASS"))</f>
        <v>FAIL</v>
      </c>
      <c r="P54" s="39" t="n">
        <f aca="false">IF(OR($A54="",$L54=""),"",MAX(0,$L54-MAX($L54*Assumptions!$B$4,Assumptions!$B$5)))</f>
        <v>2000</v>
      </c>
      <c r="Q54" s="40" t="n">
        <f aca="false">IF($A54="","",Assumptions!$B$13)</f>
        <v>0.0960792032000001</v>
      </c>
      <c r="R54" s="39" t="n">
        <f aca="false">IF(OR($A54="",$M54=""),"",$M54*Assumptions!$B$7)</f>
        <v>55</v>
      </c>
      <c r="S54" s="39" t="n">
        <f aca="false">IF(OR($A54="",$P54="",$R54=""),"",MAX(0,$P54*$Q54-$R54))</f>
        <v>137.1584064</v>
      </c>
      <c r="T54" s="38" t="str">
        <f aca="false">IF($A54="","",IF($O54="FAIL","REJECT",IF($N54&gt;=4,IF(AND($K54&lt;&gt;"",$K54&gt;$S54),"BUY IF CHEAPER","BUY"),IF($N54&gt;=3.2,"WATCH","PASS"))))</f>
        <v>REJECT</v>
      </c>
      <c r="U54" s="26" t="s">
        <v>170</v>
      </c>
      <c r="V54" s="33" t="s">
        <v>269</v>
      </c>
    </row>
    <row r="55" customFormat="false" ht="15" hidden="false" customHeight="true" outlineLevel="0" collapsed="false">
      <c r="A55" s="23" t="s">
        <v>270</v>
      </c>
      <c r="B55" s="34" t="str">
        <f aca="false">IF($A55="","",IF(ISERROR(FIND(".",$A55)),"",LOWER(MID($A55,FIND(CHAR(1),SUBSTITUTE($A55,".",CHAR(1),LEN($A55)-LEN(SUBSTITUTE($A55,".",""))))+1,LEN($A55)))))</f>
        <v>com</v>
      </c>
      <c r="C55" s="35" t="n">
        <f aca="false">IF($B55="","",IFERROR(INDEX(Rubric!$B$15:$B$24,MATCH(LOWER($B55),Rubric!$A$15:$A$24,0)),INDEX(Rubric!$B$15:$B$24,MATCH("other",Rubric!$A$15:$A$24,0))))</f>
        <v>5</v>
      </c>
      <c r="D55" s="26" t="n">
        <v>4</v>
      </c>
      <c r="E55" s="26" t="n">
        <v>3</v>
      </c>
      <c r="F55" s="26" t="n">
        <v>5</v>
      </c>
      <c r="G55" s="26" t="n">
        <v>5</v>
      </c>
      <c r="H55" s="26" t="n">
        <v>5</v>
      </c>
      <c r="I55" s="26" t="s">
        <v>169</v>
      </c>
      <c r="J55" s="26" t="s">
        <v>169</v>
      </c>
      <c r="K55" s="27"/>
      <c r="L55" s="27" t="n">
        <v>3500</v>
      </c>
      <c r="M55" s="36" t="n">
        <f aca="false">IF($B55="","",IFERROR(INDEX(Rubric!$C$15:$C$24,MATCH(LOWER($B55),Rubric!$A$15:$A$24,0)),INDEX(Rubric!$C$15:$C$24,MATCH("other",Rubric!$A$15:$A$24,0))))</f>
        <v>11</v>
      </c>
      <c r="N55" s="37" t="n">
        <f aca="false">IF(OR($A55="",$C55=""),"",$C55*Rubric!$B$5+$D55*Rubric!$B$6+$E55*Rubric!$B$7+$F55*Rubric!$B$8+$G55*Rubric!$B$9+$H55*Rubric!$B$10)</f>
        <v>4.35</v>
      </c>
      <c r="O55" s="38" t="str">
        <f aca="false">IF($A55="","",IF(OR(UPPER($I55)="Y",UPPER($J55)="Y"),"FAIL","PASS"))</f>
        <v>PASS</v>
      </c>
      <c r="P55" s="39" t="n">
        <f aca="false">IF(OR($A55="",$L55=""),"",MAX(0,$L55-MAX($L55*Assumptions!$B$4,Assumptions!$B$5)))</f>
        <v>2800</v>
      </c>
      <c r="Q55" s="40" t="n">
        <f aca="false">IF($A55="","",Assumptions!$B$13)</f>
        <v>0.0960792032000001</v>
      </c>
      <c r="R55" s="39" t="n">
        <f aca="false">IF(OR($A55="",$M55=""),"",$M55*Assumptions!$B$7)</f>
        <v>55</v>
      </c>
      <c r="S55" s="39" t="n">
        <f aca="false">IF(OR($A55="",$P55="",$R55=""),"",MAX(0,$P55*$Q55-$R55))</f>
        <v>214.02176896</v>
      </c>
      <c r="T55" s="38" t="str">
        <f aca="false">IF($A55="","",IF($O55="FAIL","REJECT",IF($N55&gt;=4,IF(AND($K55&lt;&gt;"",$K55&gt;$S55),"BUY IF CHEAPER","BUY"),IF($N55&gt;=3.2,"WATCH","PASS"))))</f>
        <v>BUY</v>
      </c>
      <c r="U55" s="26" t="s">
        <v>170</v>
      </c>
      <c r="V55" s="33" t="s">
        <v>271</v>
      </c>
    </row>
    <row r="56" customFormat="false" ht="23.25" hidden="false" customHeight="true" outlineLevel="0" collapsed="false">
      <c r="A56" s="23" t="s">
        <v>272</v>
      </c>
      <c r="B56" s="34" t="str">
        <f aca="false">IF($A56="","",IF(ISERROR(FIND(".",$A56)),"",LOWER(MID($A56,FIND(CHAR(1),SUBSTITUTE($A56,".",CHAR(1),LEN($A56)-LEN(SUBSTITUTE($A56,".",""))))+1,LEN($A56)))))</f>
        <v>com</v>
      </c>
      <c r="C56" s="35" t="n">
        <f aca="false">IF($B56="","",IFERROR(INDEX(Rubric!$B$15:$B$24,MATCH(LOWER($B56),Rubric!$A$15:$A$24,0)),INDEX(Rubric!$B$15:$B$24,MATCH("other",Rubric!$A$15:$A$24,0))))</f>
        <v>5</v>
      </c>
      <c r="D56" s="26" t="n">
        <v>4</v>
      </c>
      <c r="E56" s="26" t="n">
        <v>3</v>
      </c>
      <c r="F56" s="26" t="n">
        <v>5</v>
      </c>
      <c r="G56" s="26" t="n">
        <v>5</v>
      </c>
      <c r="H56" s="26" t="n">
        <v>5</v>
      </c>
      <c r="I56" s="26" t="s">
        <v>169</v>
      </c>
      <c r="J56" s="26" t="s">
        <v>169</v>
      </c>
      <c r="K56" s="27"/>
      <c r="L56" s="27" t="n">
        <v>5000</v>
      </c>
      <c r="M56" s="36" t="n">
        <f aca="false">IF($B56="","",IFERROR(INDEX(Rubric!$C$15:$C$24,MATCH(LOWER($B56),Rubric!$A$15:$A$24,0)),INDEX(Rubric!$C$15:$C$24,MATCH("other",Rubric!$A$15:$A$24,0))))</f>
        <v>11</v>
      </c>
      <c r="N56" s="37" t="n">
        <f aca="false">IF(OR($A56="",$C56=""),"",$C56*Rubric!$B$5+$D56*Rubric!$B$6+$E56*Rubric!$B$7+$F56*Rubric!$B$8+$G56*Rubric!$B$9+$H56*Rubric!$B$10)</f>
        <v>4.35</v>
      </c>
      <c r="O56" s="38" t="str">
        <f aca="false">IF($A56="","",IF(OR(UPPER($I56)="Y",UPPER($J56)="Y"),"FAIL","PASS"))</f>
        <v>PASS</v>
      </c>
      <c r="P56" s="39" t="n">
        <f aca="false">IF(OR($A56="",$L56=""),"",MAX(0,$L56-MAX($L56*Assumptions!$B$4,Assumptions!$B$5)))</f>
        <v>4000</v>
      </c>
      <c r="Q56" s="40" t="n">
        <f aca="false">IF($A56="","",Assumptions!$B$13)</f>
        <v>0.0960792032000001</v>
      </c>
      <c r="R56" s="39" t="n">
        <f aca="false">IF(OR($A56="",$M56=""),"",$M56*Assumptions!$B$7)</f>
        <v>55</v>
      </c>
      <c r="S56" s="39" t="n">
        <f aca="false">IF(OR($A56="",$P56="",$R56=""),"",MAX(0,$P56*$Q56-$R56))</f>
        <v>329.3168128</v>
      </c>
      <c r="T56" s="38" t="str">
        <f aca="false">IF($A56="","",IF($O56="FAIL","REJECT",IF($N56&gt;=4,IF(AND($K56&lt;&gt;"",$K56&gt;$S56),"BUY IF CHEAPER","BUY"),IF($N56&gt;=3.2,"WATCH","PASS"))))</f>
        <v>BUY</v>
      </c>
      <c r="U56" s="26" t="s">
        <v>170</v>
      </c>
      <c r="V56" s="33" t="s">
        <v>273</v>
      </c>
    </row>
    <row r="57" customFormat="false" ht="15" hidden="false" customHeight="true" outlineLevel="0" collapsed="false">
      <c r="A57" s="23" t="s">
        <v>274</v>
      </c>
      <c r="B57" s="34" t="str">
        <f aca="false">IF($A57="","",IF(ISERROR(FIND(".",$A57)),"",LOWER(MID($A57,FIND(CHAR(1),SUBSTITUTE($A57,".",CHAR(1),LEN($A57)-LEN(SUBSTITUTE($A57,".",""))))+1,LEN($A57)))))</f>
        <v>com</v>
      </c>
      <c r="C57" s="35" t="n">
        <f aca="false">IF($B57="","",IFERROR(INDEX(Rubric!$B$15:$B$24,MATCH(LOWER($B57),Rubric!$A$15:$A$24,0)),INDEX(Rubric!$B$15:$B$24,MATCH("other",Rubric!$A$15:$A$24,0))))</f>
        <v>5</v>
      </c>
      <c r="D57" s="26" t="n">
        <v>4</v>
      </c>
      <c r="E57" s="26" t="n">
        <v>3</v>
      </c>
      <c r="F57" s="26" t="n">
        <v>5</v>
      </c>
      <c r="G57" s="26" t="n">
        <v>5</v>
      </c>
      <c r="H57" s="26" t="n">
        <v>5</v>
      </c>
      <c r="I57" s="26" t="s">
        <v>169</v>
      </c>
      <c r="J57" s="26" t="s">
        <v>169</v>
      </c>
      <c r="K57" s="41" t="n">
        <v>70000</v>
      </c>
      <c r="L57" s="27" t="n">
        <v>3500</v>
      </c>
      <c r="M57" s="36" t="n">
        <f aca="false">IF($B57="","",IFERROR(INDEX(Rubric!$C$15:$C$24,MATCH(LOWER($B57),Rubric!$A$15:$A$24,0)),INDEX(Rubric!$C$15:$C$24,MATCH("other",Rubric!$A$15:$A$24,0))))</f>
        <v>11</v>
      </c>
      <c r="N57" s="37" t="n">
        <f aca="false">IF(OR($A57="",$C57=""),"",$C57*Rubric!$B$5+$D57*Rubric!$B$6+$E57*Rubric!$B$7+$F57*Rubric!$B$8+$G57*Rubric!$B$9+$H57*Rubric!$B$10)</f>
        <v>4.35</v>
      </c>
      <c r="O57" s="38" t="str">
        <f aca="false">IF($A57="","",IF(OR(UPPER($I57)="Y",UPPER($J57)="Y"),"FAIL","PASS"))</f>
        <v>PASS</v>
      </c>
      <c r="P57" s="39" t="n">
        <f aca="false">IF(OR($A57="",$L57=""),"",MAX(0,$L57-MAX($L57*Assumptions!$B$4,Assumptions!$B$5)))</f>
        <v>2800</v>
      </c>
      <c r="Q57" s="40" t="n">
        <f aca="false">IF($A57="","",Assumptions!$B$13)</f>
        <v>0.0960792032000001</v>
      </c>
      <c r="R57" s="39" t="n">
        <f aca="false">IF(OR($A57="",$M57=""),"",$M57*Assumptions!$B$7)</f>
        <v>55</v>
      </c>
      <c r="S57" s="39" t="n">
        <f aca="false">IF(OR($A57="",$P57="",$R57=""),"",MAX(0,$P57*$Q57-$R57))</f>
        <v>214.02176896</v>
      </c>
      <c r="T57" s="38" t="str">
        <f aca="false">IF($A57="","",IF($O57="FAIL","REJECT",IF($N57&gt;=4,IF(AND($K57&lt;&gt;"",$K57&gt;$S57),"BUY IF CHEAPER","BUY"),IF($N57&gt;=3.2,"WATCH","PASS"))))</f>
        <v>BUY IF CHEAPER</v>
      </c>
      <c r="U57" s="26" t="s">
        <v>197</v>
      </c>
      <c r="V57" s="33" t="s">
        <v>275</v>
      </c>
    </row>
    <row r="58" customFormat="false" ht="15" hidden="false" customHeight="true" outlineLevel="0" collapsed="false">
      <c r="A58" s="23" t="s">
        <v>276</v>
      </c>
      <c r="B58" s="34" t="str">
        <f aca="false">IF($A58="","",IF(ISERROR(FIND(".",$A58)),"",LOWER(MID($A58,FIND(CHAR(1),SUBSTITUTE($A58,".",CHAR(1),LEN($A58)-LEN(SUBSTITUTE($A58,".",""))))+1,LEN($A58)))))</f>
        <v>com</v>
      </c>
      <c r="C58" s="35" t="n">
        <f aca="false">IF($B58="","",IFERROR(INDEX(Rubric!$B$15:$B$24,MATCH(LOWER($B58),Rubric!$A$15:$A$24,0)),INDEX(Rubric!$B$15:$B$24,MATCH("other",Rubric!$A$15:$A$24,0))))</f>
        <v>5</v>
      </c>
      <c r="D58" s="26" t="n">
        <v>3</v>
      </c>
      <c r="E58" s="26" t="n">
        <v>2</v>
      </c>
      <c r="F58" s="26" t="n">
        <v>5</v>
      </c>
      <c r="G58" s="26" t="n">
        <v>4</v>
      </c>
      <c r="H58" s="26" t="n">
        <v>5</v>
      </c>
      <c r="I58" s="26" t="s">
        <v>169</v>
      </c>
      <c r="J58" s="26" t="s">
        <v>169</v>
      </c>
      <c r="K58" s="41" t="n">
        <v>2995</v>
      </c>
      <c r="L58" s="27" t="n">
        <v>2000</v>
      </c>
      <c r="M58" s="36" t="n">
        <f aca="false">IF($B58="","",IFERROR(INDEX(Rubric!$C$15:$C$24,MATCH(LOWER($B58),Rubric!$A$15:$A$24,0)),INDEX(Rubric!$C$15:$C$24,MATCH("other",Rubric!$A$15:$A$24,0))))</f>
        <v>11</v>
      </c>
      <c r="N58" s="37" t="n">
        <f aca="false">IF(OR($A58="",$C58=""),"",$C58*Rubric!$B$5+$D58*Rubric!$B$6+$E58*Rubric!$B$7+$F58*Rubric!$B$8+$G58*Rubric!$B$9+$H58*Rubric!$B$10)</f>
        <v>3.8</v>
      </c>
      <c r="O58" s="38" t="str">
        <f aca="false">IF($A58="","",IF(OR(UPPER($I58)="Y",UPPER($J58)="Y"),"FAIL","PASS"))</f>
        <v>PASS</v>
      </c>
      <c r="P58" s="39" t="n">
        <f aca="false">IF(OR($A58="",$L58=""),"",MAX(0,$L58-MAX($L58*Assumptions!$B$4,Assumptions!$B$5)))</f>
        <v>1600</v>
      </c>
      <c r="Q58" s="40" t="n">
        <f aca="false">IF($A58="","",Assumptions!$B$13)</f>
        <v>0.0960792032000001</v>
      </c>
      <c r="R58" s="39" t="n">
        <f aca="false">IF(OR($A58="",$M58=""),"",$M58*Assumptions!$B$7)</f>
        <v>55</v>
      </c>
      <c r="S58" s="39" t="n">
        <f aca="false">IF(OR($A58="",$P58="",$R58=""),"",MAX(0,$P58*$Q58-$R58))</f>
        <v>98.7267251200001</v>
      </c>
      <c r="T58" s="38" t="str">
        <f aca="false">IF($A58="","",IF($O58="FAIL","REJECT",IF($N58&gt;=4,IF(AND($K58&lt;&gt;"",$K58&gt;$S58),"BUY IF CHEAPER","BUY"),IF($N58&gt;=3.2,"WATCH","PASS"))))</f>
        <v>WATCH</v>
      </c>
      <c r="U58" s="26" t="s">
        <v>197</v>
      </c>
      <c r="V58" s="33" t="s">
        <v>277</v>
      </c>
    </row>
    <row r="59" customFormat="false" ht="15" hidden="false" customHeight="true" outlineLevel="0" collapsed="false">
      <c r="A59" s="23" t="s">
        <v>278</v>
      </c>
      <c r="B59" s="34" t="str">
        <f aca="false">IF($A59="","",IF(ISERROR(FIND(".",$A59)),"",LOWER(MID($A59,FIND(CHAR(1),SUBSTITUTE($A59,".",CHAR(1),LEN($A59)-LEN(SUBSTITUTE($A59,".",""))))+1,LEN($A59)))))</f>
        <v>com</v>
      </c>
      <c r="C59" s="35" t="n">
        <f aca="false">IF($B59="","",IFERROR(INDEX(Rubric!$B$15:$B$24,MATCH(LOWER($B59),Rubric!$A$15:$A$24,0)),INDEX(Rubric!$B$15:$B$24,MATCH("other",Rubric!$A$15:$A$24,0))))</f>
        <v>5</v>
      </c>
      <c r="D59" s="26" t="n">
        <v>3</v>
      </c>
      <c r="E59" s="26" t="n">
        <v>2</v>
      </c>
      <c r="F59" s="26" t="n">
        <v>5</v>
      </c>
      <c r="G59" s="26" t="n">
        <v>4</v>
      </c>
      <c r="H59" s="26" t="n">
        <v>5</v>
      </c>
      <c r="I59" s="26" t="s">
        <v>169</v>
      </c>
      <c r="J59" s="26" t="s">
        <v>169</v>
      </c>
      <c r="K59" s="27"/>
      <c r="L59" s="27" t="n">
        <v>2500</v>
      </c>
      <c r="M59" s="36" t="n">
        <f aca="false">IF($B59="","",IFERROR(INDEX(Rubric!$C$15:$C$24,MATCH(LOWER($B59),Rubric!$A$15:$A$24,0)),INDEX(Rubric!$C$15:$C$24,MATCH("other",Rubric!$A$15:$A$24,0))))</f>
        <v>11</v>
      </c>
      <c r="N59" s="37" t="n">
        <f aca="false">IF(OR($A59="",$C59=""),"",$C59*Rubric!$B$5+$D59*Rubric!$B$6+$E59*Rubric!$B$7+$F59*Rubric!$B$8+$G59*Rubric!$B$9+$H59*Rubric!$B$10)</f>
        <v>3.8</v>
      </c>
      <c r="O59" s="38" t="str">
        <f aca="false">IF($A59="","",IF(OR(UPPER($I59)="Y",UPPER($J59)="Y"),"FAIL","PASS"))</f>
        <v>PASS</v>
      </c>
      <c r="P59" s="39" t="n">
        <f aca="false">IF(OR($A59="",$L59=""),"",MAX(0,$L59-MAX($L59*Assumptions!$B$4,Assumptions!$B$5)))</f>
        <v>2000</v>
      </c>
      <c r="Q59" s="40" t="n">
        <f aca="false">IF($A59="","",Assumptions!$B$13)</f>
        <v>0.0960792032000001</v>
      </c>
      <c r="R59" s="39" t="n">
        <f aca="false">IF(OR($A59="",$M59=""),"",$M59*Assumptions!$B$7)</f>
        <v>55</v>
      </c>
      <c r="S59" s="39" t="n">
        <f aca="false">IF(OR($A59="",$P59="",$R59=""),"",MAX(0,$P59*$Q59-$R59))</f>
        <v>137.1584064</v>
      </c>
      <c r="T59" s="38" t="str">
        <f aca="false">IF($A59="","",IF($O59="FAIL","REJECT",IF($N59&gt;=4,IF(AND($K59&lt;&gt;"",$K59&gt;$S59),"BUY IF CHEAPER","BUY"),IF($N59&gt;=3.2,"WATCH","PASS"))))</f>
        <v>WATCH</v>
      </c>
      <c r="U59" s="26" t="s">
        <v>170</v>
      </c>
      <c r="V59" s="33" t="s">
        <v>279</v>
      </c>
    </row>
    <row r="60" customFormat="false" ht="15" hidden="false" customHeight="true" outlineLevel="0" collapsed="false">
      <c r="A60" s="23" t="s">
        <v>280</v>
      </c>
      <c r="B60" s="34" t="str">
        <f aca="false">IF($A60="","",IF(ISERROR(FIND(".",$A60)),"",LOWER(MID($A60,FIND(CHAR(1),SUBSTITUTE($A60,".",CHAR(1),LEN($A60)-LEN(SUBSTITUTE($A60,".",""))))+1,LEN($A60)))))</f>
        <v>com</v>
      </c>
      <c r="C60" s="35" t="n">
        <f aca="false">IF($B60="","",IFERROR(INDEX(Rubric!$B$15:$B$24,MATCH(LOWER($B60),Rubric!$A$15:$A$24,0)),INDEX(Rubric!$B$15:$B$24,MATCH("other",Rubric!$A$15:$A$24,0))))</f>
        <v>5</v>
      </c>
      <c r="D60" s="26" t="n">
        <v>3</v>
      </c>
      <c r="E60" s="26" t="n">
        <v>2</v>
      </c>
      <c r="F60" s="26" t="n">
        <v>4</v>
      </c>
      <c r="G60" s="26" t="n">
        <v>4</v>
      </c>
      <c r="H60" s="26" t="n">
        <v>5</v>
      </c>
      <c r="I60" s="26" t="s">
        <v>169</v>
      </c>
      <c r="J60" s="26" t="s">
        <v>169</v>
      </c>
      <c r="K60" s="27"/>
      <c r="L60" s="27" t="n">
        <v>2200</v>
      </c>
      <c r="M60" s="36" t="n">
        <f aca="false">IF($B60="","",IFERROR(INDEX(Rubric!$C$15:$C$24,MATCH(LOWER($B60),Rubric!$A$15:$A$24,0)),INDEX(Rubric!$C$15:$C$24,MATCH("other",Rubric!$A$15:$A$24,0))))</f>
        <v>11</v>
      </c>
      <c r="N60" s="37" t="n">
        <f aca="false">IF(OR($A60="",$C60=""),"",$C60*Rubric!$B$5+$D60*Rubric!$B$6+$E60*Rubric!$B$7+$F60*Rubric!$B$8+$G60*Rubric!$B$9+$H60*Rubric!$B$10)</f>
        <v>3.65</v>
      </c>
      <c r="O60" s="38" t="str">
        <f aca="false">IF($A60="","",IF(OR(UPPER($I60)="Y",UPPER($J60)="Y"),"FAIL","PASS"))</f>
        <v>PASS</v>
      </c>
      <c r="P60" s="39" t="n">
        <f aca="false">IF(OR($A60="",$L60=""),"",MAX(0,$L60-MAX($L60*Assumptions!$B$4,Assumptions!$B$5)))</f>
        <v>1760</v>
      </c>
      <c r="Q60" s="40" t="n">
        <f aca="false">IF($A60="","",Assumptions!$B$13)</f>
        <v>0.0960792032000001</v>
      </c>
      <c r="R60" s="39" t="n">
        <f aca="false">IF(OR($A60="",$M60=""),"",$M60*Assumptions!$B$7)</f>
        <v>55</v>
      </c>
      <c r="S60" s="39" t="n">
        <f aca="false">IF(OR($A60="",$P60="",$R60=""),"",MAX(0,$P60*$Q60-$R60))</f>
        <v>114.099397632</v>
      </c>
      <c r="T60" s="38" t="str">
        <f aca="false">IF($A60="","",IF($O60="FAIL","REJECT",IF($N60&gt;=4,IF(AND($K60&lt;&gt;"",$K60&gt;$S60),"BUY IF CHEAPER","BUY"),IF($N60&gt;=3.2,"WATCH","PASS"))))</f>
        <v>WATCH</v>
      </c>
      <c r="U60" s="26" t="s">
        <v>170</v>
      </c>
      <c r="V60" s="33" t="s">
        <v>281</v>
      </c>
    </row>
    <row r="61" customFormat="false" ht="15" hidden="false" customHeight="true" outlineLevel="0" collapsed="false">
      <c r="A61" s="42"/>
      <c r="B61" s="34" t="str">
        <f aca="false">IF($A61="","",IF(ISERROR(FIND(".",$A61)),"",LOWER(MID($A61,FIND(CHAR(1),SUBSTITUTE($A61,".",CHAR(1),LEN($A61)-LEN(SUBSTITUTE($A61,".",""))))+1,LEN($A61)))))</f>
        <v/>
      </c>
      <c r="C61" s="35" t="str">
        <f aca="false">IF($B61="","",IFERROR(INDEX(Rubric!$B$15:$B$24,MATCH(LOWER($B61),Rubric!$A$15:$A$24,0)),INDEX(Rubric!$B$15:$B$24,MATCH("other",Rubric!$A$15:$A$24,0))))</f>
        <v/>
      </c>
      <c r="D61" s="26"/>
      <c r="E61" s="26"/>
      <c r="F61" s="26"/>
      <c r="G61" s="26"/>
      <c r="H61" s="26"/>
      <c r="I61" s="26"/>
      <c r="J61" s="26"/>
      <c r="K61" s="27"/>
      <c r="L61" s="27"/>
      <c r="M61" s="36" t="str">
        <f aca="false">IF($B61="","",IFERROR(INDEX(Rubric!$C$15:$C$24,MATCH(LOWER($B61),Rubric!$A$15:$A$24,0)),INDEX(Rubric!$C$15:$C$24,MATCH("other",Rubric!$A$15:$A$24,0))))</f>
        <v/>
      </c>
      <c r="N61" s="37" t="str">
        <f aca="false">IF(OR($A61="",$C61=""),"",$C61*Rubric!$B$5+$D61*Rubric!$B$6+$E61*Rubric!$B$7+$F61*Rubric!$B$8+$G61*Rubric!$B$9+$H61*Rubric!$B$10)</f>
        <v/>
      </c>
      <c r="O61" s="38" t="str">
        <f aca="false">IF($A61="","",IF(OR(UPPER($I61)="Y",UPPER($J61)="Y"),"FAIL","PASS"))</f>
        <v/>
      </c>
      <c r="P61" s="39" t="str">
        <f aca="false">IF(OR($A61="",$L61=""),"",MAX(0,$L61-MAX($L61*Assumptions!$B$4,Assumptions!$B$5)))</f>
        <v/>
      </c>
      <c r="Q61" s="40" t="str">
        <f aca="false">IF($A61="","",Assumptions!$B$13)</f>
        <v/>
      </c>
      <c r="R61" s="39" t="str">
        <f aca="false">IF(OR($A61="",$M61=""),"",$M61*Assumptions!$B$7)</f>
        <v/>
      </c>
      <c r="S61" s="39" t="str">
        <f aca="false">IF(OR($A61="",$P61="",$R61=""),"",MAX(0,$P61*$Q61-$R61))</f>
        <v/>
      </c>
      <c r="T61" s="38" t="str">
        <f aca="false">IF($A61="","",IF($O61="FAIL","REJECT",IF($N61&gt;=4,IF(AND($K61&lt;&gt;"",$K61&gt;$S61),"BUY IF CHEAPER","BUY"),IF($N61&gt;=3.2,"WATCH","PASS"))))</f>
        <v/>
      </c>
      <c r="U61" s="26"/>
      <c r="V61" s="33"/>
    </row>
    <row r="62" customFormat="false" ht="15" hidden="false" customHeight="true" outlineLevel="0" collapsed="false">
      <c r="A62" s="42"/>
      <c r="B62" s="34" t="str">
        <f aca="false">IF($A62="","",IF(ISERROR(FIND(".",$A62)),"",LOWER(MID($A62,FIND(CHAR(1),SUBSTITUTE($A62,".",CHAR(1),LEN($A62)-LEN(SUBSTITUTE($A62,".",""))))+1,LEN($A62)))))</f>
        <v/>
      </c>
      <c r="C62" s="35" t="str">
        <f aca="false">IF($B62="","",IFERROR(INDEX(Rubric!$B$15:$B$24,MATCH(LOWER($B62),Rubric!$A$15:$A$24,0)),INDEX(Rubric!$B$15:$B$24,MATCH("other",Rubric!$A$15:$A$24,0))))</f>
        <v/>
      </c>
      <c r="D62" s="26"/>
      <c r="E62" s="26"/>
      <c r="F62" s="26"/>
      <c r="G62" s="26"/>
      <c r="H62" s="26"/>
      <c r="I62" s="26"/>
      <c r="J62" s="26"/>
      <c r="K62" s="27"/>
      <c r="L62" s="27"/>
      <c r="M62" s="36" t="str">
        <f aca="false">IF($B62="","",IFERROR(INDEX(Rubric!$C$15:$C$24,MATCH(LOWER($B62),Rubric!$A$15:$A$24,0)),INDEX(Rubric!$C$15:$C$24,MATCH("other",Rubric!$A$15:$A$24,0))))</f>
        <v/>
      </c>
      <c r="N62" s="37" t="str">
        <f aca="false">IF(OR($A62="",$C62=""),"",$C62*Rubric!$B$5+$D62*Rubric!$B$6+$E62*Rubric!$B$7+$F62*Rubric!$B$8+$G62*Rubric!$B$9+$H62*Rubric!$B$10)</f>
        <v/>
      </c>
      <c r="O62" s="38" t="str">
        <f aca="false">IF($A62="","",IF(OR(UPPER($I62)="Y",UPPER($J62)="Y"),"FAIL","PASS"))</f>
        <v/>
      </c>
      <c r="P62" s="39" t="str">
        <f aca="false">IF(OR($A62="",$L62=""),"",MAX(0,$L62-MAX($L62*Assumptions!$B$4,Assumptions!$B$5)))</f>
        <v/>
      </c>
      <c r="Q62" s="40" t="str">
        <f aca="false">IF($A62="","",Assumptions!$B$13)</f>
        <v/>
      </c>
      <c r="R62" s="39" t="str">
        <f aca="false">IF(OR($A62="",$M62=""),"",$M62*Assumptions!$B$7)</f>
        <v/>
      </c>
      <c r="S62" s="39" t="str">
        <f aca="false">IF(OR($A62="",$P62="",$R62=""),"",MAX(0,$P62*$Q62-$R62))</f>
        <v/>
      </c>
      <c r="T62" s="38" t="str">
        <f aca="false">IF($A62="","",IF($O62="FAIL","REJECT",IF($N62&gt;=4,IF(AND($K62&lt;&gt;"",$K62&gt;$S62),"BUY IF CHEAPER","BUY"),IF($N62&gt;=3.2,"WATCH","PASS"))))</f>
        <v/>
      </c>
      <c r="U62" s="26"/>
      <c r="V62" s="33"/>
    </row>
    <row r="63" customFormat="false" ht="15" hidden="false" customHeight="true" outlineLevel="0" collapsed="false">
      <c r="A63" s="42"/>
      <c r="B63" s="34" t="str">
        <f aca="false">IF($A63="","",IF(ISERROR(FIND(".",$A63)),"",LOWER(MID($A63,FIND(CHAR(1),SUBSTITUTE($A63,".",CHAR(1),LEN($A63)-LEN(SUBSTITUTE($A63,".",""))))+1,LEN($A63)))))</f>
        <v/>
      </c>
      <c r="C63" s="35" t="str">
        <f aca="false">IF($B63="","",IFERROR(INDEX(Rubric!$B$15:$B$24,MATCH(LOWER($B63),Rubric!$A$15:$A$24,0)),INDEX(Rubric!$B$15:$B$24,MATCH("other",Rubric!$A$15:$A$24,0))))</f>
        <v/>
      </c>
      <c r="D63" s="26"/>
      <c r="E63" s="26"/>
      <c r="F63" s="26"/>
      <c r="G63" s="26"/>
      <c r="H63" s="26"/>
      <c r="I63" s="26"/>
      <c r="J63" s="26"/>
      <c r="K63" s="27"/>
      <c r="L63" s="27"/>
      <c r="M63" s="36" t="str">
        <f aca="false">IF($B63="","",IFERROR(INDEX(Rubric!$C$15:$C$24,MATCH(LOWER($B63),Rubric!$A$15:$A$24,0)),INDEX(Rubric!$C$15:$C$24,MATCH("other",Rubric!$A$15:$A$24,0))))</f>
        <v/>
      </c>
      <c r="N63" s="37" t="str">
        <f aca="false">IF(OR($A63="",$C63=""),"",$C63*Rubric!$B$5+$D63*Rubric!$B$6+$E63*Rubric!$B$7+$F63*Rubric!$B$8+$G63*Rubric!$B$9+$H63*Rubric!$B$10)</f>
        <v/>
      </c>
      <c r="O63" s="38" t="str">
        <f aca="false">IF($A63="","",IF(OR(UPPER($I63)="Y",UPPER($J63)="Y"),"FAIL","PASS"))</f>
        <v/>
      </c>
      <c r="P63" s="39" t="str">
        <f aca="false">IF(OR($A63="",$L63=""),"",MAX(0,$L63-MAX($L63*Assumptions!$B$4,Assumptions!$B$5)))</f>
        <v/>
      </c>
      <c r="Q63" s="40" t="str">
        <f aca="false">IF($A63="","",Assumptions!$B$13)</f>
        <v/>
      </c>
      <c r="R63" s="39" t="str">
        <f aca="false">IF(OR($A63="",$M63=""),"",$M63*Assumptions!$B$7)</f>
        <v/>
      </c>
      <c r="S63" s="39" t="str">
        <f aca="false">IF(OR($A63="",$P63="",$R63=""),"",MAX(0,$P63*$Q63-$R63))</f>
        <v/>
      </c>
      <c r="T63" s="38" t="str">
        <f aca="false">IF($A63="","",IF($O63="FAIL","REJECT",IF($N63&gt;=4,IF(AND($K63&lt;&gt;"",$K63&gt;$S63),"BUY IF CHEAPER","BUY"),IF($N63&gt;=3.2,"WATCH","PASS"))))</f>
        <v/>
      </c>
      <c r="U63" s="26"/>
      <c r="V63" s="33"/>
    </row>
    <row r="64" customFormat="false" ht="15" hidden="false" customHeight="true" outlineLevel="0" collapsed="false">
      <c r="A64" s="42"/>
      <c r="B64" s="34" t="str">
        <f aca="false">IF($A64="","",IF(ISERROR(FIND(".",$A64)),"",LOWER(MID($A64,FIND(CHAR(1),SUBSTITUTE($A64,".",CHAR(1),LEN($A64)-LEN(SUBSTITUTE($A64,".",""))))+1,LEN($A64)))))</f>
        <v/>
      </c>
      <c r="C64" s="35" t="str">
        <f aca="false">IF($B64="","",IFERROR(INDEX(Rubric!$B$15:$B$24,MATCH(LOWER($B64),Rubric!$A$15:$A$24,0)),INDEX(Rubric!$B$15:$B$24,MATCH("other",Rubric!$A$15:$A$24,0))))</f>
        <v/>
      </c>
      <c r="D64" s="26"/>
      <c r="E64" s="26"/>
      <c r="F64" s="26"/>
      <c r="G64" s="26"/>
      <c r="H64" s="26"/>
      <c r="I64" s="26"/>
      <c r="J64" s="26"/>
      <c r="K64" s="27"/>
      <c r="L64" s="27"/>
      <c r="M64" s="36" t="str">
        <f aca="false">IF($B64="","",IFERROR(INDEX(Rubric!$C$15:$C$24,MATCH(LOWER($B64),Rubric!$A$15:$A$24,0)),INDEX(Rubric!$C$15:$C$24,MATCH("other",Rubric!$A$15:$A$24,0))))</f>
        <v/>
      </c>
      <c r="N64" s="37" t="str">
        <f aca="false">IF(OR($A64="",$C64=""),"",$C64*Rubric!$B$5+$D64*Rubric!$B$6+$E64*Rubric!$B$7+$F64*Rubric!$B$8+$G64*Rubric!$B$9+$H64*Rubric!$B$10)</f>
        <v/>
      </c>
      <c r="O64" s="38" t="str">
        <f aca="false">IF($A64="","",IF(OR(UPPER($I64)="Y",UPPER($J64)="Y"),"FAIL","PASS"))</f>
        <v/>
      </c>
      <c r="P64" s="39" t="str">
        <f aca="false">IF(OR($A64="",$L64=""),"",MAX(0,$L64-MAX($L64*Assumptions!$B$4,Assumptions!$B$5)))</f>
        <v/>
      </c>
      <c r="Q64" s="40" t="str">
        <f aca="false">IF($A64="","",Assumptions!$B$13)</f>
        <v/>
      </c>
      <c r="R64" s="39" t="str">
        <f aca="false">IF(OR($A64="",$M64=""),"",$M64*Assumptions!$B$7)</f>
        <v/>
      </c>
      <c r="S64" s="39" t="str">
        <f aca="false">IF(OR($A64="",$P64="",$R64=""),"",MAX(0,$P64*$Q64-$R64))</f>
        <v/>
      </c>
      <c r="T64" s="38" t="str">
        <f aca="false">IF($A64="","",IF($O64="FAIL","REJECT",IF($N64&gt;=4,IF(AND($K64&lt;&gt;"",$K64&gt;$S64),"BUY IF CHEAPER","BUY"),IF($N64&gt;=3.2,"WATCH","PASS"))))</f>
        <v/>
      </c>
      <c r="U64" s="26"/>
      <c r="V64" s="33"/>
    </row>
    <row r="65" customFormat="false" ht="15" hidden="false" customHeight="true" outlineLevel="0" collapsed="false">
      <c r="A65" s="42"/>
      <c r="B65" s="34" t="str">
        <f aca="false">IF($A65="","",IF(ISERROR(FIND(".",$A65)),"",LOWER(MID($A65,FIND(CHAR(1),SUBSTITUTE($A65,".",CHAR(1),LEN($A65)-LEN(SUBSTITUTE($A65,".",""))))+1,LEN($A65)))))</f>
        <v/>
      </c>
      <c r="C65" s="35" t="str">
        <f aca="false">IF($B65="","",IFERROR(INDEX(Rubric!$B$15:$B$24,MATCH(LOWER($B65),Rubric!$A$15:$A$24,0)),INDEX(Rubric!$B$15:$B$24,MATCH("other",Rubric!$A$15:$A$24,0))))</f>
        <v/>
      </c>
      <c r="D65" s="26"/>
      <c r="E65" s="26"/>
      <c r="F65" s="26"/>
      <c r="G65" s="26"/>
      <c r="H65" s="26"/>
      <c r="I65" s="26"/>
      <c r="J65" s="26"/>
      <c r="K65" s="27"/>
      <c r="L65" s="27"/>
      <c r="M65" s="36" t="str">
        <f aca="false">IF($B65="","",IFERROR(INDEX(Rubric!$C$15:$C$24,MATCH(LOWER($B65),Rubric!$A$15:$A$24,0)),INDEX(Rubric!$C$15:$C$24,MATCH("other",Rubric!$A$15:$A$24,0))))</f>
        <v/>
      </c>
      <c r="N65" s="37" t="str">
        <f aca="false">IF(OR($A65="",$C65=""),"",$C65*Rubric!$B$5+$D65*Rubric!$B$6+$E65*Rubric!$B$7+$F65*Rubric!$B$8+$G65*Rubric!$B$9+$H65*Rubric!$B$10)</f>
        <v/>
      </c>
      <c r="O65" s="38" t="str">
        <f aca="false">IF($A65="","",IF(OR(UPPER($I65)="Y",UPPER($J65)="Y"),"FAIL","PASS"))</f>
        <v/>
      </c>
      <c r="P65" s="39" t="str">
        <f aca="false">IF(OR($A65="",$L65=""),"",MAX(0,$L65-MAX($L65*Assumptions!$B$4,Assumptions!$B$5)))</f>
        <v/>
      </c>
      <c r="Q65" s="40" t="str">
        <f aca="false">IF($A65="","",Assumptions!$B$13)</f>
        <v/>
      </c>
      <c r="R65" s="39" t="str">
        <f aca="false">IF(OR($A65="",$M65=""),"",$M65*Assumptions!$B$7)</f>
        <v/>
      </c>
      <c r="S65" s="39" t="str">
        <f aca="false">IF(OR($A65="",$P65="",$R65=""),"",MAX(0,$P65*$Q65-$R65))</f>
        <v/>
      </c>
      <c r="T65" s="38" t="str">
        <f aca="false">IF($A65="","",IF($O65="FAIL","REJECT",IF($N65&gt;=4,IF(AND($K65&lt;&gt;"",$K65&gt;$S65),"BUY IF CHEAPER","BUY"),IF($N65&gt;=3.2,"WATCH","PASS"))))</f>
        <v/>
      </c>
      <c r="U65" s="26"/>
      <c r="V65" s="33"/>
    </row>
    <row r="66" customFormat="false" ht="15" hidden="false" customHeight="true" outlineLevel="0" collapsed="false">
      <c r="A66" s="42"/>
      <c r="B66" s="34" t="str">
        <f aca="false">IF($A66="","",IF(ISERROR(FIND(".",$A66)),"",LOWER(MID($A66,FIND(CHAR(1),SUBSTITUTE($A66,".",CHAR(1),LEN($A66)-LEN(SUBSTITUTE($A66,".",""))))+1,LEN($A66)))))</f>
        <v/>
      </c>
      <c r="C66" s="35" t="str">
        <f aca="false">IF($B66="","",IFERROR(INDEX(Rubric!$B$15:$B$24,MATCH(LOWER($B66),Rubric!$A$15:$A$24,0)),INDEX(Rubric!$B$15:$B$24,MATCH("other",Rubric!$A$15:$A$24,0))))</f>
        <v/>
      </c>
      <c r="D66" s="26"/>
      <c r="E66" s="26"/>
      <c r="F66" s="26"/>
      <c r="G66" s="26"/>
      <c r="H66" s="26"/>
      <c r="I66" s="26"/>
      <c r="J66" s="26"/>
      <c r="K66" s="27"/>
      <c r="L66" s="27"/>
      <c r="M66" s="36" t="str">
        <f aca="false">IF($B66="","",IFERROR(INDEX(Rubric!$C$15:$C$24,MATCH(LOWER($B66),Rubric!$A$15:$A$24,0)),INDEX(Rubric!$C$15:$C$24,MATCH("other",Rubric!$A$15:$A$24,0))))</f>
        <v/>
      </c>
      <c r="N66" s="37" t="str">
        <f aca="false">IF(OR($A66="",$C66=""),"",$C66*Rubric!$B$5+$D66*Rubric!$B$6+$E66*Rubric!$B$7+$F66*Rubric!$B$8+$G66*Rubric!$B$9+$H66*Rubric!$B$10)</f>
        <v/>
      </c>
      <c r="O66" s="38" t="str">
        <f aca="false">IF($A66="","",IF(OR(UPPER($I66)="Y",UPPER($J66)="Y"),"FAIL","PASS"))</f>
        <v/>
      </c>
      <c r="P66" s="39" t="str">
        <f aca="false">IF(OR($A66="",$L66=""),"",MAX(0,$L66-MAX($L66*Assumptions!$B$4,Assumptions!$B$5)))</f>
        <v/>
      </c>
      <c r="Q66" s="40" t="str">
        <f aca="false">IF($A66="","",Assumptions!$B$13)</f>
        <v/>
      </c>
      <c r="R66" s="39" t="str">
        <f aca="false">IF(OR($A66="",$M66=""),"",$M66*Assumptions!$B$7)</f>
        <v/>
      </c>
      <c r="S66" s="39" t="str">
        <f aca="false">IF(OR($A66="",$P66="",$R66=""),"",MAX(0,$P66*$Q66-$R66))</f>
        <v/>
      </c>
      <c r="T66" s="38" t="str">
        <f aca="false">IF($A66="","",IF($O66="FAIL","REJECT",IF($N66&gt;=4,IF(AND($K66&lt;&gt;"",$K66&gt;$S66),"BUY IF CHEAPER","BUY"),IF($N66&gt;=3.2,"WATCH","PASS"))))</f>
        <v/>
      </c>
      <c r="U66" s="26"/>
      <c r="V66" s="33"/>
    </row>
    <row r="67" customFormat="false" ht="15" hidden="false" customHeight="true" outlineLevel="0" collapsed="false">
      <c r="A67" s="42"/>
      <c r="B67" s="34" t="str">
        <f aca="false">IF($A67="","",IF(ISERROR(FIND(".",$A67)),"",LOWER(MID($A67,FIND(CHAR(1),SUBSTITUTE($A67,".",CHAR(1),LEN($A67)-LEN(SUBSTITUTE($A67,".",""))))+1,LEN($A67)))))</f>
        <v/>
      </c>
      <c r="C67" s="35" t="str">
        <f aca="false">IF($B67="","",IFERROR(INDEX(Rubric!$B$15:$B$24,MATCH(LOWER($B67),Rubric!$A$15:$A$24,0)),INDEX(Rubric!$B$15:$B$24,MATCH("other",Rubric!$A$15:$A$24,0))))</f>
        <v/>
      </c>
      <c r="D67" s="26"/>
      <c r="E67" s="26"/>
      <c r="F67" s="26"/>
      <c r="G67" s="26"/>
      <c r="H67" s="26"/>
      <c r="I67" s="26"/>
      <c r="J67" s="26"/>
      <c r="K67" s="27"/>
      <c r="L67" s="27"/>
      <c r="M67" s="36" t="str">
        <f aca="false">IF($B67="","",IFERROR(INDEX(Rubric!$C$15:$C$24,MATCH(LOWER($B67),Rubric!$A$15:$A$24,0)),INDEX(Rubric!$C$15:$C$24,MATCH("other",Rubric!$A$15:$A$24,0))))</f>
        <v/>
      </c>
      <c r="N67" s="37" t="str">
        <f aca="false">IF(OR($A67="",$C67=""),"",$C67*Rubric!$B$5+$D67*Rubric!$B$6+$E67*Rubric!$B$7+$F67*Rubric!$B$8+$G67*Rubric!$B$9+$H67*Rubric!$B$10)</f>
        <v/>
      </c>
      <c r="O67" s="38" t="str">
        <f aca="false">IF($A67="","",IF(OR(UPPER($I67)="Y",UPPER($J67)="Y"),"FAIL","PASS"))</f>
        <v/>
      </c>
      <c r="P67" s="39" t="str">
        <f aca="false">IF(OR($A67="",$L67=""),"",MAX(0,$L67-MAX($L67*Assumptions!$B$4,Assumptions!$B$5)))</f>
        <v/>
      </c>
      <c r="Q67" s="40" t="str">
        <f aca="false">IF($A67="","",Assumptions!$B$13)</f>
        <v/>
      </c>
      <c r="R67" s="39" t="str">
        <f aca="false">IF(OR($A67="",$M67=""),"",$M67*Assumptions!$B$7)</f>
        <v/>
      </c>
      <c r="S67" s="39" t="str">
        <f aca="false">IF(OR($A67="",$P67="",$R67=""),"",MAX(0,$P67*$Q67-$R67))</f>
        <v/>
      </c>
      <c r="T67" s="38" t="str">
        <f aca="false">IF($A67="","",IF($O67="FAIL","REJECT",IF($N67&gt;=4,IF(AND($K67&lt;&gt;"",$K67&gt;$S67),"BUY IF CHEAPER","BUY"),IF($N67&gt;=3.2,"WATCH","PASS"))))</f>
        <v/>
      </c>
      <c r="U67" s="26"/>
      <c r="V67" s="33"/>
    </row>
    <row r="68" customFormat="false" ht="15" hidden="false" customHeight="true" outlineLevel="0" collapsed="false">
      <c r="A68" s="42"/>
      <c r="B68" s="34" t="str">
        <f aca="false">IF($A68="","",IF(ISERROR(FIND(".",$A68)),"",LOWER(MID($A68,FIND(CHAR(1),SUBSTITUTE($A68,".",CHAR(1),LEN($A68)-LEN(SUBSTITUTE($A68,".",""))))+1,LEN($A68)))))</f>
        <v/>
      </c>
      <c r="C68" s="35" t="str">
        <f aca="false">IF($B68="","",IFERROR(INDEX(Rubric!$B$15:$B$24,MATCH(LOWER($B68),Rubric!$A$15:$A$24,0)),INDEX(Rubric!$B$15:$B$24,MATCH("other",Rubric!$A$15:$A$24,0))))</f>
        <v/>
      </c>
      <c r="D68" s="26"/>
      <c r="E68" s="26"/>
      <c r="F68" s="26"/>
      <c r="G68" s="26"/>
      <c r="H68" s="26"/>
      <c r="I68" s="26"/>
      <c r="J68" s="26"/>
      <c r="K68" s="27"/>
      <c r="L68" s="27"/>
      <c r="M68" s="36" t="str">
        <f aca="false">IF($B68="","",IFERROR(INDEX(Rubric!$C$15:$C$24,MATCH(LOWER($B68),Rubric!$A$15:$A$24,0)),INDEX(Rubric!$C$15:$C$24,MATCH("other",Rubric!$A$15:$A$24,0))))</f>
        <v/>
      </c>
      <c r="N68" s="37" t="str">
        <f aca="false">IF(OR($A68="",$C68=""),"",$C68*Rubric!$B$5+$D68*Rubric!$B$6+$E68*Rubric!$B$7+$F68*Rubric!$B$8+$G68*Rubric!$B$9+$H68*Rubric!$B$10)</f>
        <v/>
      </c>
      <c r="O68" s="38" t="str">
        <f aca="false">IF($A68="","",IF(OR(UPPER($I68)="Y",UPPER($J68)="Y"),"FAIL","PASS"))</f>
        <v/>
      </c>
      <c r="P68" s="39" t="str">
        <f aca="false">IF(OR($A68="",$L68=""),"",MAX(0,$L68-MAX($L68*Assumptions!$B$4,Assumptions!$B$5)))</f>
        <v/>
      </c>
      <c r="Q68" s="40" t="str">
        <f aca="false">IF($A68="","",Assumptions!$B$13)</f>
        <v/>
      </c>
      <c r="R68" s="39" t="str">
        <f aca="false">IF(OR($A68="",$M68=""),"",$M68*Assumptions!$B$7)</f>
        <v/>
      </c>
      <c r="S68" s="39" t="str">
        <f aca="false">IF(OR($A68="",$P68="",$R68=""),"",MAX(0,$P68*$Q68-$R68))</f>
        <v/>
      </c>
      <c r="T68" s="38" t="str">
        <f aca="false">IF($A68="","",IF($O68="FAIL","REJECT",IF($N68&gt;=4,IF(AND($K68&lt;&gt;"",$K68&gt;$S68),"BUY IF CHEAPER","BUY"),IF($N68&gt;=3.2,"WATCH","PASS"))))</f>
        <v/>
      </c>
      <c r="U68" s="26"/>
      <c r="V68" s="33"/>
    </row>
    <row r="69" customFormat="false" ht="15" hidden="false" customHeight="true" outlineLevel="0" collapsed="false">
      <c r="A69" s="42"/>
      <c r="B69" s="34" t="str">
        <f aca="false">IF($A69="","",IF(ISERROR(FIND(".",$A69)),"",LOWER(MID($A69,FIND(CHAR(1),SUBSTITUTE($A69,".",CHAR(1),LEN($A69)-LEN(SUBSTITUTE($A69,".",""))))+1,LEN($A69)))))</f>
        <v/>
      </c>
      <c r="C69" s="35" t="str">
        <f aca="false">IF($B69="","",IFERROR(INDEX(Rubric!$B$15:$B$24,MATCH(LOWER($B69),Rubric!$A$15:$A$24,0)),INDEX(Rubric!$B$15:$B$24,MATCH("other",Rubric!$A$15:$A$24,0))))</f>
        <v/>
      </c>
      <c r="D69" s="26"/>
      <c r="E69" s="26"/>
      <c r="F69" s="26"/>
      <c r="G69" s="26"/>
      <c r="H69" s="26"/>
      <c r="I69" s="26"/>
      <c r="J69" s="26"/>
      <c r="K69" s="27"/>
      <c r="L69" s="27"/>
      <c r="M69" s="36" t="str">
        <f aca="false">IF($B69="","",IFERROR(INDEX(Rubric!$C$15:$C$24,MATCH(LOWER($B69),Rubric!$A$15:$A$24,0)),INDEX(Rubric!$C$15:$C$24,MATCH("other",Rubric!$A$15:$A$24,0))))</f>
        <v/>
      </c>
      <c r="N69" s="37" t="str">
        <f aca="false">IF(OR($A69="",$C69=""),"",$C69*Rubric!$B$5+$D69*Rubric!$B$6+$E69*Rubric!$B$7+$F69*Rubric!$B$8+$G69*Rubric!$B$9+$H69*Rubric!$B$10)</f>
        <v/>
      </c>
      <c r="O69" s="38" t="str">
        <f aca="false">IF($A69="","",IF(OR(UPPER($I69)="Y",UPPER($J69)="Y"),"FAIL","PASS"))</f>
        <v/>
      </c>
      <c r="P69" s="39" t="str">
        <f aca="false">IF(OR($A69="",$L69=""),"",MAX(0,$L69-MAX($L69*Assumptions!$B$4,Assumptions!$B$5)))</f>
        <v/>
      </c>
      <c r="Q69" s="40" t="str">
        <f aca="false">IF($A69="","",Assumptions!$B$13)</f>
        <v/>
      </c>
      <c r="R69" s="39" t="str">
        <f aca="false">IF(OR($A69="",$M69=""),"",$M69*Assumptions!$B$7)</f>
        <v/>
      </c>
      <c r="S69" s="39" t="str">
        <f aca="false">IF(OR($A69="",$P69="",$R69=""),"",MAX(0,$P69*$Q69-$R69))</f>
        <v/>
      </c>
      <c r="T69" s="38" t="str">
        <f aca="false">IF($A69="","",IF($O69="FAIL","REJECT",IF($N69&gt;=4,IF(AND($K69&lt;&gt;"",$K69&gt;$S69),"BUY IF CHEAPER","BUY"),IF($N69&gt;=3.2,"WATCH","PASS"))))</f>
        <v/>
      </c>
      <c r="U69" s="26"/>
      <c r="V69" s="33"/>
    </row>
    <row r="70" customFormat="false" ht="15" hidden="false" customHeight="true" outlineLevel="0" collapsed="false">
      <c r="A70" s="42"/>
      <c r="B70" s="34" t="str">
        <f aca="false">IF($A70="","",IF(ISERROR(FIND(".",$A70)),"",LOWER(MID($A70,FIND(CHAR(1),SUBSTITUTE($A70,".",CHAR(1),LEN($A70)-LEN(SUBSTITUTE($A70,".",""))))+1,LEN($A70)))))</f>
        <v/>
      </c>
      <c r="C70" s="35" t="str">
        <f aca="false">IF($B70="","",IFERROR(INDEX(Rubric!$B$15:$B$24,MATCH(LOWER($B70),Rubric!$A$15:$A$24,0)),INDEX(Rubric!$B$15:$B$24,MATCH("other",Rubric!$A$15:$A$24,0))))</f>
        <v/>
      </c>
      <c r="D70" s="26"/>
      <c r="E70" s="26"/>
      <c r="F70" s="26"/>
      <c r="G70" s="26"/>
      <c r="H70" s="26"/>
      <c r="I70" s="26"/>
      <c r="J70" s="26"/>
      <c r="K70" s="27"/>
      <c r="L70" s="27"/>
      <c r="M70" s="36" t="str">
        <f aca="false">IF($B70="","",IFERROR(INDEX(Rubric!$C$15:$C$24,MATCH(LOWER($B70),Rubric!$A$15:$A$24,0)),INDEX(Rubric!$C$15:$C$24,MATCH("other",Rubric!$A$15:$A$24,0))))</f>
        <v/>
      </c>
      <c r="N70" s="37" t="str">
        <f aca="false">IF(OR($A70="",$C70=""),"",$C70*Rubric!$B$5+$D70*Rubric!$B$6+$E70*Rubric!$B$7+$F70*Rubric!$B$8+$G70*Rubric!$B$9+$H70*Rubric!$B$10)</f>
        <v/>
      </c>
      <c r="O70" s="38" t="str">
        <f aca="false">IF($A70="","",IF(OR(UPPER($I70)="Y",UPPER($J70)="Y"),"FAIL","PASS"))</f>
        <v/>
      </c>
      <c r="P70" s="39" t="str">
        <f aca="false">IF(OR($A70="",$L70=""),"",MAX(0,$L70-MAX($L70*Assumptions!$B$4,Assumptions!$B$5)))</f>
        <v/>
      </c>
      <c r="Q70" s="40" t="str">
        <f aca="false">IF($A70="","",Assumptions!$B$13)</f>
        <v/>
      </c>
      <c r="R70" s="39" t="str">
        <f aca="false">IF(OR($A70="",$M70=""),"",$M70*Assumptions!$B$7)</f>
        <v/>
      </c>
      <c r="S70" s="39" t="str">
        <f aca="false">IF(OR($A70="",$P70="",$R70=""),"",MAX(0,$P70*$Q70-$R70))</f>
        <v/>
      </c>
      <c r="T70" s="38" t="str">
        <f aca="false">IF($A70="","",IF($O70="FAIL","REJECT",IF($N70&gt;=4,IF(AND($K70&lt;&gt;"",$K70&gt;$S70),"BUY IF CHEAPER","BUY"),IF($N70&gt;=3.2,"WATCH","PASS"))))</f>
        <v/>
      </c>
      <c r="U70" s="26"/>
      <c r="V70" s="33"/>
    </row>
    <row r="71" customFormat="false" ht="15" hidden="false" customHeight="true" outlineLevel="0" collapsed="false">
      <c r="A71" s="42"/>
      <c r="B71" s="34" t="str">
        <f aca="false">IF($A71="","",IF(ISERROR(FIND(".",$A71)),"",LOWER(MID($A71,FIND(CHAR(1),SUBSTITUTE($A71,".",CHAR(1),LEN($A71)-LEN(SUBSTITUTE($A71,".",""))))+1,LEN($A71)))))</f>
        <v/>
      </c>
      <c r="C71" s="35" t="str">
        <f aca="false">IF($B71="","",IFERROR(INDEX(Rubric!$B$15:$B$24,MATCH(LOWER($B71),Rubric!$A$15:$A$24,0)),INDEX(Rubric!$B$15:$B$24,MATCH("other",Rubric!$A$15:$A$24,0))))</f>
        <v/>
      </c>
      <c r="D71" s="26"/>
      <c r="E71" s="26"/>
      <c r="F71" s="26"/>
      <c r="G71" s="26"/>
      <c r="H71" s="26"/>
      <c r="I71" s="26"/>
      <c r="J71" s="26"/>
      <c r="K71" s="27"/>
      <c r="L71" s="27"/>
      <c r="M71" s="36" t="str">
        <f aca="false">IF($B71="","",IFERROR(INDEX(Rubric!$C$15:$C$24,MATCH(LOWER($B71),Rubric!$A$15:$A$24,0)),INDEX(Rubric!$C$15:$C$24,MATCH("other",Rubric!$A$15:$A$24,0))))</f>
        <v/>
      </c>
      <c r="N71" s="37" t="str">
        <f aca="false">IF(OR($A71="",$C71=""),"",$C71*Rubric!$B$5+$D71*Rubric!$B$6+$E71*Rubric!$B$7+$F71*Rubric!$B$8+$G71*Rubric!$B$9+$H71*Rubric!$B$10)</f>
        <v/>
      </c>
      <c r="O71" s="38" t="str">
        <f aca="false">IF($A71="","",IF(OR(UPPER($I71)="Y",UPPER($J71)="Y"),"FAIL","PASS"))</f>
        <v/>
      </c>
      <c r="P71" s="39" t="str">
        <f aca="false">IF(OR($A71="",$L71=""),"",MAX(0,$L71-MAX($L71*Assumptions!$B$4,Assumptions!$B$5)))</f>
        <v/>
      </c>
      <c r="Q71" s="40" t="str">
        <f aca="false">IF($A71="","",Assumptions!$B$13)</f>
        <v/>
      </c>
      <c r="R71" s="39" t="str">
        <f aca="false">IF(OR($A71="",$M71=""),"",$M71*Assumptions!$B$7)</f>
        <v/>
      </c>
      <c r="S71" s="39" t="str">
        <f aca="false">IF(OR($A71="",$P71="",$R71=""),"",MAX(0,$P71*$Q71-$R71))</f>
        <v/>
      </c>
      <c r="T71" s="38" t="str">
        <f aca="false">IF($A71="","",IF($O71="FAIL","REJECT",IF($N71&gt;=4,IF(AND($K71&lt;&gt;"",$K71&gt;$S71),"BUY IF CHEAPER","BUY"),IF($N71&gt;=3.2,"WATCH","PASS"))))</f>
        <v/>
      </c>
      <c r="U71" s="26"/>
      <c r="V71" s="33"/>
    </row>
    <row r="72" customFormat="false" ht="15" hidden="false" customHeight="true" outlineLevel="0" collapsed="false">
      <c r="A72" s="42"/>
      <c r="B72" s="34" t="str">
        <f aca="false">IF($A72="","",IF(ISERROR(FIND(".",$A72)),"",LOWER(MID($A72,FIND(CHAR(1),SUBSTITUTE($A72,".",CHAR(1),LEN($A72)-LEN(SUBSTITUTE($A72,".",""))))+1,LEN($A72)))))</f>
        <v/>
      </c>
      <c r="C72" s="35" t="str">
        <f aca="false">IF($B72="","",IFERROR(INDEX(Rubric!$B$15:$B$24,MATCH(LOWER($B72),Rubric!$A$15:$A$24,0)),INDEX(Rubric!$B$15:$B$24,MATCH("other",Rubric!$A$15:$A$24,0))))</f>
        <v/>
      </c>
      <c r="D72" s="26"/>
      <c r="E72" s="26"/>
      <c r="F72" s="26"/>
      <c r="G72" s="26"/>
      <c r="H72" s="26"/>
      <c r="I72" s="26"/>
      <c r="J72" s="26"/>
      <c r="K72" s="27"/>
      <c r="L72" s="27"/>
      <c r="M72" s="36" t="str">
        <f aca="false">IF($B72="","",IFERROR(INDEX(Rubric!$C$15:$C$24,MATCH(LOWER($B72),Rubric!$A$15:$A$24,0)),INDEX(Rubric!$C$15:$C$24,MATCH("other",Rubric!$A$15:$A$24,0))))</f>
        <v/>
      </c>
      <c r="N72" s="37" t="str">
        <f aca="false">IF(OR($A72="",$C72=""),"",$C72*Rubric!$B$5+$D72*Rubric!$B$6+$E72*Rubric!$B$7+$F72*Rubric!$B$8+$G72*Rubric!$B$9+$H72*Rubric!$B$10)</f>
        <v/>
      </c>
      <c r="O72" s="38" t="str">
        <f aca="false">IF($A72="","",IF(OR(UPPER($I72)="Y",UPPER($J72)="Y"),"FAIL","PASS"))</f>
        <v/>
      </c>
      <c r="P72" s="39" t="str">
        <f aca="false">IF(OR($A72="",$L72=""),"",MAX(0,$L72-MAX($L72*Assumptions!$B$4,Assumptions!$B$5)))</f>
        <v/>
      </c>
      <c r="Q72" s="40" t="str">
        <f aca="false">IF($A72="","",Assumptions!$B$13)</f>
        <v/>
      </c>
      <c r="R72" s="39" t="str">
        <f aca="false">IF(OR($A72="",$M72=""),"",$M72*Assumptions!$B$7)</f>
        <v/>
      </c>
      <c r="S72" s="39" t="str">
        <f aca="false">IF(OR($A72="",$P72="",$R72=""),"",MAX(0,$P72*$Q72-$R72))</f>
        <v/>
      </c>
      <c r="T72" s="38" t="str">
        <f aca="false">IF($A72="","",IF($O72="FAIL","REJECT",IF($N72&gt;=4,IF(AND($K72&lt;&gt;"",$K72&gt;$S72),"BUY IF CHEAPER","BUY"),IF($N72&gt;=3.2,"WATCH","PASS"))))</f>
        <v/>
      </c>
      <c r="U72" s="26"/>
      <c r="V72" s="33"/>
    </row>
    <row r="73" customFormat="false" ht="15" hidden="false" customHeight="true" outlineLevel="0" collapsed="false">
      <c r="A73" s="42"/>
      <c r="B73" s="34" t="str">
        <f aca="false">IF($A73="","",IF(ISERROR(FIND(".",$A73)),"",LOWER(MID($A73,FIND(CHAR(1),SUBSTITUTE($A73,".",CHAR(1),LEN($A73)-LEN(SUBSTITUTE($A73,".",""))))+1,LEN($A73)))))</f>
        <v/>
      </c>
      <c r="C73" s="35" t="str">
        <f aca="false">IF($B73="","",IFERROR(INDEX(Rubric!$B$15:$B$24,MATCH(LOWER($B73),Rubric!$A$15:$A$24,0)),INDEX(Rubric!$B$15:$B$24,MATCH("other",Rubric!$A$15:$A$24,0))))</f>
        <v/>
      </c>
      <c r="D73" s="26"/>
      <c r="E73" s="26"/>
      <c r="F73" s="26"/>
      <c r="G73" s="26"/>
      <c r="H73" s="26"/>
      <c r="I73" s="26"/>
      <c r="J73" s="26"/>
      <c r="K73" s="27"/>
      <c r="L73" s="27"/>
      <c r="M73" s="36" t="str">
        <f aca="false">IF($B73="","",IFERROR(INDEX(Rubric!$C$15:$C$24,MATCH(LOWER($B73),Rubric!$A$15:$A$24,0)),INDEX(Rubric!$C$15:$C$24,MATCH("other",Rubric!$A$15:$A$24,0))))</f>
        <v/>
      </c>
      <c r="N73" s="37" t="str">
        <f aca="false">IF(OR($A73="",$C73=""),"",$C73*Rubric!$B$5+$D73*Rubric!$B$6+$E73*Rubric!$B$7+$F73*Rubric!$B$8+$G73*Rubric!$B$9+$H73*Rubric!$B$10)</f>
        <v/>
      </c>
      <c r="O73" s="38" t="str">
        <f aca="false">IF($A73="","",IF(OR(UPPER($I73)="Y",UPPER($J73)="Y"),"FAIL","PASS"))</f>
        <v/>
      </c>
      <c r="P73" s="39" t="str">
        <f aca="false">IF(OR($A73="",$L73=""),"",MAX(0,$L73-MAX($L73*Assumptions!$B$4,Assumptions!$B$5)))</f>
        <v/>
      </c>
      <c r="Q73" s="40" t="str">
        <f aca="false">IF($A73="","",Assumptions!$B$13)</f>
        <v/>
      </c>
      <c r="R73" s="39" t="str">
        <f aca="false">IF(OR($A73="",$M73=""),"",$M73*Assumptions!$B$7)</f>
        <v/>
      </c>
      <c r="S73" s="39" t="str">
        <f aca="false">IF(OR($A73="",$P73="",$R73=""),"",MAX(0,$P73*$Q73-$R73))</f>
        <v/>
      </c>
      <c r="T73" s="38" t="str">
        <f aca="false">IF($A73="","",IF($O73="FAIL","REJECT",IF($N73&gt;=4,IF(AND($K73&lt;&gt;"",$K73&gt;$S73),"BUY IF CHEAPER","BUY"),IF($N73&gt;=3.2,"WATCH","PASS"))))</f>
        <v/>
      </c>
      <c r="U73" s="26"/>
      <c r="V73" s="33"/>
    </row>
    <row r="74" customFormat="false" ht="15" hidden="false" customHeight="true" outlineLevel="0" collapsed="false">
      <c r="A74" s="42"/>
      <c r="B74" s="34" t="str">
        <f aca="false">IF($A74="","",IF(ISERROR(FIND(".",$A74)),"",LOWER(MID($A74,FIND(CHAR(1),SUBSTITUTE($A74,".",CHAR(1),LEN($A74)-LEN(SUBSTITUTE($A74,".",""))))+1,LEN($A74)))))</f>
        <v/>
      </c>
      <c r="C74" s="35" t="str">
        <f aca="false">IF($B74="","",IFERROR(INDEX(Rubric!$B$15:$B$24,MATCH(LOWER($B74),Rubric!$A$15:$A$24,0)),INDEX(Rubric!$B$15:$B$24,MATCH("other",Rubric!$A$15:$A$24,0))))</f>
        <v/>
      </c>
      <c r="D74" s="26"/>
      <c r="E74" s="26"/>
      <c r="F74" s="26"/>
      <c r="G74" s="26"/>
      <c r="H74" s="26"/>
      <c r="I74" s="26"/>
      <c r="J74" s="26"/>
      <c r="K74" s="27"/>
      <c r="L74" s="27"/>
      <c r="M74" s="36" t="str">
        <f aca="false">IF($B74="","",IFERROR(INDEX(Rubric!$C$15:$C$24,MATCH(LOWER($B74),Rubric!$A$15:$A$24,0)),INDEX(Rubric!$C$15:$C$24,MATCH("other",Rubric!$A$15:$A$24,0))))</f>
        <v/>
      </c>
      <c r="N74" s="37" t="str">
        <f aca="false">IF(OR($A74="",$C74=""),"",$C74*Rubric!$B$5+$D74*Rubric!$B$6+$E74*Rubric!$B$7+$F74*Rubric!$B$8+$G74*Rubric!$B$9+$H74*Rubric!$B$10)</f>
        <v/>
      </c>
      <c r="O74" s="38" t="str">
        <f aca="false">IF($A74="","",IF(OR(UPPER($I74)="Y",UPPER($J74)="Y"),"FAIL","PASS"))</f>
        <v/>
      </c>
      <c r="P74" s="39" t="str">
        <f aca="false">IF(OR($A74="",$L74=""),"",MAX(0,$L74-MAX($L74*Assumptions!$B$4,Assumptions!$B$5)))</f>
        <v/>
      </c>
      <c r="Q74" s="40" t="str">
        <f aca="false">IF($A74="","",Assumptions!$B$13)</f>
        <v/>
      </c>
      <c r="R74" s="39" t="str">
        <f aca="false">IF(OR($A74="",$M74=""),"",$M74*Assumptions!$B$7)</f>
        <v/>
      </c>
      <c r="S74" s="39" t="str">
        <f aca="false">IF(OR($A74="",$P74="",$R74=""),"",MAX(0,$P74*$Q74-$R74))</f>
        <v/>
      </c>
      <c r="T74" s="38" t="str">
        <f aca="false">IF($A74="","",IF($O74="FAIL","REJECT",IF($N74&gt;=4,IF(AND($K74&lt;&gt;"",$K74&gt;$S74),"BUY IF CHEAPER","BUY"),IF($N74&gt;=3.2,"WATCH","PASS"))))</f>
        <v/>
      </c>
      <c r="U74" s="26"/>
      <c r="V74" s="33"/>
    </row>
    <row r="75" customFormat="false" ht="15" hidden="false" customHeight="true" outlineLevel="0" collapsed="false">
      <c r="A75" s="42"/>
      <c r="B75" s="34" t="str">
        <f aca="false">IF($A75="","",IF(ISERROR(FIND(".",$A75)),"",LOWER(MID($A75,FIND(CHAR(1),SUBSTITUTE($A75,".",CHAR(1),LEN($A75)-LEN(SUBSTITUTE($A75,".",""))))+1,LEN($A75)))))</f>
        <v/>
      </c>
      <c r="C75" s="35" t="str">
        <f aca="false">IF($B75="","",IFERROR(INDEX(Rubric!$B$15:$B$24,MATCH(LOWER($B75),Rubric!$A$15:$A$24,0)),INDEX(Rubric!$B$15:$B$24,MATCH("other",Rubric!$A$15:$A$24,0))))</f>
        <v/>
      </c>
      <c r="D75" s="26"/>
      <c r="E75" s="26"/>
      <c r="F75" s="26"/>
      <c r="G75" s="26"/>
      <c r="H75" s="26"/>
      <c r="I75" s="26"/>
      <c r="J75" s="26"/>
      <c r="K75" s="27"/>
      <c r="L75" s="27"/>
      <c r="M75" s="36" t="str">
        <f aca="false">IF($B75="","",IFERROR(INDEX(Rubric!$C$15:$C$24,MATCH(LOWER($B75),Rubric!$A$15:$A$24,0)),INDEX(Rubric!$C$15:$C$24,MATCH("other",Rubric!$A$15:$A$24,0))))</f>
        <v/>
      </c>
      <c r="N75" s="37" t="str">
        <f aca="false">IF(OR($A75="",$C75=""),"",$C75*Rubric!$B$5+$D75*Rubric!$B$6+$E75*Rubric!$B$7+$F75*Rubric!$B$8+$G75*Rubric!$B$9+$H75*Rubric!$B$10)</f>
        <v/>
      </c>
      <c r="O75" s="38" t="str">
        <f aca="false">IF($A75="","",IF(OR(UPPER($I75)="Y",UPPER($J75)="Y"),"FAIL","PASS"))</f>
        <v/>
      </c>
      <c r="P75" s="39" t="str">
        <f aca="false">IF(OR($A75="",$L75=""),"",MAX(0,$L75-MAX($L75*Assumptions!$B$4,Assumptions!$B$5)))</f>
        <v/>
      </c>
      <c r="Q75" s="40" t="str">
        <f aca="false">IF($A75="","",Assumptions!$B$13)</f>
        <v/>
      </c>
      <c r="R75" s="39" t="str">
        <f aca="false">IF(OR($A75="",$M75=""),"",$M75*Assumptions!$B$7)</f>
        <v/>
      </c>
      <c r="S75" s="39" t="str">
        <f aca="false">IF(OR($A75="",$P75="",$R75=""),"",MAX(0,$P75*$Q75-$R75))</f>
        <v/>
      </c>
      <c r="T75" s="38" t="str">
        <f aca="false">IF($A75="","",IF($O75="FAIL","REJECT",IF($N75&gt;=4,IF(AND($K75&lt;&gt;"",$K75&gt;$S75),"BUY IF CHEAPER","BUY"),IF($N75&gt;=3.2,"WATCH","PASS"))))</f>
        <v/>
      </c>
      <c r="U75" s="26"/>
      <c r="V75" s="33"/>
    </row>
    <row r="76" customFormat="false" ht="15" hidden="false" customHeight="true" outlineLevel="0" collapsed="false">
      <c r="A76" s="42"/>
      <c r="B76" s="34" t="str">
        <f aca="false">IF($A76="","",IF(ISERROR(FIND(".",$A76)),"",LOWER(MID($A76,FIND(CHAR(1),SUBSTITUTE($A76,".",CHAR(1),LEN($A76)-LEN(SUBSTITUTE($A76,".",""))))+1,LEN($A76)))))</f>
        <v/>
      </c>
      <c r="C76" s="35" t="str">
        <f aca="false">IF($B76="","",IFERROR(INDEX(Rubric!$B$15:$B$24,MATCH(LOWER($B76),Rubric!$A$15:$A$24,0)),INDEX(Rubric!$B$15:$B$24,MATCH("other",Rubric!$A$15:$A$24,0))))</f>
        <v/>
      </c>
      <c r="D76" s="26"/>
      <c r="E76" s="26"/>
      <c r="F76" s="26"/>
      <c r="G76" s="26"/>
      <c r="H76" s="26"/>
      <c r="I76" s="26"/>
      <c r="J76" s="26"/>
      <c r="K76" s="27"/>
      <c r="L76" s="27"/>
      <c r="M76" s="36" t="str">
        <f aca="false">IF($B76="","",IFERROR(INDEX(Rubric!$C$15:$C$24,MATCH(LOWER($B76),Rubric!$A$15:$A$24,0)),INDEX(Rubric!$C$15:$C$24,MATCH("other",Rubric!$A$15:$A$24,0))))</f>
        <v/>
      </c>
      <c r="N76" s="37" t="str">
        <f aca="false">IF(OR($A76="",$C76=""),"",$C76*Rubric!$B$5+$D76*Rubric!$B$6+$E76*Rubric!$B$7+$F76*Rubric!$B$8+$G76*Rubric!$B$9+$H76*Rubric!$B$10)</f>
        <v/>
      </c>
      <c r="O76" s="38" t="str">
        <f aca="false">IF($A76="","",IF(OR(UPPER($I76)="Y",UPPER($J76)="Y"),"FAIL","PASS"))</f>
        <v/>
      </c>
      <c r="P76" s="39" t="str">
        <f aca="false">IF(OR($A76="",$L76=""),"",MAX(0,$L76-MAX($L76*Assumptions!$B$4,Assumptions!$B$5)))</f>
        <v/>
      </c>
      <c r="Q76" s="40" t="str">
        <f aca="false">IF($A76="","",Assumptions!$B$13)</f>
        <v/>
      </c>
      <c r="R76" s="39" t="str">
        <f aca="false">IF(OR($A76="",$M76=""),"",$M76*Assumptions!$B$7)</f>
        <v/>
      </c>
      <c r="S76" s="39" t="str">
        <f aca="false">IF(OR($A76="",$P76="",$R76=""),"",MAX(0,$P76*$Q76-$R76))</f>
        <v/>
      </c>
      <c r="T76" s="38" t="str">
        <f aca="false">IF($A76="","",IF($O76="FAIL","REJECT",IF($N76&gt;=4,IF(AND($K76&lt;&gt;"",$K76&gt;$S76),"BUY IF CHEAPER","BUY"),IF($N76&gt;=3.2,"WATCH","PASS"))))</f>
        <v/>
      </c>
      <c r="U76" s="26"/>
      <c r="V76" s="33"/>
    </row>
    <row r="77" customFormat="false" ht="15" hidden="false" customHeight="true" outlineLevel="0" collapsed="false">
      <c r="A77" s="42"/>
      <c r="B77" s="34" t="str">
        <f aca="false">IF($A77="","",IF(ISERROR(FIND(".",$A77)),"",LOWER(MID($A77,FIND(CHAR(1),SUBSTITUTE($A77,".",CHAR(1),LEN($A77)-LEN(SUBSTITUTE($A77,".",""))))+1,LEN($A77)))))</f>
        <v/>
      </c>
      <c r="C77" s="35" t="str">
        <f aca="false">IF($B77="","",IFERROR(INDEX(Rubric!$B$15:$B$24,MATCH(LOWER($B77),Rubric!$A$15:$A$24,0)),INDEX(Rubric!$B$15:$B$24,MATCH("other",Rubric!$A$15:$A$24,0))))</f>
        <v/>
      </c>
      <c r="D77" s="26"/>
      <c r="E77" s="26"/>
      <c r="F77" s="26"/>
      <c r="G77" s="26"/>
      <c r="H77" s="26"/>
      <c r="I77" s="26"/>
      <c r="J77" s="26"/>
      <c r="K77" s="27"/>
      <c r="L77" s="27"/>
      <c r="M77" s="36" t="str">
        <f aca="false">IF($B77="","",IFERROR(INDEX(Rubric!$C$15:$C$24,MATCH(LOWER($B77),Rubric!$A$15:$A$24,0)),INDEX(Rubric!$C$15:$C$24,MATCH("other",Rubric!$A$15:$A$24,0))))</f>
        <v/>
      </c>
      <c r="N77" s="37" t="str">
        <f aca="false">IF(OR($A77="",$C77=""),"",$C77*Rubric!$B$5+$D77*Rubric!$B$6+$E77*Rubric!$B$7+$F77*Rubric!$B$8+$G77*Rubric!$B$9+$H77*Rubric!$B$10)</f>
        <v/>
      </c>
      <c r="O77" s="38" t="str">
        <f aca="false">IF($A77="","",IF(OR(UPPER($I77)="Y",UPPER($J77)="Y"),"FAIL","PASS"))</f>
        <v/>
      </c>
      <c r="P77" s="39" t="str">
        <f aca="false">IF(OR($A77="",$L77=""),"",MAX(0,$L77-MAX($L77*Assumptions!$B$4,Assumptions!$B$5)))</f>
        <v/>
      </c>
      <c r="Q77" s="40" t="str">
        <f aca="false">IF($A77="","",Assumptions!$B$13)</f>
        <v/>
      </c>
      <c r="R77" s="39" t="str">
        <f aca="false">IF(OR($A77="",$M77=""),"",$M77*Assumptions!$B$7)</f>
        <v/>
      </c>
      <c r="S77" s="39" t="str">
        <f aca="false">IF(OR($A77="",$P77="",$R77=""),"",MAX(0,$P77*$Q77-$R77))</f>
        <v/>
      </c>
      <c r="T77" s="38" t="str">
        <f aca="false">IF($A77="","",IF($O77="FAIL","REJECT",IF($N77&gt;=4,IF(AND($K77&lt;&gt;"",$K77&gt;$S77),"BUY IF CHEAPER","BUY"),IF($N77&gt;=3.2,"WATCH","PASS"))))</f>
        <v/>
      </c>
      <c r="U77" s="26"/>
      <c r="V77" s="33"/>
    </row>
    <row r="78" customFormat="false" ht="15" hidden="false" customHeight="true" outlineLevel="0" collapsed="false">
      <c r="A78" s="42"/>
      <c r="B78" s="34" t="str">
        <f aca="false">IF($A78="","",IF(ISERROR(FIND(".",$A78)),"",LOWER(MID($A78,FIND(CHAR(1),SUBSTITUTE($A78,".",CHAR(1),LEN($A78)-LEN(SUBSTITUTE($A78,".",""))))+1,LEN($A78)))))</f>
        <v/>
      </c>
      <c r="C78" s="35" t="str">
        <f aca="false">IF($B78="","",IFERROR(INDEX(Rubric!$B$15:$B$24,MATCH(LOWER($B78),Rubric!$A$15:$A$24,0)),INDEX(Rubric!$B$15:$B$24,MATCH("other",Rubric!$A$15:$A$24,0))))</f>
        <v/>
      </c>
      <c r="D78" s="26"/>
      <c r="E78" s="26"/>
      <c r="F78" s="26"/>
      <c r="G78" s="26"/>
      <c r="H78" s="26"/>
      <c r="I78" s="26"/>
      <c r="J78" s="26"/>
      <c r="K78" s="27"/>
      <c r="L78" s="27"/>
      <c r="M78" s="36" t="str">
        <f aca="false">IF($B78="","",IFERROR(INDEX(Rubric!$C$15:$C$24,MATCH(LOWER($B78),Rubric!$A$15:$A$24,0)),INDEX(Rubric!$C$15:$C$24,MATCH("other",Rubric!$A$15:$A$24,0))))</f>
        <v/>
      </c>
      <c r="N78" s="37" t="str">
        <f aca="false">IF(OR($A78="",$C78=""),"",$C78*Rubric!$B$5+$D78*Rubric!$B$6+$E78*Rubric!$B$7+$F78*Rubric!$B$8+$G78*Rubric!$B$9+$H78*Rubric!$B$10)</f>
        <v/>
      </c>
      <c r="O78" s="38" t="str">
        <f aca="false">IF($A78="","",IF(OR(UPPER($I78)="Y",UPPER($J78)="Y"),"FAIL","PASS"))</f>
        <v/>
      </c>
      <c r="P78" s="39" t="str">
        <f aca="false">IF(OR($A78="",$L78=""),"",MAX(0,$L78-MAX($L78*Assumptions!$B$4,Assumptions!$B$5)))</f>
        <v/>
      </c>
      <c r="Q78" s="40" t="str">
        <f aca="false">IF($A78="","",Assumptions!$B$13)</f>
        <v/>
      </c>
      <c r="R78" s="39" t="str">
        <f aca="false">IF(OR($A78="",$M78=""),"",$M78*Assumptions!$B$7)</f>
        <v/>
      </c>
      <c r="S78" s="39" t="str">
        <f aca="false">IF(OR($A78="",$P78="",$R78=""),"",MAX(0,$P78*$Q78-$R78))</f>
        <v/>
      </c>
      <c r="T78" s="38" t="str">
        <f aca="false">IF($A78="","",IF($O78="FAIL","REJECT",IF($N78&gt;=4,IF(AND($K78&lt;&gt;"",$K78&gt;$S78),"BUY IF CHEAPER","BUY"),IF($N78&gt;=3.2,"WATCH","PASS"))))</f>
        <v/>
      </c>
      <c r="U78" s="26"/>
      <c r="V78" s="33"/>
    </row>
    <row r="79" customFormat="false" ht="15" hidden="false" customHeight="true" outlineLevel="0" collapsed="false">
      <c r="A79" s="42"/>
      <c r="B79" s="34" t="str">
        <f aca="false">IF($A79="","",IF(ISERROR(FIND(".",$A79)),"",LOWER(MID($A79,FIND(CHAR(1),SUBSTITUTE($A79,".",CHAR(1),LEN($A79)-LEN(SUBSTITUTE($A79,".",""))))+1,LEN($A79)))))</f>
        <v/>
      </c>
      <c r="C79" s="35" t="str">
        <f aca="false">IF($B79="","",IFERROR(INDEX(Rubric!$B$15:$B$24,MATCH(LOWER($B79),Rubric!$A$15:$A$24,0)),INDEX(Rubric!$B$15:$B$24,MATCH("other",Rubric!$A$15:$A$24,0))))</f>
        <v/>
      </c>
      <c r="D79" s="26"/>
      <c r="E79" s="26"/>
      <c r="F79" s="26"/>
      <c r="G79" s="26"/>
      <c r="H79" s="26"/>
      <c r="I79" s="26"/>
      <c r="J79" s="26"/>
      <c r="K79" s="27"/>
      <c r="L79" s="27"/>
      <c r="M79" s="36" t="str">
        <f aca="false">IF($B79="","",IFERROR(INDEX(Rubric!$C$15:$C$24,MATCH(LOWER($B79),Rubric!$A$15:$A$24,0)),INDEX(Rubric!$C$15:$C$24,MATCH("other",Rubric!$A$15:$A$24,0))))</f>
        <v/>
      </c>
      <c r="N79" s="37" t="str">
        <f aca="false">IF(OR($A79="",$C79=""),"",$C79*Rubric!$B$5+$D79*Rubric!$B$6+$E79*Rubric!$B$7+$F79*Rubric!$B$8+$G79*Rubric!$B$9+$H79*Rubric!$B$10)</f>
        <v/>
      </c>
      <c r="O79" s="38" t="str">
        <f aca="false">IF($A79="","",IF(OR(UPPER($I79)="Y",UPPER($J79)="Y"),"FAIL","PASS"))</f>
        <v/>
      </c>
      <c r="P79" s="39" t="str">
        <f aca="false">IF(OR($A79="",$L79=""),"",MAX(0,$L79-MAX($L79*Assumptions!$B$4,Assumptions!$B$5)))</f>
        <v/>
      </c>
      <c r="Q79" s="40" t="str">
        <f aca="false">IF($A79="","",Assumptions!$B$13)</f>
        <v/>
      </c>
      <c r="R79" s="39" t="str">
        <f aca="false">IF(OR($A79="",$M79=""),"",$M79*Assumptions!$B$7)</f>
        <v/>
      </c>
      <c r="S79" s="39" t="str">
        <f aca="false">IF(OR($A79="",$P79="",$R79=""),"",MAX(0,$P79*$Q79-$R79))</f>
        <v/>
      </c>
      <c r="T79" s="38" t="str">
        <f aca="false">IF($A79="","",IF($O79="FAIL","REJECT",IF($N79&gt;=4,IF(AND($K79&lt;&gt;"",$K79&gt;$S79),"BUY IF CHEAPER","BUY"),IF($N79&gt;=3.2,"WATCH","PASS"))))</f>
        <v/>
      </c>
      <c r="U79" s="26"/>
      <c r="V79" s="33"/>
    </row>
    <row r="80" customFormat="false" ht="15" hidden="false" customHeight="true" outlineLevel="0" collapsed="false">
      <c r="A80" s="42"/>
      <c r="B80" s="34" t="str">
        <f aca="false">IF($A80="","",IF(ISERROR(FIND(".",$A80)),"",LOWER(MID($A80,FIND(CHAR(1),SUBSTITUTE($A80,".",CHAR(1),LEN($A80)-LEN(SUBSTITUTE($A80,".",""))))+1,LEN($A80)))))</f>
        <v/>
      </c>
      <c r="C80" s="35" t="str">
        <f aca="false">IF($B80="","",IFERROR(INDEX(Rubric!$B$15:$B$24,MATCH(LOWER($B80),Rubric!$A$15:$A$24,0)),INDEX(Rubric!$B$15:$B$24,MATCH("other",Rubric!$A$15:$A$24,0))))</f>
        <v/>
      </c>
      <c r="D80" s="26"/>
      <c r="E80" s="26"/>
      <c r="F80" s="26"/>
      <c r="G80" s="26"/>
      <c r="H80" s="26"/>
      <c r="I80" s="26"/>
      <c r="J80" s="26"/>
      <c r="K80" s="27"/>
      <c r="L80" s="27"/>
      <c r="M80" s="36" t="str">
        <f aca="false">IF($B80="","",IFERROR(INDEX(Rubric!$C$15:$C$24,MATCH(LOWER($B80),Rubric!$A$15:$A$24,0)),INDEX(Rubric!$C$15:$C$24,MATCH("other",Rubric!$A$15:$A$24,0))))</f>
        <v/>
      </c>
      <c r="N80" s="37" t="str">
        <f aca="false">IF(OR($A80="",$C80=""),"",$C80*Rubric!$B$5+$D80*Rubric!$B$6+$E80*Rubric!$B$7+$F80*Rubric!$B$8+$G80*Rubric!$B$9+$H80*Rubric!$B$10)</f>
        <v/>
      </c>
      <c r="O80" s="38" t="str">
        <f aca="false">IF($A80="","",IF(OR(UPPER($I80)="Y",UPPER($J80)="Y"),"FAIL","PASS"))</f>
        <v/>
      </c>
      <c r="P80" s="39" t="str">
        <f aca="false">IF(OR($A80="",$L80=""),"",MAX(0,$L80-MAX($L80*Assumptions!$B$4,Assumptions!$B$5)))</f>
        <v/>
      </c>
      <c r="Q80" s="40" t="str">
        <f aca="false">IF($A80="","",Assumptions!$B$13)</f>
        <v/>
      </c>
      <c r="R80" s="39" t="str">
        <f aca="false">IF(OR($A80="",$M80=""),"",$M80*Assumptions!$B$7)</f>
        <v/>
      </c>
      <c r="S80" s="39" t="str">
        <f aca="false">IF(OR($A80="",$P80="",$R80=""),"",MAX(0,$P80*$Q80-$R80))</f>
        <v/>
      </c>
      <c r="T80" s="38" t="str">
        <f aca="false">IF($A80="","",IF($O80="FAIL","REJECT",IF($N80&gt;=4,IF(AND($K80&lt;&gt;"",$K80&gt;$S80),"BUY IF CHEAPER","BUY"),IF($N80&gt;=3.2,"WATCH","PASS"))))</f>
        <v/>
      </c>
      <c r="U80" s="26"/>
      <c r="V80" s="33"/>
    </row>
    <row r="81" customFormat="false" ht="15" hidden="false" customHeight="true" outlineLevel="0" collapsed="false">
      <c r="A81" s="42"/>
      <c r="B81" s="34" t="str">
        <f aca="false">IF($A81="","",IF(ISERROR(FIND(".",$A81)),"",LOWER(MID($A81,FIND(CHAR(1),SUBSTITUTE($A81,".",CHAR(1),LEN($A81)-LEN(SUBSTITUTE($A81,".",""))))+1,LEN($A81)))))</f>
        <v/>
      </c>
      <c r="C81" s="35" t="str">
        <f aca="false">IF($B81="","",IFERROR(INDEX(Rubric!$B$15:$B$24,MATCH(LOWER($B81),Rubric!$A$15:$A$24,0)),INDEX(Rubric!$B$15:$B$24,MATCH("other",Rubric!$A$15:$A$24,0))))</f>
        <v/>
      </c>
      <c r="D81" s="26"/>
      <c r="E81" s="26"/>
      <c r="F81" s="26"/>
      <c r="G81" s="26"/>
      <c r="H81" s="26"/>
      <c r="I81" s="26"/>
      <c r="J81" s="26"/>
      <c r="K81" s="27"/>
      <c r="L81" s="27"/>
      <c r="M81" s="36" t="str">
        <f aca="false">IF($B81="","",IFERROR(INDEX(Rubric!$C$15:$C$24,MATCH(LOWER($B81),Rubric!$A$15:$A$24,0)),INDEX(Rubric!$C$15:$C$24,MATCH("other",Rubric!$A$15:$A$24,0))))</f>
        <v/>
      </c>
      <c r="N81" s="37" t="str">
        <f aca="false">IF(OR($A81="",$C81=""),"",$C81*Rubric!$B$5+$D81*Rubric!$B$6+$E81*Rubric!$B$7+$F81*Rubric!$B$8+$G81*Rubric!$B$9+$H81*Rubric!$B$10)</f>
        <v/>
      </c>
      <c r="O81" s="38" t="str">
        <f aca="false">IF($A81="","",IF(OR(UPPER($I81)="Y",UPPER($J81)="Y"),"FAIL","PASS"))</f>
        <v/>
      </c>
      <c r="P81" s="39" t="str">
        <f aca="false">IF(OR($A81="",$L81=""),"",MAX(0,$L81-MAX($L81*Assumptions!$B$4,Assumptions!$B$5)))</f>
        <v/>
      </c>
      <c r="Q81" s="40" t="str">
        <f aca="false">IF($A81="","",Assumptions!$B$13)</f>
        <v/>
      </c>
      <c r="R81" s="39" t="str">
        <f aca="false">IF(OR($A81="",$M81=""),"",$M81*Assumptions!$B$7)</f>
        <v/>
      </c>
      <c r="S81" s="39" t="str">
        <f aca="false">IF(OR($A81="",$P81="",$R81=""),"",MAX(0,$P81*$Q81-$R81))</f>
        <v/>
      </c>
      <c r="T81" s="38" t="str">
        <f aca="false">IF($A81="","",IF($O81="FAIL","REJECT",IF($N81&gt;=4,IF(AND($K81&lt;&gt;"",$K81&gt;$S81),"BUY IF CHEAPER","BUY"),IF($N81&gt;=3.2,"WATCH","PASS"))))</f>
        <v/>
      </c>
      <c r="U81" s="26"/>
      <c r="V81" s="33"/>
    </row>
    <row r="82" customFormat="false" ht="15" hidden="false" customHeight="true" outlineLevel="0" collapsed="false">
      <c r="A82" s="42"/>
      <c r="B82" s="34" t="str">
        <f aca="false">IF($A82="","",IF(ISERROR(FIND(".",$A82)),"",LOWER(MID($A82,FIND(CHAR(1),SUBSTITUTE($A82,".",CHAR(1),LEN($A82)-LEN(SUBSTITUTE($A82,".",""))))+1,LEN($A82)))))</f>
        <v/>
      </c>
      <c r="C82" s="35" t="str">
        <f aca="false">IF($B82="","",IFERROR(INDEX(Rubric!$B$15:$B$24,MATCH(LOWER($B82),Rubric!$A$15:$A$24,0)),INDEX(Rubric!$B$15:$B$24,MATCH("other",Rubric!$A$15:$A$24,0))))</f>
        <v/>
      </c>
      <c r="D82" s="26"/>
      <c r="E82" s="26"/>
      <c r="F82" s="26"/>
      <c r="G82" s="26"/>
      <c r="H82" s="26"/>
      <c r="I82" s="26"/>
      <c r="J82" s="26"/>
      <c r="K82" s="27"/>
      <c r="L82" s="27"/>
      <c r="M82" s="36" t="str">
        <f aca="false">IF($B82="","",IFERROR(INDEX(Rubric!$C$15:$C$24,MATCH(LOWER($B82),Rubric!$A$15:$A$24,0)),INDEX(Rubric!$C$15:$C$24,MATCH("other",Rubric!$A$15:$A$24,0))))</f>
        <v/>
      </c>
      <c r="N82" s="37" t="str">
        <f aca="false">IF(OR($A82="",$C82=""),"",$C82*Rubric!$B$5+$D82*Rubric!$B$6+$E82*Rubric!$B$7+$F82*Rubric!$B$8+$G82*Rubric!$B$9+$H82*Rubric!$B$10)</f>
        <v/>
      </c>
      <c r="O82" s="38" t="str">
        <f aca="false">IF($A82="","",IF(OR(UPPER($I82)="Y",UPPER($J82)="Y"),"FAIL","PASS"))</f>
        <v/>
      </c>
      <c r="P82" s="39" t="str">
        <f aca="false">IF(OR($A82="",$L82=""),"",MAX(0,$L82-MAX($L82*Assumptions!$B$4,Assumptions!$B$5)))</f>
        <v/>
      </c>
      <c r="Q82" s="40" t="str">
        <f aca="false">IF($A82="","",Assumptions!$B$13)</f>
        <v/>
      </c>
      <c r="R82" s="39" t="str">
        <f aca="false">IF(OR($A82="",$M82=""),"",$M82*Assumptions!$B$7)</f>
        <v/>
      </c>
      <c r="S82" s="39" t="str">
        <f aca="false">IF(OR($A82="",$P82="",$R82=""),"",MAX(0,$P82*$Q82-$R82))</f>
        <v/>
      </c>
      <c r="T82" s="38" t="str">
        <f aca="false">IF($A82="","",IF($O82="FAIL","REJECT",IF($N82&gt;=4,IF(AND($K82&lt;&gt;"",$K82&gt;$S82),"BUY IF CHEAPER","BUY"),IF($N82&gt;=3.2,"WATCH","PASS"))))</f>
        <v/>
      </c>
      <c r="U82" s="26"/>
      <c r="V82" s="33"/>
    </row>
    <row r="83" customFormat="false" ht="15" hidden="false" customHeight="true" outlineLevel="0" collapsed="false">
      <c r="A83" s="42"/>
      <c r="B83" s="34" t="str">
        <f aca="false">IF($A83="","",IF(ISERROR(FIND(".",$A83)),"",LOWER(MID($A83,FIND(CHAR(1),SUBSTITUTE($A83,".",CHAR(1),LEN($A83)-LEN(SUBSTITUTE($A83,".",""))))+1,LEN($A83)))))</f>
        <v/>
      </c>
      <c r="C83" s="35" t="str">
        <f aca="false">IF($B83="","",IFERROR(INDEX(Rubric!$B$15:$B$24,MATCH(LOWER($B83),Rubric!$A$15:$A$24,0)),INDEX(Rubric!$B$15:$B$24,MATCH("other",Rubric!$A$15:$A$24,0))))</f>
        <v/>
      </c>
      <c r="D83" s="26"/>
      <c r="E83" s="26"/>
      <c r="F83" s="26"/>
      <c r="G83" s="26"/>
      <c r="H83" s="26"/>
      <c r="I83" s="26"/>
      <c r="J83" s="26"/>
      <c r="K83" s="27"/>
      <c r="L83" s="27"/>
      <c r="M83" s="36" t="str">
        <f aca="false">IF($B83="","",IFERROR(INDEX(Rubric!$C$15:$C$24,MATCH(LOWER($B83),Rubric!$A$15:$A$24,0)),INDEX(Rubric!$C$15:$C$24,MATCH("other",Rubric!$A$15:$A$24,0))))</f>
        <v/>
      </c>
      <c r="N83" s="37" t="str">
        <f aca="false">IF(OR($A83="",$C83=""),"",$C83*Rubric!$B$5+$D83*Rubric!$B$6+$E83*Rubric!$B$7+$F83*Rubric!$B$8+$G83*Rubric!$B$9+$H83*Rubric!$B$10)</f>
        <v/>
      </c>
      <c r="O83" s="38" t="str">
        <f aca="false">IF($A83="","",IF(OR(UPPER($I83)="Y",UPPER($J83)="Y"),"FAIL","PASS"))</f>
        <v/>
      </c>
      <c r="P83" s="39" t="str">
        <f aca="false">IF(OR($A83="",$L83=""),"",MAX(0,$L83-MAX($L83*Assumptions!$B$4,Assumptions!$B$5)))</f>
        <v/>
      </c>
      <c r="Q83" s="40" t="str">
        <f aca="false">IF($A83="","",Assumptions!$B$13)</f>
        <v/>
      </c>
      <c r="R83" s="39" t="str">
        <f aca="false">IF(OR($A83="",$M83=""),"",$M83*Assumptions!$B$7)</f>
        <v/>
      </c>
      <c r="S83" s="39" t="str">
        <f aca="false">IF(OR($A83="",$P83="",$R83=""),"",MAX(0,$P83*$Q83-$R83))</f>
        <v/>
      </c>
      <c r="T83" s="38" t="str">
        <f aca="false">IF($A83="","",IF($O83="FAIL","REJECT",IF($N83&gt;=4,IF(AND($K83&lt;&gt;"",$K83&gt;$S83),"BUY IF CHEAPER","BUY"),IF($N83&gt;=3.2,"WATCH","PASS"))))</f>
        <v/>
      </c>
      <c r="U83" s="26"/>
      <c r="V83" s="33"/>
    </row>
    <row r="84" customFormat="false" ht="15" hidden="false" customHeight="true" outlineLevel="0" collapsed="false">
      <c r="A84" s="42"/>
      <c r="B84" s="34" t="str">
        <f aca="false">IF($A84="","",IF(ISERROR(FIND(".",$A84)),"",LOWER(MID($A84,FIND(CHAR(1),SUBSTITUTE($A84,".",CHAR(1),LEN($A84)-LEN(SUBSTITUTE($A84,".",""))))+1,LEN($A84)))))</f>
        <v/>
      </c>
      <c r="C84" s="35" t="str">
        <f aca="false">IF($B84="","",IFERROR(INDEX(Rubric!$B$15:$B$24,MATCH(LOWER($B84),Rubric!$A$15:$A$24,0)),INDEX(Rubric!$B$15:$B$24,MATCH("other",Rubric!$A$15:$A$24,0))))</f>
        <v/>
      </c>
      <c r="D84" s="26"/>
      <c r="E84" s="26"/>
      <c r="F84" s="26"/>
      <c r="G84" s="26"/>
      <c r="H84" s="26"/>
      <c r="I84" s="26"/>
      <c r="J84" s="26"/>
      <c r="K84" s="27"/>
      <c r="L84" s="27"/>
      <c r="M84" s="36" t="str">
        <f aca="false">IF($B84="","",IFERROR(INDEX(Rubric!$C$15:$C$24,MATCH(LOWER($B84),Rubric!$A$15:$A$24,0)),INDEX(Rubric!$C$15:$C$24,MATCH("other",Rubric!$A$15:$A$24,0))))</f>
        <v/>
      </c>
      <c r="N84" s="37" t="str">
        <f aca="false">IF(OR($A84="",$C84=""),"",$C84*Rubric!$B$5+$D84*Rubric!$B$6+$E84*Rubric!$B$7+$F84*Rubric!$B$8+$G84*Rubric!$B$9+$H84*Rubric!$B$10)</f>
        <v/>
      </c>
      <c r="O84" s="38" t="str">
        <f aca="false">IF($A84="","",IF(OR(UPPER($I84)="Y",UPPER($J84)="Y"),"FAIL","PASS"))</f>
        <v/>
      </c>
      <c r="P84" s="39" t="str">
        <f aca="false">IF(OR($A84="",$L84=""),"",MAX(0,$L84-MAX($L84*Assumptions!$B$4,Assumptions!$B$5)))</f>
        <v/>
      </c>
      <c r="Q84" s="40" t="str">
        <f aca="false">IF($A84="","",Assumptions!$B$13)</f>
        <v/>
      </c>
      <c r="R84" s="39" t="str">
        <f aca="false">IF(OR($A84="",$M84=""),"",$M84*Assumptions!$B$7)</f>
        <v/>
      </c>
      <c r="S84" s="39" t="str">
        <f aca="false">IF(OR($A84="",$P84="",$R84=""),"",MAX(0,$P84*$Q84-$R84))</f>
        <v/>
      </c>
      <c r="T84" s="38" t="str">
        <f aca="false">IF($A84="","",IF($O84="FAIL","REJECT",IF($N84&gt;=4,IF(AND($K84&lt;&gt;"",$K84&gt;$S84),"BUY IF CHEAPER","BUY"),IF($N84&gt;=3.2,"WATCH","PASS"))))</f>
        <v/>
      </c>
      <c r="U84" s="26"/>
      <c r="V84" s="33"/>
    </row>
  </sheetData>
  <autoFilter ref="A4:V84"/>
  <mergeCells count="1">
    <mergeCell ref="A1: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11"/>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8" min="7" style="1" width="11"/>
    <col collapsed="false" customWidth="true" hidden="false" outlineLevel="0" max="10" min="9" style="1" width="14"/>
    <col collapsed="false" customWidth="true" hidden="false" outlineLevel="0" max="11" min="11" style="1" width="16"/>
    <col collapsed="false" customWidth="true" hidden="false" outlineLevel="0" max="13" min="12" style="1" width="15"/>
    <col collapsed="false" customWidth="true" hidden="false" outlineLevel="0" max="14" min="14" style="1" width="40"/>
  </cols>
  <sheetData>
    <row r="1" customFormat="false" ht="24" hidden="false" customHeight="true" outlineLevel="0" collapsed="false">
      <c r="A1" s="2" t="s">
        <v>282</v>
      </c>
      <c r="B1" s="2"/>
      <c r="C1" s="2"/>
      <c r="D1" s="2"/>
      <c r="E1" s="2"/>
      <c r="F1" s="2"/>
      <c r="G1" s="2"/>
      <c r="H1" s="2"/>
      <c r="I1" s="2"/>
      <c r="J1" s="2"/>
      <c r="K1" s="2"/>
      <c r="L1" s="2"/>
      <c r="M1" s="2"/>
      <c r="N1" s="2"/>
    </row>
    <row r="2" customFormat="false" ht="15" hidden="false" customHeight="true" outlineLevel="0" collapsed="false">
      <c r="A2" s="18" t="s">
        <v>283</v>
      </c>
    </row>
    <row r="4" customFormat="false" ht="42" hidden="false" customHeight="true" outlineLevel="0" collapsed="false">
      <c r="A4" s="8" t="s">
        <v>147</v>
      </c>
      <c r="B4" s="8" t="s">
        <v>148</v>
      </c>
      <c r="C4" s="8" t="s">
        <v>284</v>
      </c>
      <c r="D4" s="8" t="s">
        <v>285</v>
      </c>
      <c r="E4" s="8" t="s">
        <v>157</v>
      </c>
      <c r="F4" s="8" t="s">
        <v>159</v>
      </c>
      <c r="G4" s="8" t="s">
        <v>286</v>
      </c>
      <c r="H4" s="8" t="s">
        <v>287</v>
      </c>
      <c r="I4" s="8" t="s">
        <v>288</v>
      </c>
      <c r="J4" s="8" t="s">
        <v>289</v>
      </c>
      <c r="K4" s="8" t="s">
        <v>290</v>
      </c>
      <c r="L4" s="8" t="s">
        <v>291</v>
      </c>
      <c r="M4" s="8" t="s">
        <v>292</v>
      </c>
      <c r="N4" s="8" t="s">
        <v>167</v>
      </c>
    </row>
    <row r="5" customFormat="false" ht="15" hidden="false" customHeight="true" outlineLevel="0" collapsed="false">
      <c r="A5" s="43" t="s">
        <v>174</v>
      </c>
      <c r="B5" s="24" t="str">
        <f aca="false">IF($A5="","",IF(ISERROR(FIND(".",$A5)),"",LOWER(MID($A5,FIND(CHAR(1),SUBSTITUTE($A5,".",CHAR(1),LEN($A5)-LEN(SUBSTITUTE($A5,".",""))))+1,LEN($A5)))))</f>
        <v>com</v>
      </c>
      <c r="C5" s="44" t="s">
        <v>293</v>
      </c>
      <c r="D5" s="45" t="n">
        <v>45363</v>
      </c>
      <c r="E5" s="46" t="n">
        <v>2400</v>
      </c>
      <c r="F5" s="28" t="n">
        <f aca="false">IF($B5="","",IFERROR(INDEX(Rubric!$C$15:$C$24,MATCH(LOWER($B5),Rubric!$A$15:$A$24,0)),INDEX(Rubric!$C$15:$C$24,MATCH("other",Rubric!$A$15:$A$24,0))))</f>
        <v>11</v>
      </c>
      <c r="G5" s="29" t="n">
        <f aca="true">IF(OR($A5="",$D5=""),"",YEARFRAC($D5,TODAY()))</f>
        <v>2.39166666666667</v>
      </c>
      <c r="H5" s="47" t="n">
        <f aca="false">IF($G5="","",MAX(0,INT($G5)))</f>
        <v>2</v>
      </c>
      <c r="I5" s="31" t="n">
        <f aca="false">IF(OR($F5="",$H5=""),"",$F5*$H5)</f>
        <v>22</v>
      </c>
      <c r="J5" s="31" t="n">
        <f aca="false">IF(OR($A5="",$E5=""),"",$E5+IF($I5="",0,$I5))</f>
        <v>2422</v>
      </c>
      <c r="K5" s="31" t="n">
        <f aca="false">IF(OR($J5="",$J5=0),"",$J5/(1-Assumptions!$B$4))</f>
        <v>3027.5</v>
      </c>
      <c r="L5" s="31" t="n">
        <f aca="false">IF($K5="","",MAX($K5,$E5*Assumptions!$B$10))</f>
        <v>24000</v>
      </c>
      <c r="M5" s="46" t="n">
        <v>12000</v>
      </c>
      <c r="N5" s="48" t="s">
        <v>294</v>
      </c>
    </row>
    <row r="6" customFormat="false" ht="15" hidden="false" customHeight="true" outlineLevel="0" collapsed="false">
      <c r="A6" s="42"/>
      <c r="B6" s="34" t="str">
        <f aca="false">IF($A6="","",IF(ISERROR(FIND(".",$A6)),"",LOWER(MID($A6,FIND(CHAR(1),SUBSTITUTE($A6,".",CHAR(1),LEN($A6)-LEN(SUBSTITUTE($A6,".",""))))+1,LEN($A6)))))</f>
        <v/>
      </c>
      <c r="C6" s="26"/>
      <c r="D6" s="49"/>
      <c r="E6" s="27"/>
      <c r="F6" s="36" t="str">
        <f aca="false">IF($B6="","",IFERROR(INDEX(Rubric!$C$15:$C$24,MATCH(LOWER($B6),Rubric!$A$15:$A$24,0)),INDEX(Rubric!$C$15:$C$24,MATCH("other",Rubric!$A$15:$A$24,0))))</f>
        <v/>
      </c>
      <c r="G6" s="37" t="str">
        <f aca="true">IF(OR($A6="",$D6=""),"",YEARFRAC($D6,TODAY()))</f>
        <v/>
      </c>
      <c r="H6" s="50" t="str">
        <f aca="false">IF($G6="","",MAX(0,INT($G6)))</f>
        <v/>
      </c>
      <c r="I6" s="39" t="str">
        <f aca="false">IF(OR($F6="",$H6=""),"",$F6*$H6)</f>
        <v/>
      </c>
      <c r="J6" s="39" t="str">
        <f aca="false">IF(OR($A6="",$E6=""),"",$E6+IF($I6="",0,$I6))</f>
        <v/>
      </c>
      <c r="K6" s="39" t="str">
        <f aca="false">IF(OR($J6="",$J6=0),"",$J6/(1-Assumptions!$B$4))</f>
        <v/>
      </c>
      <c r="L6" s="39" t="str">
        <f aca="false">IF($K6="","",MAX($K6,$E6*Assumptions!$B$10))</f>
        <v/>
      </c>
      <c r="M6" s="27"/>
      <c r="N6" s="33"/>
    </row>
    <row r="7" customFormat="false" ht="15" hidden="false" customHeight="true" outlineLevel="0" collapsed="false">
      <c r="A7" s="42"/>
      <c r="B7" s="34" t="str">
        <f aca="false">IF($A7="","",IF(ISERROR(FIND(".",$A7)),"",LOWER(MID($A7,FIND(CHAR(1),SUBSTITUTE($A7,".",CHAR(1),LEN($A7)-LEN(SUBSTITUTE($A7,".",""))))+1,LEN($A7)))))</f>
        <v/>
      </c>
      <c r="C7" s="26"/>
      <c r="D7" s="49"/>
      <c r="E7" s="27"/>
      <c r="F7" s="36" t="str">
        <f aca="false">IF($B7="","",IFERROR(INDEX(Rubric!$C$15:$C$24,MATCH(LOWER($B7),Rubric!$A$15:$A$24,0)),INDEX(Rubric!$C$15:$C$24,MATCH("other",Rubric!$A$15:$A$24,0))))</f>
        <v/>
      </c>
      <c r="G7" s="37" t="str">
        <f aca="true">IF(OR($A7="",$D7=""),"",YEARFRAC($D7,TODAY()))</f>
        <v/>
      </c>
      <c r="H7" s="50" t="str">
        <f aca="false">IF($G7="","",MAX(0,INT($G7)))</f>
        <v/>
      </c>
      <c r="I7" s="39" t="str">
        <f aca="false">IF(OR($F7="",$H7=""),"",$F7*$H7)</f>
        <v/>
      </c>
      <c r="J7" s="39" t="str">
        <f aca="false">IF(OR($A7="",$E7=""),"",$E7+IF($I7="",0,$I7))</f>
        <v/>
      </c>
      <c r="K7" s="39" t="str">
        <f aca="false">IF(OR($J7="",$J7=0),"",$J7/(1-Assumptions!$B$4))</f>
        <v/>
      </c>
      <c r="L7" s="39" t="str">
        <f aca="false">IF($K7="","",MAX($K7,$E7*Assumptions!$B$10))</f>
        <v/>
      </c>
      <c r="M7" s="27"/>
      <c r="N7" s="33"/>
    </row>
    <row r="8" customFormat="false" ht="15" hidden="false" customHeight="true" outlineLevel="0" collapsed="false">
      <c r="A8" s="42"/>
      <c r="B8" s="34" t="str">
        <f aca="false">IF($A8="","",IF(ISERROR(FIND(".",$A8)),"",LOWER(MID($A8,FIND(CHAR(1),SUBSTITUTE($A8,".",CHAR(1),LEN($A8)-LEN(SUBSTITUTE($A8,".",""))))+1,LEN($A8)))))</f>
        <v/>
      </c>
      <c r="C8" s="26"/>
      <c r="D8" s="49"/>
      <c r="E8" s="27"/>
      <c r="F8" s="36" t="str">
        <f aca="false">IF($B8="","",IFERROR(INDEX(Rubric!$C$15:$C$24,MATCH(LOWER($B8),Rubric!$A$15:$A$24,0)),INDEX(Rubric!$C$15:$C$24,MATCH("other",Rubric!$A$15:$A$24,0))))</f>
        <v/>
      </c>
      <c r="G8" s="37" t="str">
        <f aca="true">IF(OR($A8="",$D8=""),"",YEARFRAC($D8,TODAY()))</f>
        <v/>
      </c>
      <c r="H8" s="50" t="str">
        <f aca="false">IF($G8="","",MAX(0,INT($G8)))</f>
        <v/>
      </c>
      <c r="I8" s="39" t="str">
        <f aca="false">IF(OR($F8="",$H8=""),"",$F8*$H8)</f>
        <v/>
      </c>
      <c r="J8" s="39" t="str">
        <f aca="false">IF(OR($A8="",$E8=""),"",$E8+IF($I8="",0,$I8))</f>
        <v/>
      </c>
      <c r="K8" s="39" t="str">
        <f aca="false">IF(OR($J8="",$J8=0),"",$J8/(1-Assumptions!$B$4))</f>
        <v/>
      </c>
      <c r="L8" s="39" t="str">
        <f aca="false">IF($K8="","",MAX($K8,$E8*Assumptions!$B$10))</f>
        <v/>
      </c>
      <c r="M8" s="27"/>
      <c r="N8" s="33"/>
    </row>
    <row r="9" customFormat="false" ht="15" hidden="false" customHeight="true" outlineLevel="0" collapsed="false">
      <c r="A9" s="42"/>
      <c r="B9" s="34" t="str">
        <f aca="false">IF($A9="","",IF(ISERROR(FIND(".",$A9)),"",LOWER(MID($A9,FIND(CHAR(1),SUBSTITUTE($A9,".",CHAR(1),LEN($A9)-LEN(SUBSTITUTE($A9,".",""))))+1,LEN($A9)))))</f>
        <v/>
      </c>
      <c r="C9" s="26"/>
      <c r="D9" s="49"/>
      <c r="E9" s="27"/>
      <c r="F9" s="36" t="str">
        <f aca="false">IF($B9="","",IFERROR(INDEX(Rubric!$C$15:$C$24,MATCH(LOWER($B9),Rubric!$A$15:$A$24,0)),INDEX(Rubric!$C$15:$C$24,MATCH("other",Rubric!$A$15:$A$24,0))))</f>
        <v/>
      </c>
      <c r="G9" s="37" t="str">
        <f aca="true">IF(OR($A9="",$D9=""),"",YEARFRAC($D9,TODAY()))</f>
        <v/>
      </c>
      <c r="H9" s="50" t="str">
        <f aca="false">IF($G9="","",MAX(0,INT($G9)))</f>
        <v/>
      </c>
      <c r="I9" s="39" t="str">
        <f aca="false">IF(OR($F9="",$H9=""),"",$F9*$H9)</f>
        <v/>
      </c>
      <c r="J9" s="39" t="str">
        <f aca="false">IF(OR($A9="",$E9=""),"",$E9+IF($I9="",0,$I9))</f>
        <v/>
      </c>
      <c r="K9" s="39" t="str">
        <f aca="false">IF(OR($J9="",$J9=0),"",$J9/(1-Assumptions!$B$4))</f>
        <v/>
      </c>
      <c r="L9" s="39" t="str">
        <f aca="false">IF($K9="","",MAX($K9,$E9*Assumptions!$B$10))</f>
        <v/>
      </c>
      <c r="M9" s="27"/>
      <c r="N9" s="33"/>
    </row>
    <row r="10" customFormat="false" ht="15" hidden="false" customHeight="true" outlineLevel="0" collapsed="false">
      <c r="A10" s="42"/>
      <c r="B10" s="34" t="str">
        <f aca="false">IF($A10="","",IF(ISERROR(FIND(".",$A10)),"",LOWER(MID($A10,FIND(CHAR(1),SUBSTITUTE($A10,".",CHAR(1),LEN($A10)-LEN(SUBSTITUTE($A10,".",""))))+1,LEN($A10)))))</f>
        <v/>
      </c>
      <c r="C10" s="26"/>
      <c r="D10" s="49"/>
      <c r="E10" s="27"/>
      <c r="F10" s="36" t="str">
        <f aca="false">IF($B10="","",IFERROR(INDEX(Rubric!$C$15:$C$24,MATCH(LOWER($B10),Rubric!$A$15:$A$24,0)),INDEX(Rubric!$C$15:$C$24,MATCH("other",Rubric!$A$15:$A$24,0))))</f>
        <v/>
      </c>
      <c r="G10" s="37" t="str">
        <f aca="true">IF(OR($A10="",$D10=""),"",YEARFRAC($D10,TODAY()))</f>
        <v/>
      </c>
      <c r="H10" s="50" t="str">
        <f aca="false">IF($G10="","",MAX(0,INT($G10)))</f>
        <v/>
      </c>
      <c r="I10" s="39" t="str">
        <f aca="false">IF(OR($F10="",$H10=""),"",$F10*$H10)</f>
        <v/>
      </c>
      <c r="J10" s="39" t="str">
        <f aca="false">IF(OR($A10="",$E10=""),"",$E10+IF($I10="",0,$I10))</f>
        <v/>
      </c>
      <c r="K10" s="39" t="str">
        <f aca="false">IF(OR($J10="",$J10=0),"",$J10/(1-Assumptions!$B$4))</f>
        <v/>
      </c>
      <c r="L10" s="39" t="str">
        <f aca="false">IF($K10="","",MAX($K10,$E10*Assumptions!$B$10))</f>
        <v/>
      </c>
      <c r="M10" s="27"/>
      <c r="N10" s="33"/>
    </row>
    <row r="11" customFormat="false" ht="15" hidden="false" customHeight="true" outlineLevel="0" collapsed="false">
      <c r="A11" s="42"/>
      <c r="B11" s="34" t="str">
        <f aca="false">IF($A11="","",IF(ISERROR(FIND(".",$A11)),"",LOWER(MID($A11,FIND(CHAR(1),SUBSTITUTE($A11,".",CHAR(1),LEN($A11)-LEN(SUBSTITUTE($A11,".",""))))+1,LEN($A11)))))</f>
        <v/>
      </c>
      <c r="C11" s="26"/>
      <c r="D11" s="49"/>
      <c r="E11" s="27"/>
      <c r="F11" s="36" t="str">
        <f aca="false">IF($B11="","",IFERROR(INDEX(Rubric!$C$15:$C$24,MATCH(LOWER($B11),Rubric!$A$15:$A$24,0)),INDEX(Rubric!$C$15:$C$24,MATCH("other",Rubric!$A$15:$A$24,0))))</f>
        <v/>
      </c>
      <c r="G11" s="37" t="str">
        <f aca="true">IF(OR($A11="",$D11=""),"",YEARFRAC($D11,TODAY()))</f>
        <v/>
      </c>
      <c r="H11" s="50" t="str">
        <f aca="false">IF($G11="","",MAX(0,INT($G11)))</f>
        <v/>
      </c>
      <c r="I11" s="39" t="str">
        <f aca="false">IF(OR($F11="",$H11=""),"",$F11*$H11)</f>
        <v/>
      </c>
      <c r="J11" s="39" t="str">
        <f aca="false">IF(OR($A11="",$E11=""),"",$E11+IF($I11="",0,$I11))</f>
        <v/>
      </c>
      <c r="K11" s="39" t="str">
        <f aca="false">IF(OR($J11="",$J11=0),"",$J11/(1-Assumptions!$B$4))</f>
        <v/>
      </c>
      <c r="L11" s="39" t="str">
        <f aca="false">IF($K11="","",MAX($K11,$E11*Assumptions!$B$10))</f>
        <v/>
      </c>
      <c r="M11" s="27"/>
      <c r="N11" s="33"/>
    </row>
    <row r="12" customFormat="false" ht="15" hidden="false" customHeight="true" outlineLevel="0" collapsed="false">
      <c r="A12" s="42"/>
      <c r="B12" s="34" t="str">
        <f aca="false">IF($A12="","",IF(ISERROR(FIND(".",$A12)),"",LOWER(MID($A12,FIND(CHAR(1),SUBSTITUTE($A12,".",CHAR(1),LEN($A12)-LEN(SUBSTITUTE($A12,".",""))))+1,LEN($A12)))))</f>
        <v/>
      </c>
      <c r="C12" s="26"/>
      <c r="D12" s="49"/>
      <c r="E12" s="27"/>
      <c r="F12" s="36" t="str">
        <f aca="false">IF($B12="","",IFERROR(INDEX(Rubric!$C$15:$C$24,MATCH(LOWER($B12),Rubric!$A$15:$A$24,0)),INDEX(Rubric!$C$15:$C$24,MATCH("other",Rubric!$A$15:$A$24,0))))</f>
        <v/>
      </c>
      <c r="G12" s="37" t="str">
        <f aca="true">IF(OR($A12="",$D12=""),"",YEARFRAC($D12,TODAY()))</f>
        <v/>
      </c>
      <c r="H12" s="50" t="str">
        <f aca="false">IF($G12="","",MAX(0,INT($G12)))</f>
        <v/>
      </c>
      <c r="I12" s="39" t="str">
        <f aca="false">IF(OR($F12="",$H12=""),"",$F12*$H12)</f>
        <v/>
      </c>
      <c r="J12" s="39" t="str">
        <f aca="false">IF(OR($A12="",$E12=""),"",$E12+IF($I12="",0,$I12))</f>
        <v/>
      </c>
      <c r="K12" s="39" t="str">
        <f aca="false">IF(OR($J12="",$J12=0),"",$J12/(1-Assumptions!$B$4))</f>
        <v/>
      </c>
      <c r="L12" s="39" t="str">
        <f aca="false">IF($K12="","",MAX($K12,$E12*Assumptions!$B$10))</f>
        <v/>
      </c>
      <c r="M12" s="27"/>
      <c r="N12" s="33"/>
    </row>
    <row r="13" customFormat="false" ht="15" hidden="false" customHeight="true" outlineLevel="0" collapsed="false">
      <c r="A13" s="42"/>
      <c r="B13" s="34" t="str">
        <f aca="false">IF($A13="","",IF(ISERROR(FIND(".",$A13)),"",LOWER(MID($A13,FIND(CHAR(1),SUBSTITUTE($A13,".",CHAR(1),LEN($A13)-LEN(SUBSTITUTE($A13,".",""))))+1,LEN($A13)))))</f>
        <v/>
      </c>
      <c r="C13" s="26"/>
      <c r="D13" s="49"/>
      <c r="E13" s="27"/>
      <c r="F13" s="36" t="str">
        <f aca="false">IF($B13="","",IFERROR(INDEX(Rubric!$C$15:$C$24,MATCH(LOWER($B13),Rubric!$A$15:$A$24,0)),INDEX(Rubric!$C$15:$C$24,MATCH("other",Rubric!$A$15:$A$24,0))))</f>
        <v/>
      </c>
      <c r="G13" s="37" t="str">
        <f aca="true">IF(OR($A13="",$D13=""),"",YEARFRAC($D13,TODAY()))</f>
        <v/>
      </c>
      <c r="H13" s="50" t="str">
        <f aca="false">IF($G13="","",MAX(0,INT($G13)))</f>
        <v/>
      </c>
      <c r="I13" s="39" t="str">
        <f aca="false">IF(OR($F13="",$H13=""),"",$F13*$H13)</f>
        <v/>
      </c>
      <c r="J13" s="39" t="str">
        <f aca="false">IF(OR($A13="",$E13=""),"",$E13+IF($I13="",0,$I13))</f>
        <v/>
      </c>
      <c r="K13" s="39" t="str">
        <f aca="false">IF(OR($J13="",$J13=0),"",$J13/(1-Assumptions!$B$4))</f>
        <v/>
      </c>
      <c r="L13" s="39" t="str">
        <f aca="false">IF($K13="","",MAX($K13,$E13*Assumptions!$B$10))</f>
        <v/>
      </c>
      <c r="M13" s="27"/>
      <c r="N13" s="33"/>
    </row>
    <row r="14" customFormat="false" ht="15" hidden="false" customHeight="true" outlineLevel="0" collapsed="false">
      <c r="A14" s="42"/>
      <c r="B14" s="34" t="str">
        <f aca="false">IF($A14="","",IF(ISERROR(FIND(".",$A14)),"",LOWER(MID($A14,FIND(CHAR(1),SUBSTITUTE($A14,".",CHAR(1),LEN($A14)-LEN(SUBSTITUTE($A14,".",""))))+1,LEN($A14)))))</f>
        <v/>
      </c>
      <c r="C14" s="26"/>
      <c r="D14" s="49"/>
      <c r="E14" s="27"/>
      <c r="F14" s="36" t="str">
        <f aca="false">IF($B14="","",IFERROR(INDEX(Rubric!$C$15:$C$24,MATCH(LOWER($B14),Rubric!$A$15:$A$24,0)),INDEX(Rubric!$C$15:$C$24,MATCH("other",Rubric!$A$15:$A$24,0))))</f>
        <v/>
      </c>
      <c r="G14" s="37" t="str">
        <f aca="true">IF(OR($A14="",$D14=""),"",YEARFRAC($D14,TODAY()))</f>
        <v/>
      </c>
      <c r="H14" s="50" t="str">
        <f aca="false">IF($G14="","",MAX(0,INT($G14)))</f>
        <v/>
      </c>
      <c r="I14" s="39" t="str">
        <f aca="false">IF(OR($F14="",$H14=""),"",$F14*$H14)</f>
        <v/>
      </c>
      <c r="J14" s="39" t="str">
        <f aca="false">IF(OR($A14="",$E14=""),"",$E14+IF($I14="",0,$I14))</f>
        <v/>
      </c>
      <c r="K14" s="39" t="str">
        <f aca="false">IF(OR($J14="",$J14=0),"",$J14/(1-Assumptions!$B$4))</f>
        <v/>
      </c>
      <c r="L14" s="39" t="str">
        <f aca="false">IF($K14="","",MAX($K14,$E14*Assumptions!$B$10))</f>
        <v/>
      </c>
      <c r="M14" s="27"/>
      <c r="N14" s="33"/>
    </row>
    <row r="15" customFormat="false" ht="15" hidden="false" customHeight="true" outlineLevel="0" collapsed="false">
      <c r="A15" s="42"/>
      <c r="B15" s="34" t="str">
        <f aca="false">IF($A15="","",IF(ISERROR(FIND(".",$A15)),"",LOWER(MID($A15,FIND(CHAR(1),SUBSTITUTE($A15,".",CHAR(1),LEN($A15)-LEN(SUBSTITUTE($A15,".",""))))+1,LEN($A15)))))</f>
        <v/>
      </c>
      <c r="C15" s="26"/>
      <c r="D15" s="49"/>
      <c r="E15" s="27"/>
      <c r="F15" s="36" t="str">
        <f aca="false">IF($B15="","",IFERROR(INDEX(Rubric!$C$15:$C$24,MATCH(LOWER($B15),Rubric!$A$15:$A$24,0)),INDEX(Rubric!$C$15:$C$24,MATCH("other",Rubric!$A$15:$A$24,0))))</f>
        <v/>
      </c>
      <c r="G15" s="37" t="str">
        <f aca="true">IF(OR($A15="",$D15=""),"",YEARFRAC($D15,TODAY()))</f>
        <v/>
      </c>
      <c r="H15" s="50" t="str">
        <f aca="false">IF($G15="","",MAX(0,INT($G15)))</f>
        <v/>
      </c>
      <c r="I15" s="39" t="str">
        <f aca="false">IF(OR($F15="",$H15=""),"",$F15*$H15)</f>
        <v/>
      </c>
      <c r="J15" s="39" t="str">
        <f aca="false">IF(OR($A15="",$E15=""),"",$E15+IF($I15="",0,$I15))</f>
        <v/>
      </c>
      <c r="K15" s="39" t="str">
        <f aca="false">IF(OR($J15="",$J15=0),"",$J15/(1-Assumptions!$B$4))</f>
        <v/>
      </c>
      <c r="L15" s="39" t="str">
        <f aca="false">IF($K15="","",MAX($K15,$E15*Assumptions!$B$10))</f>
        <v/>
      </c>
      <c r="M15" s="27"/>
      <c r="N15" s="33"/>
    </row>
    <row r="16" customFormat="false" ht="15" hidden="false" customHeight="true" outlineLevel="0" collapsed="false">
      <c r="A16" s="42"/>
      <c r="B16" s="34" t="str">
        <f aca="false">IF($A16="","",IF(ISERROR(FIND(".",$A16)),"",LOWER(MID($A16,FIND(CHAR(1),SUBSTITUTE($A16,".",CHAR(1),LEN($A16)-LEN(SUBSTITUTE($A16,".",""))))+1,LEN($A16)))))</f>
        <v/>
      </c>
      <c r="C16" s="26"/>
      <c r="D16" s="49"/>
      <c r="E16" s="27"/>
      <c r="F16" s="36" t="str">
        <f aca="false">IF($B16="","",IFERROR(INDEX(Rubric!$C$15:$C$24,MATCH(LOWER($B16),Rubric!$A$15:$A$24,0)),INDEX(Rubric!$C$15:$C$24,MATCH("other",Rubric!$A$15:$A$24,0))))</f>
        <v/>
      </c>
      <c r="G16" s="37" t="str">
        <f aca="true">IF(OR($A16="",$D16=""),"",YEARFRAC($D16,TODAY()))</f>
        <v/>
      </c>
      <c r="H16" s="50" t="str">
        <f aca="false">IF($G16="","",MAX(0,INT($G16)))</f>
        <v/>
      </c>
      <c r="I16" s="39" t="str">
        <f aca="false">IF(OR($F16="",$H16=""),"",$F16*$H16)</f>
        <v/>
      </c>
      <c r="J16" s="39" t="str">
        <f aca="false">IF(OR($A16="",$E16=""),"",$E16+IF($I16="",0,$I16))</f>
        <v/>
      </c>
      <c r="K16" s="39" t="str">
        <f aca="false">IF(OR($J16="",$J16=0),"",$J16/(1-Assumptions!$B$4))</f>
        <v/>
      </c>
      <c r="L16" s="39" t="str">
        <f aca="false">IF($K16="","",MAX($K16,$E16*Assumptions!$B$10))</f>
        <v/>
      </c>
      <c r="M16" s="27"/>
      <c r="N16" s="33"/>
    </row>
    <row r="17" customFormat="false" ht="15" hidden="false" customHeight="true" outlineLevel="0" collapsed="false">
      <c r="A17" s="42"/>
      <c r="B17" s="34" t="str">
        <f aca="false">IF($A17="","",IF(ISERROR(FIND(".",$A17)),"",LOWER(MID($A17,FIND(CHAR(1),SUBSTITUTE($A17,".",CHAR(1),LEN($A17)-LEN(SUBSTITUTE($A17,".",""))))+1,LEN($A17)))))</f>
        <v/>
      </c>
      <c r="C17" s="26"/>
      <c r="D17" s="49"/>
      <c r="E17" s="27"/>
      <c r="F17" s="36" t="str">
        <f aca="false">IF($B17="","",IFERROR(INDEX(Rubric!$C$15:$C$24,MATCH(LOWER($B17),Rubric!$A$15:$A$24,0)),INDEX(Rubric!$C$15:$C$24,MATCH("other",Rubric!$A$15:$A$24,0))))</f>
        <v/>
      </c>
      <c r="G17" s="37" t="str">
        <f aca="true">IF(OR($A17="",$D17=""),"",YEARFRAC($D17,TODAY()))</f>
        <v/>
      </c>
      <c r="H17" s="50" t="str">
        <f aca="false">IF($G17="","",MAX(0,INT($G17)))</f>
        <v/>
      </c>
      <c r="I17" s="39" t="str">
        <f aca="false">IF(OR($F17="",$H17=""),"",$F17*$H17)</f>
        <v/>
      </c>
      <c r="J17" s="39" t="str">
        <f aca="false">IF(OR($A17="",$E17=""),"",$E17+IF($I17="",0,$I17))</f>
        <v/>
      </c>
      <c r="K17" s="39" t="str">
        <f aca="false">IF(OR($J17="",$J17=0),"",$J17/(1-Assumptions!$B$4))</f>
        <v/>
      </c>
      <c r="L17" s="39" t="str">
        <f aca="false">IF($K17="","",MAX($K17,$E17*Assumptions!$B$10))</f>
        <v/>
      </c>
      <c r="M17" s="27"/>
      <c r="N17" s="33"/>
    </row>
    <row r="18" customFormat="false" ht="15" hidden="false" customHeight="true" outlineLevel="0" collapsed="false">
      <c r="A18" s="42"/>
      <c r="B18" s="34" t="str">
        <f aca="false">IF($A18="","",IF(ISERROR(FIND(".",$A18)),"",LOWER(MID($A18,FIND(CHAR(1),SUBSTITUTE($A18,".",CHAR(1),LEN($A18)-LEN(SUBSTITUTE($A18,".",""))))+1,LEN($A18)))))</f>
        <v/>
      </c>
      <c r="C18" s="26"/>
      <c r="D18" s="49"/>
      <c r="E18" s="27"/>
      <c r="F18" s="36" t="str">
        <f aca="false">IF($B18="","",IFERROR(INDEX(Rubric!$C$15:$C$24,MATCH(LOWER($B18),Rubric!$A$15:$A$24,0)),INDEX(Rubric!$C$15:$C$24,MATCH("other",Rubric!$A$15:$A$24,0))))</f>
        <v/>
      </c>
      <c r="G18" s="37" t="str">
        <f aca="true">IF(OR($A18="",$D18=""),"",YEARFRAC($D18,TODAY()))</f>
        <v/>
      </c>
      <c r="H18" s="50" t="str">
        <f aca="false">IF($G18="","",MAX(0,INT($G18)))</f>
        <v/>
      </c>
      <c r="I18" s="39" t="str">
        <f aca="false">IF(OR($F18="",$H18=""),"",$F18*$H18)</f>
        <v/>
      </c>
      <c r="J18" s="39" t="str">
        <f aca="false">IF(OR($A18="",$E18=""),"",$E18+IF($I18="",0,$I18))</f>
        <v/>
      </c>
      <c r="K18" s="39" t="str">
        <f aca="false">IF(OR($J18="",$J18=0),"",$J18/(1-Assumptions!$B$4))</f>
        <v/>
      </c>
      <c r="L18" s="39" t="str">
        <f aca="false">IF($K18="","",MAX($K18,$E18*Assumptions!$B$10))</f>
        <v/>
      </c>
      <c r="M18" s="27"/>
      <c r="N18" s="33"/>
    </row>
    <row r="19" customFormat="false" ht="15" hidden="false" customHeight="true" outlineLevel="0" collapsed="false">
      <c r="A19" s="42"/>
      <c r="B19" s="34" t="str">
        <f aca="false">IF($A19="","",IF(ISERROR(FIND(".",$A19)),"",LOWER(MID($A19,FIND(CHAR(1),SUBSTITUTE($A19,".",CHAR(1),LEN($A19)-LEN(SUBSTITUTE($A19,".",""))))+1,LEN($A19)))))</f>
        <v/>
      </c>
      <c r="C19" s="26"/>
      <c r="D19" s="49"/>
      <c r="E19" s="27"/>
      <c r="F19" s="36" t="str">
        <f aca="false">IF($B19="","",IFERROR(INDEX(Rubric!$C$15:$C$24,MATCH(LOWER($B19),Rubric!$A$15:$A$24,0)),INDEX(Rubric!$C$15:$C$24,MATCH("other",Rubric!$A$15:$A$24,0))))</f>
        <v/>
      </c>
      <c r="G19" s="37" t="str">
        <f aca="true">IF(OR($A19="",$D19=""),"",YEARFRAC($D19,TODAY()))</f>
        <v/>
      </c>
      <c r="H19" s="50" t="str">
        <f aca="false">IF($G19="","",MAX(0,INT($G19)))</f>
        <v/>
      </c>
      <c r="I19" s="39" t="str">
        <f aca="false">IF(OR($F19="",$H19=""),"",$F19*$H19)</f>
        <v/>
      </c>
      <c r="J19" s="39" t="str">
        <f aca="false">IF(OR($A19="",$E19=""),"",$E19+IF($I19="",0,$I19))</f>
        <v/>
      </c>
      <c r="K19" s="39" t="str">
        <f aca="false">IF(OR($J19="",$J19=0),"",$J19/(1-Assumptions!$B$4))</f>
        <v/>
      </c>
      <c r="L19" s="39" t="str">
        <f aca="false">IF($K19="","",MAX($K19,$E19*Assumptions!$B$10))</f>
        <v/>
      </c>
      <c r="M19" s="27"/>
      <c r="N19" s="33"/>
    </row>
    <row r="20" customFormat="false" ht="15" hidden="false" customHeight="true" outlineLevel="0" collapsed="false">
      <c r="A20" s="42"/>
      <c r="B20" s="34" t="str">
        <f aca="false">IF($A20="","",IF(ISERROR(FIND(".",$A20)),"",LOWER(MID($A20,FIND(CHAR(1),SUBSTITUTE($A20,".",CHAR(1),LEN($A20)-LEN(SUBSTITUTE($A20,".",""))))+1,LEN($A20)))))</f>
        <v/>
      </c>
      <c r="C20" s="26"/>
      <c r="D20" s="49"/>
      <c r="E20" s="27"/>
      <c r="F20" s="36" t="str">
        <f aca="false">IF($B20="","",IFERROR(INDEX(Rubric!$C$15:$C$24,MATCH(LOWER($B20),Rubric!$A$15:$A$24,0)),INDEX(Rubric!$C$15:$C$24,MATCH("other",Rubric!$A$15:$A$24,0))))</f>
        <v/>
      </c>
      <c r="G20" s="37" t="str">
        <f aca="true">IF(OR($A20="",$D20=""),"",YEARFRAC($D20,TODAY()))</f>
        <v/>
      </c>
      <c r="H20" s="50" t="str">
        <f aca="false">IF($G20="","",MAX(0,INT($G20)))</f>
        <v/>
      </c>
      <c r="I20" s="39" t="str">
        <f aca="false">IF(OR($F20="",$H20=""),"",$F20*$H20)</f>
        <v/>
      </c>
      <c r="J20" s="39" t="str">
        <f aca="false">IF(OR($A20="",$E20=""),"",$E20+IF($I20="",0,$I20))</f>
        <v/>
      </c>
      <c r="K20" s="39" t="str">
        <f aca="false">IF(OR($J20="",$J20=0),"",$J20/(1-Assumptions!$B$4))</f>
        <v/>
      </c>
      <c r="L20" s="39" t="str">
        <f aca="false">IF($K20="","",MAX($K20,$E20*Assumptions!$B$10))</f>
        <v/>
      </c>
      <c r="M20" s="27"/>
      <c r="N20" s="33"/>
    </row>
    <row r="21" customFormat="false" ht="15" hidden="false" customHeight="true" outlineLevel="0" collapsed="false">
      <c r="A21" s="42"/>
      <c r="B21" s="34" t="str">
        <f aca="false">IF($A21="","",IF(ISERROR(FIND(".",$A21)),"",LOWER(MID($A21,FIND(CHAR(1),SUBSTITUTE($A21,".",CHAR(1),LEN($A21)-LEN(SUBSTITUTE($A21,".",""))))+1,LEN($A21)))))</f>
        <v/>
      </c>
      <c r="C21" s="26"/>
      <c r="D21" s="49"/>
      <c r="E21" s="27"/>
      <c r="F21" s="36" t="str">
        <f aca="false">IF($B21="","",IFERROR(INDEX(Rubric!$C$15:$C$24,MATCH(LOWER($B21),Rubric!$A$15:$A$24,0)),INDEX(Rubric!$C$15:$C$24,MATCH("other",Rubric!$A$15:$A$24,0))))</f>
        <v/>
      </c>
      <c r="G21" s="37" t="str">
        <f aca="true">IF(OR($A21="",$D21=""),"",YEARFRAC($D21,TODAY()))</f>
        <v/>
      </c>
      <c r="H21" s="50" t="str">
        <f aca="false">IF($G21="","",MAX(0,INT($G21)))</f>
        <v/>
      </c>
      <c r="I21" s="39" t="str">
        <f aca="false">IF(OR($F21="",$H21=""),"",$F21*$H21)</f>
        <v/>
      </c>
      <c r="J21" s="39" t="str">
        <f aca="false">IF(OR($A21="",$E21=""),"",$E21+IF($I21="",0,$I21))</f>
        <v/>
      </c>
      <c r="K21" s="39" t="str">
        <f aca="false">IF(OR($J21="",$J21=0),"",$J21/(1-Assumptions!$B$4))</f>
        <v/>
      </c>
      <c r="L21" s="39" t="str">
        <f aca="false">IF($K21="","",MAX($K21,$E21*Assumptions!$B$10))</f>
        <v/>
      </c>
      <c r="M21" s="27"/>
      <c r="N21" s="33"/>
    </row>
    <row r="22" customFormat="false" ht="15" hidden="false" customHeight="true" outlineLevel="0" collapsed="false">
      <c r="A22" s="42"/>
      <c r="B22" s="34" t="str">
        <f aca="false">IF($A22="","",IF(ISERROR(FIND(".",$A22)),"",LOWER(MID($A22,FIND(CHAR(1),SUBSTITUTE($A22,".",CHAR(1),LEN($A22)-LEN(SUBSTITUTE($A22,".",""))))+1,LEN($A22)))))</f>
        <v/>
      </c>
      <c r="C22" s="26"/>
      <c r="D22" s="49"/>
      <c r="E22" s="27"/>
      <c r="F22" s="36" t="str">
        <f aca="false">IF($B22="","",IFERROR(INDEX(Rubric!$C$15:$C$24,MATCH(LOWER($B22),Rubric!$A$15:$A$24,0)),INDEX(Rubric!$C$15:$C$24,MATCH("other",Rubric!$A$15:$A$24,0))))</f>
        <v/>
      </c>
      <c r="G22" s="37" t="str">
        <f aca="true">IF(OR($A22="",$D22=""),"",YEARFRAC($D22,TODAY()))</f>
        <v/>
      </c>
      <c r="H22" s="50" t="str">
        <f aca="false">IF($G22="","",MAX(0,INT($G22)))</f>
        <v/>
      </c>
      <c r="I22" s="39" t="str">
        <f aca="false">IF(OR($F22="",$H22=""),"",$F22*$H22)</f>
        <v/>
      </c>
      <c r="J22" s="39" t="str">
        <f aca="false">IF(OR($A22="",$E22=""),"",$E22+IF($I22="",0,$I22))</f>
        <v/>
      </c>
      <c r="K22" s="39" t="str">
        <f aca="false">IF(OR($J22="",$J22=0),"",$J22/(1-Assumptions!$B$4))</f>
        <v/>
      </c>
      <c r="L22" s="39" t="str">
        <f aca="false">IF($K22="","",MAX($K22,$E22*Assumptions!$B$10))</f>
        <v/>
      </c>
      <c r="M22" s="27"/>
      <c r="N22" s="33"/>
    </row>
    <row r="23" customFormat="false" ht="15" hidden="false" customHeight="true" outlineLevel="0" collapsed="false">
      <c r="A23" s="42"/>
      <c r="B23" s="34" t="str">
        <f aca="false">IF($A23="","",IF(ISERROR(FIND(".",$A23)),"",LOWER(MID($A23,FIND(CHAR(1),SUBSTITUTE($A23,".",CHAR(1),LEN($A23)-LEN(SUBSTITUTE($A23,".",""))))+1,LEN($A23)))))</f>
        <v/>
      </c>
      <c r="C23" s="26"/>
      <c r="D23" s="49"/>
      <c r="E23" s="27"/>
      <c r="F23" s="36" t="str">
        <f aca="false">IF($B23="","",IFERROR(INDEX(Rubric!$C$15:$C$24,MATCH(LOWER($B23),Rubric!$A$15:$A$24,0)),INDEX(Rubric!$C$15:$C$24,MATCH("other",Rubric!$A$15:$A$24,0))))</f>
        <v/>
      </c>
      <c r="G23" s="37" t="str">
        <f aca="true">IF(OR($A23="",$D23=""),"",YEARFRAC($D23,TODAY()))</f>
        <v/>
      </c>
      <c r="H23" s="50" t="str">
        <f aca="false">IF($G23="","",MAX(0,INT($G23)))</f>
        <v/>
      </c>
      <c r="I23" s="39" t="str">
        <f aca="false">IF(OR($F23="",$H23=""),"",$F23*$H23)</f>
        <v/>
      </c>
      <c r="J23" s="39" t="str">
        <f aca="false">IF(OR($A23="",$E23=""),"",$E23+IF($I23="",0,$I23))</f>
        <v/>
      </c>
      <c r="K23" s="39" t="str">
        <f aca="false">IF(OR($J23="",$J23=0),"",$J23/(1-Assumptions!$B$4))</f>
        <v/>
      </c>
      <c r="L23" s="39" t="str">
        <f aca="false">IF($K23="","",MAX($K23,$E23*Assumptions!$B$10))</f>
        <v/>
      </c>
      <c r="M23" s="27"/>
      <c r="N23" s="33"/>
    </row>
    <row r="24" customFormat="false" ht="15" hidden="false" customHeight="true" outlineLevel="0" collapsed="false">
      <c r="A24" s="42"/>
      <c r="B24" s="34" t="str">
        <f aca="false">IF($A24="","",IF(ISERROR(FIND(".",$A24)),"",LOWER(MID($A24,FIND(CHAR(1),SUBSTITUTE($A24,".",CHAR(1),LEN($A24)-LEN(SUBSTITUTE($A24,".",""))))+1,LEN($A24)))))</f>
        <v/>
      </c>
      <c r="C24" s="26"/>
      <c r="D24" s="49"/>
      <c r="E24" s="27"/>
      <c r="F24" s="36" t="str">
        <f aca="false">IF($B24="","",IFERROR(INDEX(Rubric!$C$15:$C$24,MATCH(LOWER($B24),Rubric!$A$15:$A$24,0)),INDEX(Rubric!$C$15:$C$24,MATCH("other",Rubric!$A$15:$A$24,0))))</f>
        <v/>
      </c>
      <c r="G24" s="37" t="str">
        <f aca="true">IF(OR($A24="",$D24=""),"",YEARFRAC($D24,TODAY()))</f>
        <v/>
      </c>
      <c r="H24" s="50" t="str">
        <f aca="false">IF($G24="","",MAX(0,INT($G24)))</f>
        <v/>
      </c>
      <c r="I24" s="39" t="str">
        <f aca="false">IF(OR($F24="",$H24=""),"",$F24*$H24)</f>
        <v/>
      </c>
      <c r="J24" s="39" t="str">
        <f aca="false">IF(OR($A24="",$E24=""),"",$E24+IF($I24="",0,$I24))</f>
        <v/>
      </c>
      <c r="K24" s="39" t="str">
        <f aca="false">IF(OR($J24="",$J24=0),"",$J24/(1-Assumptions!$B$4))</f>
        <v/>
      </c>
      <c r="L24" s="39" t="str">
        <f aca="false">IF($K24="","",MAX($K24,$E24*Assumptions!$B$10))</f>
        <v/>
      </c>
      <c r="M24" s="27"/>
      <c r="N24" s="33"/>
    </row>
    <row r="25" customFormat="false" ht="15" hidden="false" customHeight="true" outlineLevel="0" collapsed="false">
      <c r="A25" s="42"/>
      <c r="B25" s="34" t="str">
        <f aca="false">IF($A25="","",IF(ISERROR(FIND(".",$A25)),"",LOWER(MID($A25,FIND(CHAR(1),SUBSTITUTE($A25,".",CHAR(1),LEN($A25)-LEN(SUBSTITUTE($A25,".",""))))+1,LEN($A25)))))</f>
        <v/>
      </c>
      <c r="C25" s="26"/>
      <c r="D25" s="49"/>
      <c r="E25" s="27"/>
      <c r="F25" s="36" t="str">
        <f aca="false">IF($B25="","",IFERROR(INDEX(Rubric!$C$15:$C$24,MATCH(LOWER($B25),Rubric!$A$15:$A$24,0)),INDEX(Rubric!$C$15:$C$24,MATCH("other",Rubric!$A$15:$A$24,0))))</f>
        <v/>
      </c>
      <c r="G25" s="37" t="str">
        <f aca="true">IF(OR($A25="",$D25=""),"",YEARFRAC($D25,TODAY()))</f>
        <v/>
      </c>
      <c r="H25" s="50" t="str">
        <f aca="false">IF($G25="","",MAX(0,INT($G25)))</f>
        <v/>
      </c>
      <c r="I25" s="39" t="str">
        <f aca="false">IF(OR($F25="",$H25=""),"",$F25*$H25)</f>
        <v/>
      </c>
      <c r="J25" s="39" t="str">
        <f aca="false">IF(OR($A25="",$E25=""),"",$E25+IF($I25="",0,$I25))</f>
        <v/>
      </c>
      <c r="K25" s="39" t="str">
        <f aca="false">IF(OR($J25="",$J25=0),"",$J25/(1-Assumptions!$B$4))</f>
        <v/>
      </c>
      <c r="L25" s="39" t="str">
        <f aca="false">IF($K25="","",MAX($K25,$E25*Assumptions!$B$10))</f>
        <v/>
      </c>
      <c r="M25" s="27"/>
      <c r="N25" s="33"/>
    </row>
    <row r="26" customFormat="false" ht="15" hidden="false" customHeight="true" outlineLevel="0" collapsed="false">
      <c r="A26" s="42"/>
      <c r="B26" s="34" t="str">
        <f aca="false">IF($A26="","",IF(ISERROR(FIND(".",$A26)),"",LOWER(MID($A26,FIND(CHAR(1),SUBSTITUTE($A26,".",CHAR(1),LEN($A26)-LEN(SUBSTITUTE($A26,".",""))))+1,LEN($A26)))))</f>
        <v/>
      </c>
      <c r="C26" s="26"/>
      <c r="D26" s="49"/>
      <c r="E26" s="27"/>
      <c r="F26" s="36" t="str">
        <f aca="false">IF($B26="","",IFERROR(INDEX(Rubric!$C$15:$C$24,MATCH(LOWER($B26),Rubric!$A$15:$A$24,0)),INDEX(Rubric!$C$15:$C$24,MATCH("other",Rubric!$A$15:$A$24,0))))</f>
        <v/>
      </c>
      <c r="G26" s="37" t="str">
        <f aca="true">IF(OR($A26="",$D26=""),"",YEARFRAC($D26,TODAY()))</f>
        <v/>
      </c>
      <c r="H26" s="50" t="str">
        <f aca="false">IF($G26="","",MAX(0,INT($G26)))</f>
        <v/>
      </c>
      <c r="I26" s="39" t="str">
        <f aca="false">IF(OR($F26="",$H26=""),"",$F26*$H26)</f>
        <v/>
      </c>
      <c r="J26" s="39" t="str">
        <f aca="false">IF(OR($A26="",$E26=""),"",$E26+IF($I26="",0,$I26))</f>
        <v/>
      </c>
      <c r="K26" s="39" t="str">
        <f aca="false">IF(OR($J26="",$J26=0),"",$J26/(1-Assumptions!$B$4))</f>
        <v/>
      </c>
      <c r="L26" s="39" t="str">
        <f aca="false">IF($K26="","",MAX($K26,$E26*Assumptions!$B$10))</f>
        <v/>
      </c>
      <c r="M26" s="27"/>
      <c r="N26" s="33"/>
    </row>
    <row r="27" customFormat="false" ht="15" hidden="false" customHeight="true" outlineLevel="0" collapsed="false">
      <c r="A27" s="42"/>
      <c r="B27" s="34" t="str">
        <f aca="false">IF($A27="","",IF(ISERROR(FIND(".",$A27)),"",LOWER(MID($A27,FIND(CHAR(1),SUBSTITUTE($A27,".",CHAR(1),LEN($A27)-LEN(SUBSTITUTE($A27,".",""))))+1,LEN($A27)))))</f>
        <v/>
      </c>
      <c r="C27" s="26"/>
      <c r="D27" s="49"/>
      <c r="E27" s="27"/>
      <c r="F27" s="36" t="str">
        <f aca="false">IF($B27="","",IFERROR(INDEX(Rubric!$C$15:$C$24,MATCH(LOWER($B27),Rubric!$A$15:$A$24,0)),INDEX(Rubric!$C$15:$C$24,MATCH("other",Rubric!$A$15:$A$24,0))))</f>
        <v/>
      </c>
      <c r="G27" s="37" t="str">
        <f aca="true">IF(OR($A27="",$D27=""),"",YEARFRAC($D27,TODAY()))</f>
        <v/>
      </c>
      <c r="H27" s="50" t="str">
        <f aca="false">IF($G27="","",MAX(0,INT($G27)))</f>
        <v/>
      </c>
      <c r="I27" s="39" t="str">
        <f aca="false">IF(OR($F27="",$H27=""),"",$F27*$H27)</f>
        <v/>
      </c>
      <c r="J27" s="39" t="str">
        <f aca="false">IF(OR($A27="",$E27=""),"",$E27+IF($I27="",0,$I27))</f>
        <v/>
      </c>
      <c r="K27" s="39" t="str">
        <f aca="false">IF(OR($J27="",$J27=0),"",$J27/(1-Assumptions!$B$4))</f>
        <v/>
      </c>
      <c r="L27" s="39" t="str">
        <f aca="false">IF($K27="","",MAX($K27,$E27*Assumptions!$B$10))</f>
        <v/>
      </c>
      <c r="M27" s="27"/>
      <c r="N27" s="33"/>
    </row>
    <row r="28" customFormat="false" ht="15" hidden="false" customHeight="true" outlineLevel="0" collapsed="false">
      <c r="A28" s="42"/>
      <c r="B28" s="34" t="str">
        <f aca="false">IF($A28="","",IF(ISERROR(FIND(".",$A28)),"",LOWER(MID($A28,FIND(CHAR(1),SUBSTITUTE($A28,".",CHAR(1),LEN($A28)-LEN(SUBSTITUTE($A28,".",""))))+1,LEN($A28)))))</f>
        <v/>
      </c>
      <c r="C28" s="26"/>
      <c r="D28" s="49"/>
      <c r="E28" s="27"/>
      <c r="F28" s="36" t="str">
        <f aca="false">IF($B28="","",IFERROR(INDEX(Rubric!$C$15:$C$24,MATCH(LOWER($B28),Rubric!$A$15:$A$24,0)),INDEX(Rubric!$C$15:$C$24,MATCH("other",Rubric!$A$15:$A$24,0))))</f>
        <v/>
      </c>
      <c r="G28" s="37" t="str">
        <f aca="true">IF(OR($A28="",$D28=""),"",YEARFRAC($D28,TODAY()))</f>
        <v/>
      </c>
      <c r="H28" s="50" t="str">
        <f aca="false">IF($G28="","",MAX(0,INT($G28)))</f>
        <v/>
      </c>
      <c r="I28" s="39" t="str">
        <f aca="false">IF(OR($F28="",$H28=""),"",$F28*$H28)</f>
        <v/>
      </c>
      <c r="J28" s="39" t="str">
        <f aca="false">IF(OR($A28="",$E28=""),"",$E28+IF($I28="",0,$I28))</f>
        <v/>
      </c>
      <c r="K28" s="39" t="str">
        <f aca="false">IF(OR($J28="",$J28=0),"",$J28/(1-Assumptions!$B$4))</f>
        <v/>
      </c>
      <c r="L28" s="39" t="str">
        <f aca="false">IF($K28="","",MAX($K28,$E28*Assumptions!$B$10))</f>
        <v/>
      </c>
      <c r="M28" s="27"/>
      <c r="N28" s="33"/>
    </row>
    <row r="29" customFormat="false" ht="15" hidden="false" customHeight="true" outlineLevel="0" collapsed="false">
      <c r="A29" s="42"/>
      <c r="B29" s="34" t="str">
        <f aca="false">IF($A29="","",IF(ISERROR(FIND(".",$A29)),"",LOWER(MID($A29,FIND(CHAR(1),SUBSTITUTE($A29,".",CHAR(1),LEN($A29)-LEN(SUBSTITUTE($A29,".",""))))+1,LEN($A29)))))</f>
        <v/>
      </c>
      <c r="C29" s="26"/>
      <c r="D29" s="49"/>
      <c r="E29" s="27"/>
      <c r="F29" s="36" t="str">
        <f aca="false">IF($B29="","",IFERROR(INDEX(Rubric!$C$15:$C$24,MATCH(LOWER($B29),Rubric!$A$15:$A$24,0)),INDEX(Rubric!$C$15:$C$24,MATCH("other",Rubric!$A$15:$A$24,0))))</f>
        <v/>
      </c>
      <c r="G29" s="37" t="str">
        <f aca="true">IF(OR($A29="",$D29=""),"",YEARFRAC($D29,TODAY()))</f>
        <v/>
      </c>
      <c r="H29" s="50" t="str">
        <f aca="false">IF($G29="","",MAX(0,INT($G29)))</f>
        <v/>
      </c>
      <c r="I29" s="39" t="str">
        <f aca="false">IF(OR($F29="",$H29=""),"",$F29*$H29)</f>
        <v/>
      </c>
      <c r="J29" s="39" t="str">
        <f aca="false">IF(OR($A29="",$E29=""),"",$E29+IF($I29="",0,$I29))</f>
        <v/>
      </c>
      <c r="K29" s="39" t="str">
        <f aca="false">IF(OR($J29="",$J29=0),"",$J29/(1-Assumptions!$B$4))</f>
        <v/>
      </c>
      <c r="L29" s="39" t="str">
        <f aca="false">IF($K29="","",MAX($K29,$E29*Assumptions!$B$10))</f>
        <v/>
      </c>
      <c r="M29" s="27"/>
      <c r="N29" s="33"/>
    </row>
    <row r="30" customFormat="false" ht="15" hidden="false" customHeight="true" outlineLevel="0" collapsed="false">
      <c r="A30" s="42"/>
      <c r="B30" s="34" t="str">
        <f aca="false">IF($A30="","",IF(ISERROR(FIND(".",$A30)),"",LOWER(MID($A30,FIND(CHAR(1),SUBSTITUTE($A30,".",CHAR(1),LEN($A30)-LEN(SUBSTITUTE($A30,".",""))))+1,LEN($A30)))))</f>
        <v/>
      </c>
      <c r="C30" s="26"/>
      <c r="D30" s="49"/>
      <c r="E30" s="27"/>
      <c r="F30" s="36" t="str">
        <f aca="false">IF($B30="","",IFERROR(INDEX(Rubric!$C$15:$C$24,MATCH(LOWER($B30),Rubric!$A$15:$A$24,0)),INDEX(Rubric!$C$15:$C$24,MATCH("other",Rubric!$A$15:$A$24,0))))</f>
        <v/>
      </c>
      <c r="G30" s="37" t="str">
        <f aca="true">IF(OR($A30="",$D30=""),"",YEARFRAC($D30,TODAY()))</f>
        <v/>
      </c>
      <c r="H30" s="50" t="str">
        <f aca="false">IF($G30="","",MAX(0,INT($G30)))</f>
        <v/>
      </c>
      <c r="I30" s="39" t="str">
        <f aca="false">IF(OR($F30="",$H30=""),"",$F30*$H30)</f>
        <v/>
      </c>
      <c r="J30" s="39" t="str">
        <f aca="false">IF(OR($A30="",$E30=""),"",$E30+IF($I30="",0,$I30))</f>
        <v/>
      </c>
      <c r="K30" s="39" t="str">
        <f aca="false">IF(OR($J30="",$J30=0),"",$J30/(1-Assumptions!$B$4))</f>
        <v/>
      </c>
      <c r="L30" s="39" t="str">
        <f aca="false">IF($K30="","",MAX($K30,$E30*Assumptions!$B$10))</f>
        <v/>
      </c>
      <c r="M30" s="27"/>
      <c r="N30" s="33"/>
    </row>
    <row r="31" customFormat="false" ht="15" hidden="false" customHeight="true" outlineLevel="0" collapsed="false">
      <c r="A31" s="42"/>
      <c r="B31" s="34" t="str">
        <f aca="false">IF($A31="","",IF(ISERROR(FIND(".",$A31)),"",LOWER(MID($A31,FIND(CHAR(1),SUBSTITUTE($A31,".",CHAR(1),LEN($A31)-LEN(SUBSTITUTE($A31,".",""))))+1,LEN($A31)))))</f>
        <v/>
      </c>
      <c r="C31" s="26"/>
      <c r="D31" s="49"/>
      <c r="E31" s="27"/>
      <c r="F31" s="36" t="str">
        <f aca="false">IF($B31="","",IFERROR(INDEX(Rubric!$C$15:$C$24,MATCH(LOWER($B31),Rubric!$A$15:$A$24,0)),INDEX(Rubric!$C$15:$C$24,MATCH("other",Rubric!$A$15:$A$24,0))))</f>
        <v/>
      </c>
      <c r="G31" s="37" t="str">
        <f aca="true">IF(OR($A31="",$D31=""),"",YEARFRAC($D31,TODAY()))</f>
        <v/>
      </c>
      <c r="H31" s="50" t="str">
        <f aca="false">IF($G31="","",MAX(0,INT($G31)))</f>
        <v/>
      </c>
      <c r="I31" s="39" t="str">
        <f aca="false">IF(OR($F31="",$H31=""),"",$F31*$H31)</f>
        <v/>
      </c>
      <c r="J31" s="39" t="str">
        <f aca="false">IF(OR($A31="",$E31=""),"",$E31+IF($I31="",0,$I31))</f>
        <v/>
      </c>
      <c r="K31" s="39" t="str">
        <f aca="false">IF(OR($J31="",$J31=0),"",$J31/(1-Assumptions!$B$4))</f>
        <v/>
      </c>
      <c r="L31" s="39" t="str">
        <f aca="false">IF($K31="","",MAX($K31,$E31*Assumptions!$B$10))</f>
        <v/>
      </c>
      <c r="M31" s="27"/>
      <c r="N31" s="33"/>
    </row>
    <row r="32" customFormat="false" ht="15" hidden="false" customHeight="true" outlineLevel="0" collapsed="false">
      <c r="A32" s="42"/>
      <c r="B32" s="34" t="str">
        <f aca="false">IF($A32="","",IF(ISERROR(FIND(".",$A32)),"",LOWER(MID($A32,FIND(CHAR(1),SUBSTITUTE($A32,".",CHAR(1),LEN($A32)-LEN(SUBSTITUTE($A32,".",""))))+1,LEN($A32)))))</f>
        <v/>
      </c>
      <c r="C32" s="26"/>
      <c r="D32" s="49"/>
      <c r="E32" s="27"/>
      <c r="F32" s="36" t="str">
        <f aca="false">IF($B32="","",IFERROR(INDEX(Rubric!$C$15:$C$24,MATCH(LOWER($B32),Rubric!$A$15:$A$24,0)),INDEX(Rubric!$C$15:$C$24,MATCH("other",Rubric!$A$15:$A$24,0))))</f>
        <v/>
      </c>
      <c r="G32" s="37" t="str">
        <f aca="true">IF(OR($A32="",$D32=""),"",YEARFRAC($D32,TODAY()))</f>
        <v/>
      </c>
      <c r="H32" s="50" t="str">
        <f aca="false">IF($G32="","",MAX(0,INT($G32)))</f>
        <v/>
      </c>
      <c r="I32" s="39" t="str">
        <f aca="false">IF(OR($F32="",$H32=""),"",$F32*$H32)</f>
        <v/>
      </c>
      <c r="J32" s="39" t="str">
        <f aca="false">IF(OR($A32="",$E32=""),"",$E32+IF($I32="",0,$I32))</f>
        <v/>
      </c>
      <c r="K32" s="39" t="str">
        <f aca="false">IF(OR($J32="",$J32=0),"",$J32/(1-Assumptions!$B$4))</f>
        <v/>
      </c>
      <c r="L32" s="39" t="str">
        <f aca="false">IF($K32="","",MAX($K32,$E32*Assumptions!$B$10))</f>
        <v/>
      </c>
      <c r="M32" s="27"/>
      <c r="N32" s="33"/>
    </row>
    <row r="33" customFormat="false" ht="15" hidden="false" customHeight="true" outlineLevel="0" collapsed="false">
      <c r="A33" s="42"/>
      <c r="B33" s="34" t="str">
        <f aca="false">IF($A33="","",IF(ISERROR(FIND(".",$A33)),"",LOWER(MID($A33,FIND(CHAR(1),SUBSTITUTE($A33,".",CHAR(1),LEN($A33)-LEN(SUBSTITUTE($A33,".",""))))+1,LEN($A33)))))</f>
        <v/>
      </c>
      <c r="C33" s="26"/>
      <c r="D33" s="49"/>
      <c r="E33" s="27"/>
      <c r="F33" s="36" t="str">
        <f aca="false">IF($B33="","",IFERROR(INDEX(Rubric!$C$15:$C$24,MATCH(LOWER($B33),Rubric!$A$15:$A$24,0)),INDEX(Rubric!$C$15:$C$24,MATCH("other",Rubric!$A$15:$A$24,0))))</f>
        <v/>
      </c>
      <c r="G33" s="37" t="str">
        <f aca="true">IF(OR($A33="",$D33=""),"",YEARFRAC($D33,TODAY()))</f>
        <v/>
      </c>
      <c r="H33" s="50" t="str">
        <f aca="false">IF($G33="","",MAX(0,INT($G33)))</f>
        <v/>
      </c>
      <c r="I33" s="39" t="str">
        <f aca="false">IF(OR($F33="",$H33=""),"",$F33*$H33)</f>
        <v/>
      </c>
      <c r="J33" s="39" t="str">
        <f aca="false">IF(OR($A33="",$E33=""),"",$E33+IF($I33="",0,$I33))</f>
        <v/>
      </c>
      <c r="K33" s="39" t="str">
        <f aca="false">IF(OR($J33="",$J33=0),"",$J33/(1-Assumptions!$B$4))</f>
        <v/>
      </c>
      <c r="L33" s="39" t="str">
        <f aca="false">IF($K33="","",MAX($K33,$E33*Assumptions!$B$10))</f>
        <v/>
      </c>
      <c r="M33" s="27"/>
      <c r="N33" s="33"/>
    </row>
    <row r="34" customFormat="false" ht="15" hidden="false" customHeight="true" outlineLevel="0" collapsed="false">
      <c r="A34" s="42"/>
      <c r="B34" s="34" t="str">
        <f aca="false">IF($A34="","",IF(ISERROR(FIND(".",$A34)),"",LOWER(MID($A34,FIND(CHAR(1),SUBSTITUTE($A34,".",CHAR(1),LEN($A34)-LEN(SUBSTITUTE($A34,".",""))))+1,LEN($A34)))))</f>
        <v/>
      </c>
      <c r="C34" s="26"/>
      <c r="D34" s="49"/>
      <c r="E34" s="27"/>
      <c r="F34" s="36" t="str">
        <f aca="false">IF($B34="","",IFERROR(INDEX(Rubric!$C$15:$C$24,MATCH(LOWER($B34),Rubric!$A$15:$A$24,0)),INDEX(Rubric!$C$15:$C$24,MATCH("other",Rubric!$A$15:$A$24,0))))</f>
        <v/>
      </c>
      <c r="G34" s="37" t="str">
        <f aca="true">IF(OR($A34="",$D34=""),"",YEARFRAC($D34,TODAY()))</f>
        <v/>
      </c>
      <c r="H34" s="50" t="str">
        <f aca="false">IF($G34="","",MAX(0,INT($G34)))</f>
        <v/>
      </c>
      <c r="I34" s="39" t="str">
        <f aca="false">IF(OR($F34="",$H34=""),"",$F34*$H34)</f>
        <v/>
      </c>
      <c r="J34" s="39" t="str">
        <f aca="false">IF(OR($A34="",$E34=""),"",$E34+IF($I34="",0,$I34))</f>
        <v/>
      </c>
      <c r="K34" s="39" t="str">
        <f aca="false">IF(OR($J34="",$J34=0),"",$J34/(1-Assumptions!$B$4))</f>
        <v/>
      </c>
      <c r="L34" s="39" t="str">
        <f aca="false">IF($K34="","",MAX($K34,$E34*Assumptions!$B$10))</f>
        <v/>
      </c>
      <c r="M34" s="27"/>
      <c r="N34" s="33"/>
    </row>
    <row r="35" customFormat="false" ht="15" hidden="false" customHeight="true" outlineLevel="0" collapsed="false">
      <c r="A35" s="42"/>
      <c r="B35" s="34" t="str">
        <f aca="false">IF($A35="","",IF(ISERROR(FIND(".",$A35)),"",LOWER(MID($A35,FIND(CHAR(1),SUBSTITUTE($A35,".",CHAR(1),LEN($A35)-LEN(SUBSTITUTE($A35,".",""))))+1,LEN($A35)))))</f>
        <v/>
      </c>
      <c r="C35" s="26"/>
      <c r="D35" s="49"/>
      <c r="E35" s="27"/>
      <c r="F35" s="36" t="str">
        <f aca="false">IF($B35="","",IFERROR(INDEX(Rubric!$C$15:$C$24,MATCH(LOWER($B35),Rubric!$A$15:$A$24,0)),INDEX(Rubric!$C$15:$C$24,MATCH("other",Rubric!$A$15:$A$24,0))))</f>
        <v/>
      </c>
      <c r="G35" s="37" t="str">
        <f aca="true">IF(OR($A35="",$D35=""),"",YEARFRAC($D35,TODAY()))</f>
        <v/>
      </c>
      <c r="H35" s="50" t="str">
        <f aca="false">IF($G35="","",MAX(0,INT($G35)))</f>
        <v/>
      </c>
      <c r="I35" s="39" t="str">
        <f aca="false">IF(OR($F35="",$H35=""),"",$F35*$H35)</f>
        <v/>
      </c>
      <c r="J35" s="39" t="str">
        <f aca="false">IF(OR($A35="",$E35=""),"",$E35+IF($I35="",0,$I35))</f>
        <v/>
      </c>
      <c r="K35" s="39" t="str">
        <f aca="false">IF(OR($J35="",$J35=0),"",$J35/(1-Assumptions!$B$4))</f>
        <v/>
      </c>
      <c r="L35" s="39" t="str">
        <f aca="false">IF($K35="","",MAX($K35,$E35*Assumptions!$B$10))</f>
        <v/>
      </c>
      <c r="M35" s="27"/>
      <c r="N35" s="33"/>
    </row>
    <row r="36" customFormat="false" ht="15" hidden="false" customHeight="true" outlineLevel="0" collapsed="false">
      <c r="A36" s="42"/>
      <c r="B36" s="34" t="str">
        <f aca="false">IF($A36="","",IF(ISERROR(FIND(".",$A36)),"",LOWER(MID($A36,FIND(CHAR(1),SUBSTITUTE($A36,".",CHAR(1),LEN($A36)-LEN(SUBSTITUTE($A36,".",""))))+1,LEN($A36)))))</f>
        <v/>
      </c>
      <c r="C36" s="26"/>
      <c r="D36" s="49"/>
      <c r="E36" s="27"/>
      <c r="F36" s="36" t="str">
        <f aca="false">IF($B36="","",IFERROR(INDEX(Rubric!$C$15:$C$24,MATCH(LOWER($B36),Rubric!$A$15:$A$24,0)),INDEX(Rubric!$C$15:$C$24,MATCH("other",Rubric!$A$15:$A$24,0))))</f>
        <v/>
      </c>
      <c r="G36" s="37" t="str">
        <f aca="true">IF(OR($A36="",$D36=""),"",YEARFRAC($D36,TODAY()))</f>
        <v/>
      </c>
      <c r="H36" s="50" t="str">
        <f aca="false">IF($G36="","",MAX(0,INT($G36)))</f>
        <v/>
      </c>
      <c r="I36" s="39" t="str">
        <f aca="false">IF(OR($F36="",$H36=""),"",$F36*$H36)</f>
        <v/>
      </c>
      <c r="J36" s="39" t="str">
        <f aca="false">IF(OR($A36="",$E36=""),"",$E36+IF($I36="",0,$I36))</f>
        <v/>
      </c>
      <c r="K36" s="39" t="str">
        <f aca="false">IF(OR($J36="",$J36=0),"",$J36/(1-Assumptions!$B$4))</f>
        <v/>
      </c>
      <c r="L36" s="39" t="str">
        <f aca="false">IF($K36="","",MAX($K36,$E36*Assumptions!$B$10))</f>
        <v/>
      </c>
      <c r="M36" s="27"/>
      <c r="N36" s="33"/>
    </row>
    <row r="37" customFormat="false" ht="15" hidden="false" customHeight="true" outlineLevel="0" collapsed="false">
      <c r="A37" s="42"/>
      <c r="B37" s="34" t="str">
        <f aca="false">IF($A37="","",IF(ISERROR(FIND(".",$A37)),"",LOWER(MID($A37,FIND(CHAR(1),SUBSTITUTE($A37,".",CHAR(1),LEN($A37)-LEN(SUBSTITUTE($A37,".",""))))+1,LEN($A37)))))</f>
        <v/>
      </c>
      <c r="C37" s="26"/>
      <c r="D37" s="49"/>
      <c r="E37" s="27"/>
      <c r="F37" s="36" t="str">
        <f aca="false">IF($B37="","",IFERROR(INDEX(Rubric!$C$15:$C$24,MATCH(LOWER($B37),Rubric!$A$15:$A$24,0)),INDEX(Rubric!$C$15:$C$24,MATCH("other",Rubric!$A$15:$A$24,0))))</f>
        <v/>
      </c>
      <c r="G37" s="37" t="str">
        <f aca="true">IF(OR($A37="",$D37=""),"",YEARFRAC($D37,TODAY()))</f>
        <v/>
      </c>
      <c r="H37" s="50" t="str">
        <f aca="false">IF($G37="","",MAX(0,INT($G37)))</f>
        <v/>
      </c>
      <c r="I37" s="39" t="str">
        <f aca="false">IF(OR($F37="",$H37=""),"",$F37*$H37)</f>
        <v/>
      </c>
      <c r="J37" s="39" t="str">
        <f aca="false">IF(OR($A37="",$E37=""),"",$E37+IF($I37="",0,$I37))</f>
        <v/>
      </c>
      <c r="K37" s="39" t="str">
        <f aca="false">IF(OR($J37="",$J37=0),"",$J37/(1-Assumptions!$B$4))</f>
        <v/>
      </c>
      <c r="L37" s="39" t="str">
        <f aca="false">IF($K37="","",MAX($K37,$E37*Assumptions!$B$10))</f>
        <v/>
      </c>
      <c r="M37" s="27"/>
      <c r="N37" s="33"/>
    </row>
    <row r="38" customFormat="false" ht="15" hidden="false" customHeight="true" outlineLevel="0" collapsed="false">
      <c r="A38" s="42"/>
      <c r="B38" s="34" t="str">
        <f aca="false">IF($A38="","",IF(ISERROR(FIND(".",$A38)),"",LOWER(MID($A38,FIND(CHAR(1),SUBSTITUTE($A38,".",CHAR(1),LEN($A38)-LEN(SUBSTITUTE($A38,".",""))))+1,LEN($A38)))))</f>
        <v/>
      </c>
      <c r="C38" s="26"/>
      <c r="D38" s="49"/>
      <c r="E38" s="27"/>
      <c r="F38" s="36" t="str">
        <f aca="false">IF($B38="","",IFERROR(INDEX(Rubric!$C$15:$C$24,MATCH(LOWER($B38),Rubric!$A$15:$A$24,0)),INDEX(Rubric!$C$15:$C$24,MATCH("other",Rubric!$A$15:$A$24,0))))</f>
        <v/>
      </c>
      <c r="G38" s="37" t="str">
        <f aca="true">IF(OR($A38="",$D38=""),"",YEARFRAC($D38,TODAY()))</f>
        <v/>
      </c>
      <c r="H38" s="50" t="str">
        <f aca="false">IF($G38="","",MAX(0,INT($G38)))</f>
        <v/>
      </c>
      <c r="I38" s="39" t="str">
        <f aca="false">IF(OR($F38="",$H38=""),"",$F38*$H38)</f>
        <v/>
      </c>
      <c r="J38" s="39" t="str">
        <f aca="false">IF(OR($A38="",$E38=""),"",$E38+IF($I38="",0,$I38))</f>
        <v/>
      </c>
      <c r="K38" s="39" t="str">
        <f aca="false">IF(OR($J38="",$J38=0),"",$J38/(1-Assumptions!$B$4))</f>
        <v/>
      </c>
      <c r="L38" s="39" t="str">
        <f aca="false">IF($K38="","",MAX($K38,$E38*Assumptions!$B$10))</f>
        <v/>
      </c>
      <c r="M38" s="27"/>
      <c r="N38" s="33"/>
    </row>
    <row r="39" customFormat="false" ht="15" hidden="false" customHeight="true" outlineLevel="0" collapsed="false">
      <c r="A39" s="42"/>
      <c r="B39" s="34" t="str">
        <f aca="false">IF($A39="","",IF(ISERROR(FIND(".",$A39)),"",LOWER(MID($A39,FIND(CHAR(1),SUBSTITUTE($A39,".",CHAR(1),LEN($A39)-LEN(SUBSTITUTE($A39,".",""))))+1,LEN($A39)))))</f>
        <v/>
      </c>
      <c r="C39" s="26"/>
      <c r="D39" s="49"/>
      <c r="E39" s="27"/>
      <c r="F39" s="36" t="str">
        <f aca="false">IF($B39="","",IFERROR(INDEX(Rubric!$C$15:$C$24,MATCH(LOWER($B39),Rubric!$A$15:$A$24,0)),INDEX(Rubric!$C$15:$C$24,MATCH("other",Rubric!$A$15:$A$24,0))))</f>
        <v/>
      </c>
      <c r="G39" s="37" t="str">
        <f aca="true">IF(OR($A39="",$D39=""),"",YEARFRAC($D39,TODAY()))</f>
        <v/>
      </c>
      <c r="H39" s="50" t="str">
        <f aca="false">IF($G39="","",MAX(0,INT($G39)))</f>
        <v/>
      </c>
      <c r="I39" s="39" t="str">
        <f aca="false">IF(OR($F39="",$H39=""),"",$F39*$H39)</f>
        <v/>
      </c>
      <c r="J39" s="39" t="str">
        <f aca="false">IF(OR($A39="",$E39=""),"",$E39+IF($I39="",0,$I39))</f>
        <v/>
      </c>
      <c r="K39" s="39" t="str">
        <f aca="false">IF(OR($J39="",$J39=0),"",$J39/(1-Assumptions!$B$4))</f>
        <v/>
      </c>
      <c r="L39" s="39" t="str">
        <f aca="false">IF($K39="","",MAX($K39,$E39*Assumptions!$B$10))</f>
        <v/>
      </c>
      <c r="M39" s="27"/>
      <c r="N39" s="33"/>
    </row>
    <row r="40" customFormat="false" ht="15" hidden="false" customHeight="true" outlineLevel="0" collapsed="false">
      <c r="A40" s="42"/>
      <c r="B40" s="34" t="str">
        <f aca="false">IF($A40="","",IF(ISERROR(FIND(".",$A40)),"",LOWER(MID($A40,FIND(CHAR(1),SUBSTITUTE($A40,".",CHAR(1),LEN($A40)-LEN(SUBSTITUTE($A40,".",""))))+1,LEN($A40)))))</f>
        <v/>
      </c>
      <c r="C40" s="26"/>
      <c r="D40" s="49"/>
      <c r="E40" s="27"/>
      <c r="F40" s="36" t="str">
        <f aca="false">IF($B40="","",IFERROR(INDEX(Rubric!$C$15:$C$24,MATCH(LOWER($B40),Rubric!$A$15:$A$24,0)),INDEX(Rubric!$C$15:$C$24,MATCH("other",Rubric!$A$15:$A$24,0))))</f>
        <v/>
      </c>
      <c r="G40" s="37" t="str">
        <f aca="true">IF(OR($A40="",$D40=""),"",YEARFRAC($D40,TODAY()))</f>
        <v/>
      </c>
      <c r="H40" s="50" t="str">
        <f aca="false">IF($G40="","",MAX(0,INT($G40)))</f>
        <v/>
      </c>
      <c r="I40" s="39" t="str">
        <f aca="false">IF(OR($F40="",$H40=""),"",$F40*$H40)</f>
        <v/>
      </c>
      <c r="J40" s="39" t="str">
        <f aca="false">IF(OR($A40="",$E40=""),"",$E40+IF($I40="",0,$I40))</f>
        <v/>
      </c>
      <c r="K40" s="39" t="str">
        <f aca="false">IF(OR($J40="",$J40=0),"",$J40/(1-Assumptions!$B$4))</f>
        <v/>
      </c>
      <c r="L40" s="39" t="str">
        <f aca="false">IF($K40="","",MAX($K40,$E40*Assumptions!$B$10))</f>
        <v/>
      </c>
      <c r="M40" s="27"/>
      <c r="N40" s="33"/>
    </row>
    <row r="41" customFormat="false" ht="15" hidden="false" customHeight="true" outlineLevel="0" collapsed="false">
      <c r="A41" s="42"/>
      <c r="B41" s="34" t="str">
        <f aca="false">IF($A41="","",IF(ISERROR(FIND(".",$A41)),"",LOWER(MID($A41,FIND(CHAR(1),SUBSTITUTE($A41,".",CHAR(1),LEN($A41)-LEN(SUBSTITUTE($A41,".",""))))+1,LEN($A41)))))</f>
        <v/>
      </c>
      <c r="C41" s="26"/>
      <c r="D41" s="49"/>
      <c r="E41" s="27"/>
      <c r="F41" s="36" t="str">
        <f aca="false">IF($B41="","",IFERROR(INDEX(Rubric!$C$15:$C$24,MATCH(LOWER($B41),Rubric!$A$15:$A$24,0)),INDEX(Rubric!$C$15:$C$24,MATCH("other",Rubric!$A$15:$A$24,0))))</f>
        <v/>
      </c>
      <c r="G41" s="37" t="str">
        <f aca="true">IF(OR($A41="",$D41=""),"",YEARFRAC($D41,TODAY()))</f>
        <v/>
      </c>
      <c r="H41" s="50" t="str">
        <f aca="false">IF($G41="","",MAX(0,INT($G41)))</f>
        <v/>
      </c>
      <c r="I41" s="39" t="str">
        <f aca="false">IF(OR($F41="",$H41=""),"",$F41*$H41)</f>
        <v/>
      </c>
      <c r="J41" s="39" t="str">
        <f aca="false">IF(OR($A41="",$E41=""),"",$E41+IF($I41="",0,$I41))</f>
        <v/>
      </c>
      <c r="K41" s="39" t="str">
        <f aca="false">IF(OR($J41="",$J41=0),"",$J41/(1-Assumptions!$B$4))</f>
        <v/>
      </c>
      <c r="L41" s="39" t="str">
        <f aca="false">IF($K41="","",MAX($K41,$E41*Assumptions!$B$10))</f>
        <v/>
      </c>
      <c r="M41" s="27"/>
      <c r="N41" s="33"/>
    </row>
    <row r="42" customFormat="false" ht="15" hidden="false" customHeight="true" outlineLevel="0" collapsed="false">
      <c r="A42" s="42"/>
      <c r="B42" s="34" t="str">
        <f aca="false">IF($A42="","",IF(ISERROR(FIND(".",$A42)),"",LOWER(MID($A42,FIND(CHAR(1),SUBSTITUTE($A42,".",CHAR(1),LEN($A42)-LEN(SUBSTITUTE($A42,".",""))))+1,LEN($A42)))))</f>
        <v/>
      </c>
      <c r="C42" s="26"/>
      <c r="D42" s="49"/>
      <c r="E42" s="27"/>
      <c r="F42" s="36" t="str">
        <f aca="false">IF($B42="","",IFERROR(INDEX(Rubric!$C$15:$C$24,MATCH(LOWER($B42),Rubric!$A$15:$A$24,0)),INDEX(Rubric!$C$15:$C$24,MATCH("other",Rubric!$A$15:$A$24,0))))</f>
        <v/>
      </c>
      <c r="G42" s="37" t="str">
        <f aca="true">IF(OR($A42="",$D42=""),"",YEARFRAC($D42,TODAY()))</f>
        <v/>
      </c>
      <c r="H42" s="50" t="str">
        <f aca="false">IF($G42="","",MAX(0,INT($G42)))</f>
        <v/>
      </c>
      <c r="I42" s="39" t="str">
        <f aca="false">IF(OR($F42="",$H42=""),"",$F42*$H42)</f>
        <v/>
      </c>
      <c r="J42" s="39" t="str">
        <f aca="false">IF(OR($A42="",$E42=""),"",$E42+IF($I42="",0,$I42))</f>
        <v/>
      </c>
      <c r="K42" s="39" t="str">
        <f aca="false">IF(OR($J42="",$J42=0),"",$J42/(1-Assumptions!$B$4))</f>
        <v/>
      </c>
      <c r="L42" s="39" t="str">
        <f aca="false">IF($K42="","",MAX($K42,$E42*Assumptions!$B$10))</f>
        <v/>
      </c>
      <c r="M42" s="27"/>
      <c r="N42" s="33"/>
    </row>
    <row r="43" customFormat="false" ht="15" hidden="false" customHeight="true" outlineLevel="0" collapsed="false">
      <c r="A43" s="42"/>
      <c r="B43" s="34" t="str">
        <f aca="false">IF($A43="","",IF(ISERROR(FIND(".",$A43)),"",LOWER(MID($A43,FIND(CHAR(1),SUBSTITUTE($A43,".",CHAR(1),LEN($A43)-LEN(SUBSTITUTE($A43,".",""))))+1,LEN($A43)))))</f>
        <v/>
      </c>
      <c r="C43" s="26"/>
      <c r="D43" s="49"/>
      <c r="E43" s="27"/>
      <c r="F43" s="36" t="str">
        <f aca="false">IF($B43="","",IFERROR(INDEX(Rubric!$C$15:$C$24,MATCH(LOWER($B43),Rubric!$A$15:$A$24,0)),INDEX(Rubric!$C$15:$C$24,MATCH("other",Rubric!$A$15:$A$24,0))))</f>
        <v/>
      </c>
      <c r="G43" s="37" t="str">
        <f aca="true">IF(OR($A43="",$D43=""),"",YEARFRAC($D43,TODAY()))</f>
        <v/>
      </c>
      <c r="H43" s="50" t="str">
        <f aca="false">IF($G43="","",MAX(0,INT($G43)))</f>
        <v/>
      </c>
      <c r="I43" s="39" t="str">
        <f aca="false">IF(OR($F43="",$H43=""),"",$F43*$H43)</f>
        <v/>
      </c>
      <c r="J43" s="39" t="str">
        <f aca="false">IF(OR($A43="",$E43=""),"",$E43+IF($I43="",0,$I43))</f>
        <v/>
      </c>
      <c r="K43" s="39" t="str">
        <f aca="false">IF(OR($J43="",$J43=0),"",$J43/(1-Assumptions!$B$4))</f>
        <v/>
      </c>
      <c r="L43" s="39" t="str">
        <f aca="false">IF($K43="","",MAX($K43,$E43*Assumptions!$B$10))</f>
        <v/>
      </c>
      <c r="M43" s="27"/>
      <c r="N43" s="33"/>
    </row>
    <row r="44" customFormat="false" ht="15" hidden="false" customHeight="true" outlineLevel="0" collapsed="false">
      <c r="A44" s="42"/>
      <c r="B44" s="34" t="str">
        <f aca="false">IF($A44="","",IF(ISERROR(FIND(".",$A44)),"",LOWER(MID($A44,FIND(CHAR(1),SUBSTITUTE($A44,".",CHAR(1),LEN($A44)-LEN(SUBSTITUTE($A44,".",""))))+1,LEN($A44)))))</f>
        <v/>
      </c>
      <c r="C44" s="26"/>
      <c r="D44" s="49"/>
      <c r="E44" s="27"/>
      <c r="F44" s="36" t="str">
        <f aca="false">IF($B44="","",IFERROR(INDEX(Rubric!$C$15:$C$24,MATCH(LOWER($B44),Rubric!$A$15:$A$24,0)),INDEX(Rubric!$C$15:$C$24,MATCH("other",Rubric!$A$15:$A$24,0))))</f>
        <v/>
      </c>
      <c r="G44" s="37" t="str">
        <f aca="true">IF(OR($A44="",$D44=""),"",YEARFRAC($D44,TODAY()))</f>
        <v/>
      </c>
      <c r="H44" s="50" t="str">
        <f aca="false">IF($G44="","",MAX(0,INT($G44)))</f>
        <v/>
      </c>
      <c r="I44" s="39" t="str">
        <f aca="false">IF(OR($F44="",$H44=""),"",$F44*$H44)</f>
        <v/>
      </c>
      <c r="J44" s="39" t="str">
        <f aca="false">IF(OR($A44="",$E44=""),"",$E44+IF($I44="",0,$I44))</f>
        <v/>
      </c>
      <c r="K44" s="39" t="str">
        <f aca="false">IF(OR($J44="",$J44=0),"",$J44/(1-Assumptions!$B$4))</f>
        <v/>
      </c>
      <c r="L44" s="39" t="str">
        <f aca="false">IF($K44="","",MAX($K44,$E44*Assumptions!$B$10))</f>
        <v/>
      </c>
      <c r="M44" s="27"/>
      <c r="N44" s="33"/>
    </row>
    <row r="45" customFormat="false" ht="15" hidden="false" customHeight="true" outlineLevel="0" collapsed="false">
      <c r="A45" s="42"/>
      <c r="B45" s="34" t="str">
        <f aca="false">IF($A45="","",IF(ISERROR(FIND(".",$A45)),"",LOWER(MID($A45,FIND(CHAR(1),SUBSTITUTE($A45,".",CHAR(1),LEN($A45)-LEN(SUBSTITUTE($A45,".",""))))+1,LEN($A45)))))</f>
        <v/>
      </c>
      <c r="C45" s="26"/>
      <c r="D45" s="49"/>
      <c r="E45" s="27"/>
      <c r="F45" s="36" t="str">
        <f aca="false">IF($B45="","",IFERROR(INDEX(Rubric!$C$15:$C$24,MATCH(LOWER($B45),Rubric!$A$15:$A$24,0)),INDEX(Rubric!$C$15:$C$24,MATCH("other",Rubric!$A$15:$A$24,0))))</f>
        <v/>
      </c>
      <c r="G45" s="37" t="str">
        <f aca="true">IF(OR($A45="",$D45=""),"",YEARFRAC($D45,TODAY()))</f>
        <v/>
      </c>
      <c r="H45" s="50" t="str">
        <f aca="false">IF($G45="","",MAX(0,INT($G45)))</f>
        <v/>
      </c>
      <c r="I45" s="39" t="str">
        <f aca="false">IF(OR($F45="",$H45=""),"",$F45*$H45)</f>
        <v/>
      </c>
      <c r="J45" s="39" t="str">
        <f aca="false">IF(OR($A45="",$E45=""),"",$E45+IF($I45="",0,$I45))</f>
        <v/>
      </c>
      <c r="K45" s="39" t="str">
        <f aca="false">IF(OR($J45="",$J45=0),"",$J45/(1-Assumptions!$B$4))</f>
        <v/>
      </c>
      <c r="L45" s="39" t="str">
        <f aca="false">IF($K45="","",MAX($K45,$E45*Assumptions!$B$10))</f>
        <v/>
      </c>
      <c r="M45" s="27"/>
      <c r="N45" s="33"/>
    </row>
    <row r="46" customFormat="false" ht="15" hidden="false" customHeight="true" outlineLevel="0" collapsed="false">
      <c r="A46" s="42"/>
      <c r="B46" s="34" t="str">
        <f aca="false">IF($A46="","",IF(ISERROR(FIND(".",$A46)),"",LOWER(MID($A46,FIND(CHAR(1),SUBSTITUTE($A46,".",CHAR(1),LEN($A46)-LEN(SUBSTITUTE($A46,".",""))))+1,LEN($A46)))))</f>
        <v/>
      </c>
      <c r="C46" s="26"/>
      <c r="D46" s="49"/>
      <c r="E46" s="27"/>
      <c r="F46" s="36" t="str">
        <f aca="false">IF($B46="","",IFERROR(INDEX(Rubric!$C$15:$C$24,MATCH(LOWER($B46),Rubric!$A$15:$A$24,0)),INDEX(Rubric!$C$15:$C$24,MATCH("other",Rubric!$A$15:$A$24,0))))</f>
        <v/>
      </c>
      <c r="G46" s="37" t="str">
        <f aca="true">IF(OR($A46="",$D46=""),"",YEARFRAC($D46,TODAY()))</f>
        <v/>
      </c>
      <c r="H46" s="50" t="str">
        <f aca="false">IF($G46="","",MAX(0,INT($G46)))</f>
        <v/>
      </c>
      <c r="I46" s="39" t="str">
        <f aca="false">IF(OR($F46="",$H46=""),"",$F46*$H46)</f>
        <v/>
      </c>
      <c r="J46" s="39" t="str">
        <f aca="false">IF(OR($A46="",$E46=""),"",$E46+IF($I46="",0,$I46))</f>
        <v/>
      </c>
      <c r="K46" s="39" t="str">
        <f aca="false">IF(OR($J46="",$J46=0),"",$J46/(1-Assumptions!$B$4))</f>
        <v/>
      </c>
      <c r="L46" s="39" t="str">
        <f aca="false">IF($K46="","",MAX($K46,$E46*Assumptions!$B$10))</f>
        <v/>
      </c>
      <c r="M46" s="27"/>
      <c r="N46" s="33"/>
    </row>
    <row r="47" customFormat="false" ht="15" hidden="false" customHeight="true" outlineLevel="0" collapsed="false">
      <c r="A47" s="42"/>
      <c r="B47" s="34" t="str">
        <f aca="false">IF($A47="","",IF(ISERROR(FIND(".",$A47)),"",LOWER(MID($A47,FIND(CHAR(1),SUBSTITUTE($A47,".",CHAR(1),LEN($A47)-LEN(SUBSTITUTE($A47,".",""))))+1,LEN($A47)))))</f>
        <v/>
      </c>
      <c r="C47" s="26"/>
      <c r="D47" s="49"/>
      <c r="E47" s="27"/>
      <c r="F47" s="36" t="str">
        <f aca="false">IF($B47="","",IFERROR(INDEX(Rubric!$C$15:$C$24,MATCH(LOWER($B47),Rubric!$A$15:$A$24,0)),INDEX(Rubric!$C$15:$C$24,MATCH("other",Rubric!$A$15:$A$24,0))))</f>
        <v/>
      </c>
      <c r="G47" s="37" t="str">
        <f aca="true">IF(OR($A47="",$D47=""),"",YEARFRAC($D47,TODAY()))</f>
        <v/>
      </c>
      <c r="H47" s="50" t="str">
        <f aca="false">IF($G47="","",MAX(0,INT($G47)))</f>
        <v/>
      </c>
      <c r="I47" s="39" t="str">
        <f aca="false">IF(OR($F47="",$H47=""),"",$F47*$H47)</f>
        <v/>
      </c>
      <c r="J47" s="39" t="str">
        <f aca="false">IF(OR($A47="",$E47=""),"",$E47+IF($I47="",0,$I47))</f>
        <v/>
      </c>
      <c r="K47" s="39" t="str">
        <f aca="false">IF(OR($J47="",$J47=0),"",$J47/(1-Assumptions!$B$4))</f>
        <v/>
      </c>
      <c r="L47" s="39" t="str">
        <f aca="false">IF($K47="","",MAX($K47,$E47*Assumptions!$B$10))</f>
        <v/>
      </c>
      <c r="M47" s="27"/>
      <c r="N47" s="33"/>
    </row>
    <row r="48" customFormat="false" ht="15" hidden="false" customHeight="true" outlineLevel="0" collapsed="false">
      <c r="A48" s="42"/>
      <c r="B48" s="34" t="str">
        <f aca="false">IF($A48="","",IF(ISERROR(FIND(".",$A48)),"",LOWER(MID($A48,FIND(CHAR(1),SUBSTITUTE($A48,".",CHAR(1),LEN($A48)-LEN(SUBSTITUTE($A48,".",""))))+1,LEN($A48)))))</f>
        <v/>
      </c>
      <c r="C48" s="26"/>
      <c r="D48" s="49"/>
      <c r="E48" s="27"/>
      <c r="F48" s="36" t="str">
        <f aca="false">IF($B48="","",IFERROR(INDEX(Rubric!$C$15:$C$24,MATCH(LOWER($B48),Rubric!$A$15:$A$24,0)),INDEX(Rubric!$C$15:$C$24,MATCH("other",Rubric!$A$15:$A$24,0))))</f>
        <v/>
      </c>
      <c r="G48" s="37" t="str">
        <f aca="true">IF(OR($A48="",$D48=""),"",YEARFRAC($D48,TODAY()))</f>
        <v/>
      </c>
      <c r="H48" s="50" t="str">
        <f aca="false">IF($G48="","",MAX(0,INT($G48)))</f>
        <v/>
      </c>
      <c r="I48" s="39" t="str">
        <f aca="false">IF(OR($F48="",$H48=""),"",$F48*$H48)</f>
        <v/>
      </c>
      <c r="J48" s="39" t="str">
        <f aca="false">IF(OR($A48="",$E48=""),"",$E48+IF($I48="",0,$I48))</f>
        <v/>
      </c>
      <c r="K48" s="39" t="str">
        <f aca="false">IF(OR($J48="",$J48=0),"",$J48/(1-Assumptions!$B$4))</f>
        <v/>
      </c>
      <c r="L48" s="39" t="str">
        <f aca="false">IF($K48="","",MAX($K48,$E48*Assumptions!$B$10))</f>
        <v/>
      </c>
      <c r="M48" s="27"/>
      <c r="N48" s="33"/>
    </row>
    <row r="49" customFormat="false" ht="15" hidden="false" customHeight="true" outlineLevel="0" collapsed="false">
      <c r="A49" s="42"/>
      <c r="B49" s="34" t="str">
        <f aca="false">IF($A49="","",IF(ISERROR(FIND(".",$A49)),"",LOWER(MID($A49,FIND(CHAR(1),SUBSTITUTE($A49,".",CHAR(1),LEN($A49)-LEN(SUBSTITUTE($A49,".",""))))+1,LEN($A49)))))</f>
        <v/>
      </c>
      <c r="C49" s="26"/>
      <c r="D49" s="49"/>
      <c r="E49" s="27"/>
      <c r="F49" s="36" t="str">
        <f aca="false">IF($B49="","",IFERROR(INDEX(Rubric!$C$15:$C$24,MATCH(LOWER($B49),Rubric!$A$15:$A$24,0)),INDEX(Rubric!$C$15:$C$24,MATCH("other",Rubric!$A$15:$A$24,0))))</f>
        <v/>
      </c>
      <c r="G49" s="37" t="str">
        <f aca="true">IF(OR($A49="",$D49=""),"",YEARFRAC($D49,TODAY()))</f>
        <v/>
      </c>
      <c r="H49" s="50" t="str">
        <f aca="false">IF($G49="","",MAX(0,INT($G49)))</f>
        <v/>
      </c>
      <c r="I49" s="39" t="str">
        <f aca="false">IF(OR($F49="",$H49=""),"",$F49*$H49)</f>
        <v/>
      </c>
      <c r="J49" s="39" t="str">
        <f aca="false">IF(OR($A49="",$E49=""),"",$E49+IF($I49="",0,$I49))</f>
        <v/>
      </c>
      <c r="K49" s="39" t="str">
        <f aca="false">IF(OR($J49="",$J49=0),"",$J49/(1-Assumptions!$B$4))</f>
        <v/>
      </c>
      <c r="L49" s="39" t="str">
        <f aca="false">IF($K49="","",MAX($K49,$E49*Assumptions!$B$10))</f>
        <v/>
      </c>
      <c r="M49" s="27"/>
      <c r="N49" s="33"/>
    </row>
    <row r="50" customFormat="false" ht="15" hidden="false" customHeight="true" outlineLevel="0" collapsed="false">
      <c r="A50" s="42"/>
      <c r="B50" s="34" t="str">
        <f aca="false">IF($A50="","",IF(ISERROR(FIND(".",$A50)),"",LOWER(MID($A50,FIND(CHAR(1),SUBSTITUTE($A50,".",CHAR(1),LEN($A50)-LEN(SUBSTITUTE($A50,".",""))))+1,LEN($A50)))))</f>
        <v/>
      </c>
      <c r="C50" s="26"/>
      <c r="D50" s="49"/>
      <c r="E50" s="27"/>
      <c r="F50" s="36" t="str">
        <f aca="false">IF($B50="","",IFERROR(INDEX(Rubric!$C$15:$C$24,MATCH(LOWER($B50),Rubric!$A$15:$A$24,0)),INDEX(Rubric!$C$15:$C$24,MATCH("other",Rubric!$A$15:$A$24,0))))</f>
        <v/>
      </c>
      <c r="G50" s="37" t="str">
        <f aca="true">IF(OR($A50="",$D50=""),"",YEARFRAC($D50,TODAY()))</f>
        <v/>
      </c>
      <c r="H50" s="50" t="str">
        <f aca="false">IF($G50="","",MAX(0,INT($G50)))</f>
        <v/>
      </c>
      <c r="I50" s="39" t="str">
        <f aca="false">IF(OR($F50="",$H50=""),"",$F50*$H50)</f>
        <v/>
      </c>
      <c r="J50" s="39" t="str">
        <f aca="false">IF(OR($A50="",$E50=""),"",$E50+IF($I50="",0,$I50))</f>
        <v/>
      </c>
      <c r="K50" s="39" t="str">
        <f aca="false">IF(OR($J50="",$J50=0),"",$J50/(1-Assumptions!$B$4))</f>
        <v/>
      </c>
      <c r="L50" s="39" t="str">
        <f aca="false">IF($K50="","",MAX($K50,$E50*Assumptions!$B$10))</f>
        <v/>
      </c>
      <c r="M50" s="27"/>
      <c r="N50" s="33"/>
    </row>
    <row r="51" customFormat="false" ht="15" hidden="false" customHeight="true" outlineLevel="0" collapsed="false">
      <c r="A51" s="42"/>
      <c r="B51" s="34" t="str">
        <f aca="false">IF($A51="","",IF(ISERROR(FIND(".",$A51)),"",LOWER(MID($A51,FIND(CHAR(1),SUBSTITUTE($A51,".",CHAR(1),LEN($A51)-LEN(SUBSTITUTE($A51,".",""))))+1,LEN($A51)))))</f>
        <v/>
      </c>
      <c r="C51" s="26"/>
      <c r="D51" s="49"/>
      <c r="E51" s="27"/>
      <c r="F51" s="36" t="str">
        <f aca="false">IF($B51="","",IFERROR(INDEX(Rubric!$C$15:$C$24,MATCH(LOWER($B51),Rubric!$A$15:$A$24,0)),INDEX(Rubric!$C$15:$C$24,MATCH("other",Rubric!$A$15:$A$24,0))))</f>
        <v/>
      </c>
      <c r="G51" s="37" t="str">
        <f aca="true">IF(OR($A51="",$D51=""),"",YEARFRAC($D51,TODAY()))</f>
        <v/>
      </c>
      <c r="H51" s="50" t="str">
        <f aca="false">IF($G51="","",MAX(0,INT($G51)))</f>
        <v/>
      </c>
      <c r="I51" s="39" t="str">
        <f aca="false">IF(OR($F51="",$H51=""),"",$F51*$H51)</f>
        <v/>
      </c>
      <c r="J51" s="39" t="str">
        <f aca="false">IF(OR($A51="",$E51=""),"",$E51+IF($I51="",0,$I51))</f>
        <v/>
      </c>
      <c r="K51" s="39" t="str">
        <f aca="false">IF(OR($J51="",$J51=0),"",$J51/(1-Assumptions!$B$4))</f>
        <v/>
      </c>
      <c r="L51" s="39" t="str">
        <f aca="false">IF($K51="","",MAX($K51,$E51*Assumptions!$B$10))</f>
        <v/>
      </c>
      <c r="M51" s="27"/>
      <c r="N51" s="33"/>
    </row>
    <row r="52" customFormat="false" ht="15" hidden="false" customHeight="true" outlineLevel="0" collapsed="false">
      <c r="A52" s="42"/>
      <c r="B52" s="34" t="str">
        <f aca="false">IF($A52="","",IF(ISERROR(FIND(".",$A52)),"",LOWER(MID($A52,FIND(CHAR(1),SUBSTITUTE($A52,".",CHAR(1),LEN($A52)-LEN(SUBSTITUTE($A52,".",""))))+1,LEN($A52)))))</f>
        <v/>
      </c>
      <c r="C52" s="26"/>
      <c r="D52" s="49"/>
      <c r="E52" s="27"/>
      <c r="F52" s="36" t="str">
        <f aca="false">IF($B52="","",IFERROR(INDEX(Rubric!$C$15:$C$24,MATCH(LOWER($B52),Rubric!$A$15:$A$24,0)),INDEX(Rubric!$C$15:$C$24,MATCH("other",Rubric!$A$15:$A$24,0))))</f>
        <v/>
      </c>
      <c r="G52" s="37" t="str">
        <f aca="true">IF(OR($A52="",$D52=""),"",YEARFRAC($D52,TODAY()))</f>
        <v/>
      </c>
      <c r="H52" s="50" t="str">
        <f aca="false">IF($G52="","",MAX(0,INT($G52)))</f>
        <v/>
      </c>
      <c r="I52" s="39" t="str">
        <f aca="false">IF(OR($F52="",$H52=""),"",$F52*$H52)</f>
        <v/>
      </c>
      <c r="J52" s="39" t="str">
        <f aca="false">IF(OR($A52="",$E52=""),"",$E52+IF($I52="",0,$I52))</f>
        <v/>
      </c>
      <c r="K52" s="39" t="str">
        <f aca="false">IF(OR($J52="",$J52=0),"",$J52/(1-Assumptions!$B$4))</f>
        <v/>
      </c>
      <c r="L52" s="39" t="str">
        <f aca="false">IF($K52="","",MAX($K52,$E52*Assumptions!$B$10))</f>
        <v/>
      </c>
      <c r="M52" s="27"/>
      <c r="N52" s="33"/>
    </row>
    <row r="53" customFormat="false" ht="15" hidden="false" customHeight="true" outlineLevel="0" collapsed="false">
      <c r="A53" s="42"/>
      <c r="B53" s="34" t="str">
        <f aca="false">IF($A53="","",IF(ISERROR(FIND(".",$A53)),"",LOWER(MID($A53,FIND(CHAR(1),SUBSTITUTE($A53,".",CHAR(1),LEN($A53)-LEN(SUBSTITUTE($A53,".",""))))+1,LEN($A53)))))</f>
        <v/>
      </c>
      <c r="C53" s="26"/>
      <c r="D53" s="49"/>
      <c r="E53" s="27"/>
      <c r="F53" s="36" t="str">
        <f aca="false">IF($B53="","",IFERROR(INDEX(Rubric!$C$15:$C$24,MATCH(LOWER($B53),Rubric!$A$15:$A$24,0)),INDEX(Rubric!$C$15:$C$24,MATCH("other",Rubric!$A$15:$A$24,0))))</f>
        <v/>
      </c>
      <c r="G53" s="37" t="str">
        <f aca="true">IF(OR($A53="",$D53=""),"",YEARFRAC($D53,TODAY()))</f>
        <v/>
      </c>
      <c r="H53" s="50" t="str">
        <f aca="false">IF($G53="","",MAX(0,INT($G53)))</f>
        <v/>
      </c>
      <c r="I53" s="39" t="str">
        <f aca="false">IF(OR($F53="",$H53=""),"",$F53*$H53)</f>
        <v/>
      </c>
      <c r="J53" s="39" t="str">
        <f aca="false">IF(OR($A53="",$E53=""),"",$E53+IF($I53="",0,$I53))</f>
        <v/>
      </c>
      <c r="K53" s="39" t="str">
        <f aca="false">IF(OR($J53="",$J53=0),"",$J53/(1-Assumptions!$B$4))</f>
        <v/>
      </c>
      <c r="L53" s="39" t="str">
        <f aca="false">IF($K53="","",MAX($K53,$E53*Assumptions!$B$10))</f>
        <v/>
      </c>
      <c r="M53" s="27"/>
      <c r="N53" s="33"/>
    </row>
    <row r="54" customFormat="false" ht="15" hidden="false" customHeight="true" outlineLevel="0" collapsed="false">
      <c r="A54" s="42"/>
      <c r="B54" s="34" t="str">
        <f aca="false">IF($A54="","",IF(ISERROR(FIND(".",$A54)),"",LOWER(MID($A54,FIND(CHAR(1),SUBSTITUTE($A54,".",CHAR(1),LEN($A54)-LEN(SUBSTITUTE($A54,".",""))))+1,LEN($A54)))))</f>
        <v/>
      </c>
      <c r="C54" s="26"/>
      <c r="D54" s="49"/>
      <c r="E54" s="27"/>
      <c r="F54" s="36" t="str">
        <f aca="false">IF($B54="","",IFERROR(INDEX(Rubric!$C$15:$C$24,MATCH(LOWER($B54),Rubric!$A$15:$A$24,0)),INDEX(Rubric!$C$15:$C$24,MATCH("other",Rubric!$A$15:$A$24,0))))</f>
        <v/>
      </c>
      <c r="G54" s="37" t="str">
        <f aca="true">IF(OR($A54="",$D54=""),"",YEARFRAC($D54,TODAY()))</f>
        <v/>
      </c>
      <c r="H54" s="50" t="str">
        <f aca="false">IF($G54="","",MAX(0,INT($G54)))</f>
        <v/>
      </c>
      <c r="I54" s="39" t="str">
        <f aca="false">IF(OR($F54="",$H54=""),"",$F54*$H54)</f>
        <v/>
      </c>
      <c r="J54" s="39" t="str">
        <f aca="false">IF(OR($A54="",$E54=""),"",$E54+IF($I54="",0,$I54))</f>
        <v/>
      </c>
      <c r="K54" s="39" t="str">
        <f aca="false">IF(OR($J54="",$J54=0),"",$J54/(1-Assumptions!$B$4))</f>
        <v/>
      </c>
      <c r="L54" s="39" t="str">
        <f aca="false">IF($K54="","",MAX($K54,$E54*Assumptions!$B$10))</f>
        <v/>
      </c>
      <c r="M54" s="27"/>
      <c r="N54" s="33"/>
    </row>
    <row r="55" customFormat="false" ht="15" hidden="false" customHeight="true" outlineLevel="0" collapsed="false">
      <c r="A55" s="42"/>
      <c r="B55" s="34" t="str">
        <f aca="false">IF($A55="","",IF(ISERROR(FIND(".",$A55)),"",LOWER(MID($A55,FIND(CHAR(1),SUBSTITUTE($A55,".",CHAR(1),LEN($A55)-LEN(SUBSTITUTE($A55,".",""))))+1,LEN($A55)))))</f>
        <v/>
      </c>
      <c r="C55" s="26"/>
      <c r="D55" s="49"/>
      <c r="E55" s="27"/>
      <c r="F55" s="36" t="str">
        <f aca="false">IF($B55="","",IFERROR(INDEX(Rubric!$C$15:$C$24,MATCH(LOWER($B55),Rubric!$A$15:$A$24,0)),INDEX(Rubric!$C$15:$C$24,MATCH("other",Rubric!$A$15:$A$24,0))))</f>
        <v/>
      </c>
      <c r="G55" s="37" t="str">
        <f aca="true">IF(OR($A55="",$D55=""),"",YEARFRAC($D55,TODAY()))</f>
        <v/>
      </c>
      <c r="H55" s="50" t="str">
        <f aca="false">IF($G55="","",MAX(0,INT($G55)))</f>
        <v/>
      </c>
      <c r="I55" s="39" t="str">
        <f aca="false">IF(OR($F55="",$H55=""),"",$F55*$H55)</f>
        <v/>
      </c>
      <c r="J55" s="39" t="str">
        <f aca="false">IF(OR($A55="",$E55=""),"",$E55+IF($I55="",0,$I55))</f>
        <v/>
      </c>
      <c r="K55" s="39" t="str">
        <f aca="false">IF(OR($J55="",$J55=0),"",$J55/(1-Assumptions!$B$4))</f>
        <v/>
      </c>
      <c r="L55" s="39" t="str">
        <f aca="false">IF($K55="","",MAX($K55,$E55*Assumptions!$B$10))</f>
        <v/>
      </c>
      <c r="M55" s="27"/>
      <c r="N55" s="33"/>
    </row>
    <row r="56" customFormat="false" ht="15" hidden="false" customHeight="true" outlineLevel="0" collapsed="false">
      <c r="A56" s="42"/>
      <c r="B56" s="34" t="str">
        <f aca="false">IF($A56="","",IF(ISERROR(FIND(".",$A56)),"",LOWER(MID($A56,FIND(CHAR(1),SUBSTITUTE($A56,".",CHAR(1),LEN($A56)-LEN(SUBSTITUTE($A56,".",""))))+1,LEN($A56)))))</f>
        <v/>
      </c>
      <c r="C56" s="26"/>
      <c r="D56" s="49"/>
      <c r="E56" s="27"/>
      <c r="F56" s="36" t="str">
        <f aca="false">IF($B56="","",IFERROR(INDEX(Rubric!$C$15:$C$24,MATCH(LOWER($B56),Rubric!$A$15:$A$24,0)),INDEX(Rubric!$C$15:$C$24,MATCH("other",Rubric!$A$15:$A$24,0))))</f>
        <v/>
      </c>
      <c r="G56" s="37" t="str">
        <f aca="true">IF(OR($A56="",$D56=""),"",YEARFRAC($D56,TODAY()))</f>
        <v/>
      </c>
      <c r="H56" s="50" t="str">
        <f aca="false">IF($G56="","",MAX(0,INT($G56)))</f>
        <v/>
      </c>
      <c r="I56" s="39" t="str">
        <f aca="false">IF(OR($F56="",$H56=""),"",$F56*$H56)</f>
        <v/>
      </c>
      <c r="J56" s="39" t="str">
        <f aca="false">IF(OR($A56="",$E56=""),"",$E56+IF($I56="",0,$I56))</f>
        <v/>
      </c>
      <c r="K56" s="39" t="str">
        <f aca="false">IF(OR($J56="",$J56=0),"",$J56/(1-Assumptions!$B$4))</f>
        <v/>
      </c>
      <c r="L56" s="39" t="str">
        <f aca="false">IF($K56="","",MAX($K56,$E56*Assumptions!$B$10))</f>
        <v/>
      </c>
      <c r="M56" s="27"/>
      <c r="N56" s="33"/>
    </row>
    <row r="57" customFormat="false" ht="15" hidden="false" customHeight="true" outlineLevel="0" collapsed="false">
      <c r="A57" s="42"/>
      <c r="B57" s="34" t="str">
        <f aca="false">IF($A57="","",IF(ISERROR(FIND(".",$A57)),"",LOWER(MID($A57,FIND(CHAR(1),SUBSTITUTE($A57,".",CHAR(1),LEN($A57)-LEN(SUBSTITUTE($A57,".",""))))+1,LEN($A57)))))</f>
        <v/>
      </c>
      <c r="C57" s="26"/>
      <c r="D57" s="49"/>
      <c r="E57" s="27"/>
      <c r="F57" s="36" t="str">
        <f aca="false">IF($B57="","",IFERROR(INDEX(Rubric!$C$15:$C$24,MATCH(LOWER($B57),Rubric!$A$15:$A$24,0)),INDEX(Rubric!$C$15:$C$24,MATCH("other",Rubric!$A$15:$A$24,0))))</f>
        <v/>
      </c>
      <c r="G57" s="37" t="str">
        <f aca="true">IF(OR($A57="",$D57=""),"",YEARFRAC($D57,TODAY()))</f>
        <v/>
      </c>
      <c r="H57" s="50" t="str">
        <f aca="false">IF($G57="","",MAX(0,INT($G57)))</f>
        <v/>
      </c>
      <c r="I57" s="39" t="str">
        <f aca="false">IF(OR($F57="",$H57=""),"",$F57*$H57)</f>
        <v/>
      </c>
      <c r="J57" s="39" t="str">
        <f aca="false">IF(OR($A57="",$E57=""),"",$E57+IF($I57="",0,$I57))</f>
        <v/>
      </c>
      <c r="K57" s="39" t="str">
        <f aca="false">IF(OR($J57="",$J57=0),"",$J57/(1-Assumptions!$B$4))</f>
        <v/>
      </c>
      <c r="L57" s="39" t="str">
        <f aca="false">IF($K57="","",MAX($K57,$E57*Assumptions!$B$10))</f>
        <v/>
      </c>
      <c r="M57" s="27"/>
      <c r="N57" s="33"/>
    </row>
    <row r="58" customFormat="false" ht="15" hidden="false" customHeight="true" outlineLevel="0" collapsed="false">
      <c r="A58" s="42"/>
      <c r="B58" s="34" t="str">
        <f aca="false">IF($A58="","",IF(ISERROR(FIND(".",$A58)),"",LOWER(MID($A58,FIND(CHAR(1),SUBSTITUTE($A58,".",CHAR(1),LEN($A58)-LEN(SUBSTITUTE($A58,".",""))))+1,LEN($A58)))))</f>
        <v/>
      </c>
      <c r="C58" s="26"/>
      <c r="D58" s="49"/>
      <c r="E58" s="27"/>
      <c r="F58" s="36" t="str">
        <f aca="false">IF($B58="","",IFERROR(INDEX(Rubric!$C$15:$C$24,MATCH(LOWER($B58),Rubric!$A$15:$A$24,0)),INDEX(Rubric!$C$15:$C$24,MATCH("other",Rubric!$A$15:$A$24,0))))</f>
        <v/>
      </c>
      <c r="G58" s="37" t="str">
        <f aca="true">IF(OR($A58="",$D58=""),"",YEARFRAC($D58,TODAY()))</f>
        <v/>
      </c>
      <c r="H58" s="50" t="str">
        <f aca="false">IF($G58="","",MAX(0,INT($G58)))</f>
        <v/>
      </c>
      <c r="I58" s="39" t="str">
        <f aca="false">IF(OR($F58="",$H58=""),"",$F58*$H58)</f>
        <v/>
      </c>
      <c r="J58" s="39" t="str">
        <f aca="false">IF(OR($A58="",$E58=""),"",$E58+IF($I58="",0,$I58))</f>
        <v/>
      </c>
      <c r="K58" s="39" t="str">
        <f aca="false">IF(OR($J58="",$J58=0),"",$J58/(1-Assumptions!$B$4))</f>
        <v/>
      </c>
      <c r="L58" s="39" t="str">
        <f aca="false">IF($K58="","",MAX($K58,$E58*Assumptions!$B$10))</f>
        <v/>
      </c>
      <c r="M58" s="27"/>
      <c r="N58" s="33"/>
    </row>
    <row r="59" customFormat="false" ht="15" hidden="false" customHeight="true" outlineLevel="0" collapsed="false">
      <c r="A59" s="42"/>
      <c r="B59" s="34" t="str">
        <f aca="false">IF($A59="","",IF(ISERROR(FIND(".",$A59)),"",LOWER(MID($A59,FIND(CHAR(1),SUBSTITUTE($A59,".",CHAR(1),LEN($A59)-LEN(SUBSTITUTE($A59,".",""))))+1,LEN($A59)))))</f>
        <v/>
      </c>
      <c r="C59" s="26"/>
      <c r="D59" s="49"/>
      <c r="E59" s="27"/>
      <c r="F59" s="36" t="str">
        <f aca="false">IF($B59="","",IFERROR(INDEX(Rubric!$C$15:$C$24,MATCH(LOWER($B59),Rubric!$A$15:$A$24,0)),INDEX(Rubric!$C$15:$C$24,MATCH("other",Rubric!$A$15:$A$24,0))))</f>
        <v/>
      </c>
      <c r="G59" s="37" t="str">
        <f aca="true">IF(OR($A59="",$D59=""),"",YEARFRAC($D59,TODAY()))</f>
        <v/>
      </c>
      <c r="H59" s="50" t="str">
        <f aca="false">IF($G59="","",MAX(0,INT($G59)))</f>
        <v/>
      </c>
      <c r="I59" s="39" t="str">
        <f aca="false">IF(OR($F59="",$H59=""),"",$F59*$H59)</f>
        <v/>
      </c>
      <c r="J59" s="39" t="str">
        <f aca="false">IF(OR($A59="",$E59=""),"",$E59+IF($I59="",0,$I59))</f>
        <v/>
      </c>
      <c r="K59" s="39" t="str">
        <f aca="false">IF(OR($J59="",$J59=0),"",$J59/(1-Assumptions!$B$4))</f>
        <v/>
      </c>
      <c r="L59" s="39" t="str">
        <f aca="false">IF($K59="","",MAX($K59,$E59*Assumptions!$B$10))</f>
        <v/>
      </c>
      <c r="M59" s="27"/>
      <c r="N59" s="33"/>
    </row>
    <row r="60" customFormat="false" ht="15" hidden="false" customHeight="true" outlineLevel="0" collapsed="false">
      <c r="A60" s="42"/>
      <c r="B60" s="34" t="str">
        <f aca="false">IF($A60="","",IF(ISERROR(FIND(".",$A60)),"",LOWER(MID($A60,FIND(CHAR(1),SUBSTITUTE($A60,".",CHAR(1),LEN($A60)-LEN(SUBSTITUTE($A60,".",""))))+1,LEN($A60)))))</f>
        <v/>
      </c>
      <c r="C60" s="26"/>
      <c r="D60" s="49"/>
      <c r="E60" s="27"/>
      <c r="F60" s="36" t="str">
        <f aca="false">IF($B60="","",IFERROR(INDEX(Rubric!$C$15:$C$24,MATCH(LOWER($B60),Rubric!$A$15:$A$24,0)),INDEX(Rubric!$C$15:$C$24,MATCH("other",Rubric!$A$15:$A$24,0))))</f>
        <v/>
      </c>
      <c r="G60" s="37" t="str">
        <f aca="true">IF(OR($A60="",$D60=""),"",YEARFRAC($D60,TODAY()))</f>
        <v/>
      </c>
      <c r="H60" s="50" t="str">
        <f aca="false">IF($G60="","",MAX(0,INT($G60)))</f>
        <v/>
      </c>
      <c r="I60" s="39" t="str">
        <f aca="false">IF(OR($F60="",$H60=""),"",$F60*$H60)</f>
        <v/>
      </c>
      <c r="J60" s="39" t="str">
        <f aca="false">IF(OR($A60="",$E60=""),"",$E60+IF($I60="",0,$I60))</f>
        <v/>
      </c>
      <c r="K60" s="39" t="str">
        <f aca="false">IF(OR($J60="",$J60=0),"",$J60/(1-Assumptions!$B$4))</f>
        <v/>
      </c>
      <c r="L60" s="39" t="str">
        <f aca="false">IF($K60="","",MAX($K60,$E60*Assumptions!$B$10))</f>
        <v/>
      </c>
      <c r="M60" s="27"/>
      <c r="N60" s="33"/>
    </row>
    <row r="61" customFormat="false" ht="15" hidden="false" customHeight="true" outlineLevel="0" collapsed="false">
      <c r="A61" s="42"/>
      <c r="B61" s="34" t="str">
        <f aca="false">IF($A61="","",IF(ISERROR(FIND(".",$A61)),"",LOWER(MID($A61,FIND(CHAR(1),SUBSTITUTE($A61,".",CHAR(1),LEN($A61)-LEN(SUBSTITUTE($A61,".",""))))+1,LEN($A61)))))</f>
        <v/>
      </c>
      <c r="C61" s="26"/>
      <c r="D61" s="49"/>
      <c r="E61" s="27"/>
      <c r="F61" s="36" t="str">
        <f aca="false">IF($B61="","",IFERROR(INDEX(Rubric!$C$15:$C$24,MATCH(LOWER($B61),Rubric!$A$15:$A$24,0)),INDEX(Rubric!$C$15:$C$24,MATCH("other",Rubric!$A$15:$A$24,0))))</f>
        <v/>
      </c>
      <c r="G61" s="37" t="str">
        <f aca="true">IF(OR($A61="",$D61=""),"",YEARFRAC($D61,TODAY()))</f>
        <v/>
      </c>
      <c r="H61" s="50" t="str">
        <f aca="false">IF($G61="","",MAX(0,INT($G61)))</f>
        <v/>
      </c>
      <c r="I61" s="39" t="str">
        <f aca="false">IF(OR($F61="",$H61=""),"",$F61*$H61)</f>
        <v/>
      </c>
      <c r="J61" s="39" t="str">
        <f aca="false">IF(OR($A61="",$E61=""),"",$E61+IF($I61="",0,$I61))</f>
        <v/>
      </c>
      <c r="K61" s="39" t="str">
        <f aca="false">IF(OR($J61="",$J61=0),"",$J61/(1-Assumptions!$B$4))</f>
        <v/>
      </c>
      <c r="L61" s="39" t="str">
        <f aca="false">IF($K61="","",MAX($K61,$E61*Assumptions!$B$10))</f>
        <v/>
      </c>
      <c r="M61" s="27"/>
      <c r="N61" s="33"/>
    </row>
    <row r="62" customFormat="false" ht="15" hidden="false" customHeight="true" outlineLevel="0" collapsed="false">
      <c r="A62" s="42"/>
      <c r="B62" s="34" t="str">
        <f aca="false">IF($A62="","",IF(ISERROR(FIND(".",$A62)),"",LOWER(MID($A62,FIND(CHAR(1),SUBSTITUTE($A62,".",CHAR(1),LEN($A62)-LEN(SUBSTITUTE($A62,".",""))))+1,LEN($A62)))))</f>
        <v/>
      </c>
      <c r="C62" s="26"/>
      <c r="D62" s="49"/>
      <c r="E62" s="27"/>
      <c r="F62" s="36" t="str">
        <f aca="false">IF($B62="","",IFERROR(INDEX(Rubric!$C$15:$C$24,MATCH(LOWER($B62),Rubric!$A$15:$A$24,0)),INDEX(Rubric!$C$15:$C$24,MATCH("other",Rubric!$A$15:$A$24,0))))</f>
        <v/>
      </c>
      <c r="G62" s="37" t="str">
        <f aca="true">IF(OR($A62="",$D62=""),"",YEARFRAC($D62,TODAY()))</f>
        <v/>
      </c>
      <c r="H62" s="50" t="str">
        <f aca="false">IF($G62="","",MAX(0,INT($G62)))</f>
        <v/>
      </c>
      <c r="I62" s="39" t="str">
        <f aca="false">IF(OR($F62="",$H62=""),"",$F62*$H62)</f>
        <v/>
      </c>
      <c r="J62" s="39" t="str">
        <f aca="false">IF(OR($A62="",$E62=""),"",$E62+IF($I62="",0,$I62))</f>
        <v/>
      </c>
      <c r="K62" s="39" t="str">
        <f aca="false">IF(OR($J62="",$J62=0),"",$J62/(1-Assumptions!$B$4))</f>
        <v/>
      </c>
      <c r="L62" s="39" t="str">
        <f aca="false">IF($K62="","",MAX($K62,$E62*Assumptions!$B$10))</f>
        <v/>
      </c>
      <c r="M62" s="27"/>
      <c r="N62" s="33"/>
    </row>
    <row r="63" customFormat="false" ht="15" hidden="false" customHeight="true" outlineLevel="0" collapsed="false">
      <c r="A63" s="42"/>
      <c r="B63" s="34" t="str">
        <f aca="false">IF($A63="","",IF(ISERROR(FIND(".",$A63)),"",LOWER(MID($A63,FIND(CHAR(1),SUBSTITUTE($A63,".",CHAR(1),LEN($A63)-LEN(SUBSTITUTE($A63,".",""))))+1,LEN($A63)))))</f>
        <v/>
      </c>
      <c r="C63" s="26"/>
      <c r="D63" s="49"/>
      <c r="E63" s="27"/>
      <c r="F63" s="36" t="str">
        <f aca="false">IF($B63="","",IFERROR(INDEX(Rubric!$C$15:$C$24,MATCH(LOWER($B63),Rubric!$A$15:$A$24,0)),INDEX(Rubric!$C$15:$C$24,MATCH("other",Rubric!$A$15:$A$24,0))))</f>
        <v/>
      </c>
      <c r="G63" s="37" t="str">
        <f aca="true">IF(OR($A63="",$D63=""),"",YEARFRAC($D63,TODAY()))</f>
        <v/>
      </c>
      <c r="H63" s="50" t="str">
        <f aca="false">IF($G63="","",MAX(0,INT($G63)))</f>
        <v/>
      </c>
      <c r="I63" s="39" t="str">
        <f aca="false">IF(OR($F63="",$H63=""),"",$F63*$H63)</f>
        <v/>
      </c>
      <c r="J63" s="39" t="str">
        <f aca="false">IF(OR($A63="",$E63=""),"",$E63+IF($I63="",0,$I63))</f>
        <v/>
      </c>
      <c r="K63" s="39" t="str">
        <f aca="false">IF(OR($J63="",$J63=0),"",$J63/(1-Assumptions!$B$4))</f>
        <v/>
      </c>
      <c r="L63" s="39" t="str">
        <f aca="false">IF($K63="","",MAX($K63,$E63*Assumptions!$B$10))</f>
        <v/>
      </c>
      <c r="M63" s="27"/>
      <c r="N63" s="33"/>
    </row>
    <row r="64" customFormat="false" ht="15" hidden="false" customHeight="true" outlineLevel="0" collapsed="false">
      <c r="A64" s="42"/>
      <c r="B64" s="34" t="str">
        <f aca="false">IF($A64="","",IF(ISERROR(FIND(".",$A64)),"",LOWER(MID($A64,FIND(CHAR(1),SUBSTITUTE($A64,".",CHAR(1),LEN($A64)-LEN(SUBSTITUTE($A64,".",""))))+1,LEN($A64)))))</f>
        <v/>
      </c>
      <c r="C64" s="26"/>
      <c r="D64" s="49"/>
      <c r="E64" s="27"/>
      <c r="F64" s="36" t="str">
        <f aca="false">IF($B64="","",IFERROR(INDEX(Rubric!$C$15:$C$24,MATCH(LOWER($B64),Rubric!$A$15:$A$24,0)),INDEX(Rubric!$C$15:$C$24,MATCH("other",Rubric!$A$15:$A$24,0))))</f>
        <v/>
      </c>
      <c r="G64" s="37" t="str">
        <f aca="true">IF(OR($A64="",$D64=""),"",YEARFRAC($D64,TODAY()))</f>
        <v/>
      </c>
      <c r="H64" s="50" t="str">
        <f aca="false">IF($G64="","",MAX(0,INT($G64)))</f>
        <v/>
      </c>
      <c r="I64" s="39" t="str">
        <f aca="false">IF(OR($F64="",$H64=""),"",$F64*$H64)</f>
        <v/>
      </c>
      <c r="J64" s="39" t="str">
        <f aca="false">IF(OR($A64="",$E64=""),"",$E64+IF($I64="",0,$I64))</f>
        <v/>
      </c>
      <c r="K64" s="39" t="str">
        <f aca="false">IF(OR($J64="",$J64=0),"",$J64/(1-Assumptions!$B$4))</f>
        <v/>
      </c>
      <c r="L64" s="39" t="str">
        <f aca="false">IF($K64="","",MAX($K64,$E64*Assumptions!$B$10))</f>
        <v/>
      </c>
      <c r="M64" s="27"/>
      <c r="N64" s="33"/>
    </row>
    <row r="65" customFormat="false" ht="15" hidden="false" customHeight="true" outlineLevel="0" collapsed="false">
      <c r="A65" s="42"/>
      <c r="B65" s="34" t="str">
        <f aca="false">IF($A65="","",IF(ISERROR(FIND(".",$A65)),"",LOWER(MID($A65,FIND(CHAR(1),SUBSTITUTE($A65,".",CHAR(1),LEN($A65)-LEN(SUBSTITUTE($A65,".",""))))+1,LEN($A65)))))</f>
        <v/>
      </c>
      <c r="C65" s="26"/>
      <c r="D65" s="49"/>
      <c r="E65" s="27"/>
      <c r="F65" s="36" t="str">
        <f aca="false">IF($B65="","",IFERROR(INDEX(Rubric!$C$15:$C$24,MATCH(LOWER($B65),Rubric!$A$15:$A$24,0)),INDEX(Rubric!$C$15:$C$24,MATCH("other",Rubric!$A$15:$A$24,0))))</f>
        <v/>
      </c>
      <c r="G65" s="37" t="str">
        <f aca="true">IF(OR($A65="",$D65=""),"",YEARFRAC($D65,TODAY()))</f>
        <v/>
      </c>
      <c r="H65" s="50" t="str">
        <f aca="false">IF($G65="","",MAX(0,INT($G65)))</f>
        <v/>
      </c>
      <c r="I65" s="39" t="str">
        <f aca="false">IF(OR($F65="",$H65=""),"",$F65*$H65)</f>
        <v/>
      </c>
      <c r="J65" s="39" t="str">
        <f aca="false">IF(OR($A65="",$E65=""),"",$E65+IF($I65="",0,$I65))</f>
        <v/>
      </c>
      <c r="K65" s="39" t="str">
        <f aca="false">IF(OR($J65="",$J65=0),"",$J65/(1-Assumptions!$B$4))</f>
        <v/>
      </c>
      <c r="L65" s="39" t="str">
        <f aca="false">IF($K65="","",MAX($K65,$E65*Assumptions!$B$10))</f>
        <v/>
      </c>
      <c r="M65" s="27"/>
      <c r="N65" s="33"/>
    </row>
    <row r="66" customFormat="false" ht="15" hidden="false" customHeight="true" outlineLevel="0" collapsed="false">
      <c r="A66" s="42"/>
      <c r="B66" s="34" t="str">
        <f aca="false">IF($A66="","",IF(ISERROR(FIND(".",$A66)),"",LOWER(MID($A66,FIND(CHAR(1),SUBSTITUTE($A66,".",CHAR(1),LEN($A66)-LEN(SUBSTITUTE($A66,".",""))))+1,LEN($A66)))))</f>
        <v/>
      </c>
      <c r="C66" s="26"/>
      <c r="D66" s="49"/>
      <c r="E66" s="27"/>
      <c r="F66" s="36" t="str">
        <f aca="false">IF($B66="","",IFERROR(INDEX(Rubric!$C$15:$C$24,MATCH(LOWER($B66),Rubric!$A$15:$A$24,0)),INDEX(Rubric!$C$15:$C$24,MATCH("other",Rubric!$A$15:$A$24,0))))</f>
        <v/>
      </c>
      <c r="G66" s="37" t="str">
        <f aca="true">IF(OR($A66="",$D66=""),"",YEARFRAC($D66,TODAY()))</f>
        <v/>
      </c>
      <c r="H66" s="50" t="str">
        <f aca="false">IF($G66="","",MAX(0,INT($G66)))</f>
        <v/>
      </c>
      <c r="I66" s="39" t="str">
        <f aca="false">IF(OR($F66="",$H66=""),"",$F66*$H66)</f>
        <v/>
      </c>
      <c r="J66" s="39" t="str">
        <f aca="false">IF(OR($A66="",$E66=""),"",$E66+IF($I66="",0,$I66))</f>
        <v/>
      </c>
      <c r="K66" s="39" t="str">
        <f aca="false">IF(OR($J66="",$J66=0),"",$J66/(1-Assumptions!$B$4))</f>
        <v/>
      </c>
      <c r="L66" s="39" t="str">
        <f aca="false">IF($K66="","",MAX($K66,$E66*Assumptions!$B$10))</f>
        <v/>
      </c>
      <c r="M66" s="27"/>
      <c r="N66" s="33"/>
    </row>
    <row r="67" customFormat="false" ht="15" hidden="false" customHeight="true" outlineLevel="0" collapsed="false">
      <c r="A67" s="42"/>
      <c r="B67" s="34" t="str">
        <f aca="false">IF($A67="","",IF(ISERROR(FIND(".",$A67)),"",LOWER(MID($A67,FIND(CHAR(1),SUBSTITUTE($A67,".",CHAR(1),LEN($A67)-LEN(SUBSTITUTE($A67,".",""))))+1,LEN($A67)))))</f>
        <v/>
      </c>
      <c r="C67" s="26"/>
      <c r="D67" s="49"/>
      <c r="E67" s="27"/>
      <c r="F67" s="36" t="str">
        <f aca="false">IF($B67="","",IFERROR(INDEX(Rubric!$C$15:$C$24,MATCH(LOWER($B67),Rubric!$A$15:$A$24,0)),INDEX(Rubric!$C$15:$C$24,MATCH("other",Rubric!$A$15:$A$24,0))))</f>
        <v/>
      </c>
      <c r="G67" s="37" t="str">
        <f aca="true">IF(OR($A67="",$D67=""),"",YEARFRAC($D67,TODAY()))</f>
        <v/>
      </c>
      <c r="H67" s="50" t="str">
        <f aca="false">IF($G67="","",MAX(0,INT($G67)))</f>
        <v/>
      </c>
      <c r="I67" s="39" t="str">
        <f aca="false">IF(OR($F67="",$H67=""),"",$F67*$H67)</f>
        <v/>
      </c>
      <c r="J67" s="39" t="str">
        <f aca="false">IF(OR($A67="",$E67=""),"",$E67+IF($I67="",0,$I67))</f>
        <v/>
      </c>
      <c r="K67" s="39" t="str">
        <f aca="false">IF(OR($J67="",$J67=0),"",$J67/(1-Assumptions!$B$4))</f>
        <v/>
      </c>
      <c r="L67" s="39" t="str">
        <f aca="false">IF($K67="","",MAX($K67,$E67*Assumptions!$B$10))</f>
        <v/>
      </c>
      <c r="M67" s="27"/>
      <c r="N67" s="33"/>
    </row>
    <row r="68" customFormat="false" ht="15" hidden="false" customHeight="true" outlineLevel="0" collapsed="false">
      <c r="A68" s="42"/>
      <c r="B68" s="34" t="str">
        <f aca="false">IF($A68="","",IF(ISERROR(FIND(".",$A68)),"",LOWER(MID($A68,FIND(CHAR(1),SUBSTITUTE($A68,".",CHAR(1),LEN($A68)-LEN(SUBSTITUTE($A68,".",""))))+1,LEN($A68)))))</f>
        <v/>
      </c>
      <c r="C68" s="26"/>
      <c r="D68" s="49"/>
      <c r="E68" s="27"/>
      <c r="F68" s="36" t="str">
        <f aca="false">IF($B68="","",IFERROR(INDEX(Rubric!$C$15:$C$24,MATCH(LOWER($B68),Rubric!$A$15:$A$24,0)),INDEX(Rubric!$C$15:$C$24,MATCH("other",Rubric!$A$15:$A$24,0))))</f>
        <v/>
      </c>
      <c r="G68" s="37" t="str">
        <f aca="true">IF(OR($A68="",$D68=""),"",YEARFRAC($D68,TODAY()))</f>
        <v/>
      </c>
      <c r="H68" s="50" t="str">
        <f aca="false">IF($G68="","",MAX(0,INT($G68)))</f>
        <v/>
      </c>
      <c r="I68" s="39" t="str">
        <f aca="false">IF(OR($F68="",$H68=""),"",$F68*$H68)</f>
        <v/>
      </c>
      <c r="J68" s="39" t="str">
        <f aca="false">IF(OR($A68="",$E68=""),"",$E68+IF($I68="",0,$I68))</f>
        <v/>
      </c>
      <c r="K68" s="39" t="str">
        <f aca="false">IF(OR($J68="",$J68=0),"",$J68/(1-Assumptions!$B$4))</f>
        <v/>
      </c>
      <c r="L68" s="39" t="str">
        <f aca="false">IF($K68="","",MAX($K68,$E68*Assumptions!$B$10))</f>
        <v/>
      </c>
      <c r="M68" s="27"/>
      <c r="N68" s="33"/>
    </row>
    <row r="69" customFormat="false" ht="15" hidden="false" customHeight="true" outlineLevel="0" collapsed="false">
      <c r="A69" s="42"/>
      <c r="B69" s="34" t="str">
        <f aca="false">IF($A69="","",IF(ISERROR(FIND(".",$A69)),"",LOWER(MID($A69,FIND(CHAR(1),SUBSTITUTE($A69,".",CHAR(1),LEN($A69)-LEN(SUBSTITUTE($A69,".",""))))+1,LEN($A69)))))</f>
        <v/>
      </c>
      <c r="C69" s="26"/>
      <c r="D69" s="49"/>
      <c r="E69" s="27"/>
      <c r="F69" s="36" t="str">
        <f aca="false">IF($B69="","",IFERROR(INDEX(Rubric!$C$15:$C$24,MATCH(LOWER($B69),Rubric!$A$15:$A$24,0)),INDEX(Rubric!$C$15:$C$24,MATCH("other",Rubric!$A$15:$A$24,0))))</f>
        <v/>
      </c>
      <c r="G69" s="37" t="str">
        <f aca="true">IF(OR($A69="",$D69=""),"",YEARFRAC($D69,TODAY()))</f>
        <v/>
      </c>
      <c r="H69" s="50" t="str">
        <f aca="false">IF($G69="","",MAX(0,INT($G69)))</f>
        <v/>
      </c>
      <c r="I69" s="39" t="str">
        <f aca="false">IF(OR($F69="",$H69=""),"",$F69*$H69)</f>
        <v/>
      </c>
      <c r="J69" s="39" t="str">
        <f aca="false">IF(OR($A69="",$E69=""),"",$E69+IF($I69="",0,$I69))</f>
        <v/>
      </c>
      <c r="K69" s="39" t="str">
        <f aca="false">IF(OR($J69="",$J69=0),"",$J69/(1-Assumptions!$B$4))</f>
        <v/>
      </c>
      <c r="L69" s="39" t="str">
        <f aca="false">IF($K69="","",MAX($K69,$E69*Assumptions!$B$10))</f>
        <v/>
      </c>
      <c r="M69" s="27"/>
      <c r="N69" s="33"/>
    </row>
    <row r="70" customFormat="false" ht="15" hidden="false" customHeight="true" outlineLevel="0" collapsed="false">
      <c r="A70" s="42"/>
      <c r="B70" s="34" t="str">
        <f aca="false">IF($A70="","",IF(ISERROR(FIND(".",$A70)),"",LOWER(MID($A70,FIND(CHAR(1),SUBSTITUTE($A70,".",CHAR(1),LEN($A70)-LEN(SUBSTITUTE($A70,".",""))))+1,LEN($A70)))))</f>
        <v/>
      </c>
      <c r="C70" s="26"/>
      <c r="D70" s="49"/>
      <c r="E70" s="27"/>
      <c r="F70" s="36" t="str">
        <f aca="false">IF($B70="","",IFERROR(INDEX(Rubric!$C$15:$C$24,MATCH(LOWER($B70),Rubric!$A$15:$A$24,0)),INDEX(Rubric!$C$15:$C$24,MATCH("other",Rubric!$A$15:$A$24,0))))</f>
        <v/>
      </c>
      <c r="G70" s="37" t="str">
        <f aca="true">IF(OR($A70="",$D70=""),"",YEARFRAC($D70,TODAY()))</f>
        <v/>
      </c>
      <c r="H70" s="50" t="str">
        <f aca="false">IF($G70="","",MAX(0,INT($G70)))</f>
        <v/>
      </c>
      <c r="I70" s="39" t="str">
        <f aca="false">IF(OR($F70="",$H70=""),"",$F70*$H70)</f>
        <v/>
      </c>
      <c r="J70" s="39" t="str">
        <f aca="false">IF(OR($A70="",$E70=""),"",$E70+IF($I70="",0,$I70))</f>
        <v/>
      </c>
      <c r="K70" s="39" t="str">
        <f aca="false">IF(OR($J70="",$J70=0),"",$J70/(1-Assumptions!$B$4))</f>
        <v/>
      </c>
      <c r="L70" s="39" t="str">
        <f aca="false">IF($K70="","",MAX($K70,$E70*Assumptions!$B$10))</f>
        <v/>
      </c>
      <c r="M70" s="27"/>
      <c r="N70" s="33"/>
    </row>
    <row r="71" customFormat="false" ht="15" hidden="false" customHeight="true" outlineLevel="0" collapsed="false">
      <c r="A71" s="42"/>
      <c r="B71" s="34" t="str">
        <f aca="false">IF($A71="","",IF(ISERROR(FIND(".",$A71)),"",LOWER(MID($A71,FIND(CHAR(1),SUBSTITUTE($A71,".",CHAR(1),LEN($A71)-LEN(SUBSTITUTE($A71,".",""))))+1,LEN($A71)))))</f>
        <v/>
      </c>
      <c r="C71" s="26"/>
      <c r="D71" s="49"/>
      <c r="E71" s="27"/>
      <c r="F71" s="36" t="str">
        <f aca="false">IF($B71="","",IFERROR(INDEX(Rubric!$C$15:$C$24,MATCH(LOWER($B71),Rubric!$A$15:$A$24,0)),INDEX(Rubric!$C$15:$C$24,MATCH("other",Rubric!$A$15:$A$24,0))))</f>
        <v/>
      </c>
      <c r="G71" s="37" t="str">
        <f aca="true">IF(OR($A71="",$D71=""),"",YEARFRAC($D71,TODAY()))</f>
        <v/>
      </c>
      <c r="H71" s="50" t="str">
        <f aca="false">IF($G71="","",MAX(0,INT($G71)))</f>
        <v/>
      </c>
      <c r="I71" s="39" t="str">
        <f aca="false">IF(OR($F71="",$H71=""),"",$F71*$H71)</f>
        <v/>
      </c>
      <c r="J71" s="39" t="str">
        <f aca="false">IF(OR($A71="",$E71=""),"",$E71+IF($I71="",0,$I71))</f>
        <v/>
      </c>
      <c r="K71" s="39" t="str">
        <f aca="false">IF(OR($J71="",$J71=0),"",$J71/(1-Assumptions!$B$4))</f>
        <v/>
      </c>
      <c r="L71" s="39" t="str">
        <f aca="false">IF($K71="","",MAX($K71,$E71*Assumptions!$B$10))</f>
        <v/>
      </c>
      <c r="M71" s="27"/>
      <c r="N71" s="33"/>
    </row>
    <row r="72" customFormat="false" ht="15" hidden="false" customHeight="true" outlineLevel="0" collapsed="false">
      <c r="A72" s="42"/>
      <c r="B72" s="34" t="str">
        <f aca="false">IF($A72="","",IF(ISERROR(FIND(".",$A72)),"",LOWER(MID($A72,FIND(CHAR(1),SUBSTITUTE($A72,".",CHAR(1),LEN($A72)-LEN(SUBSTITUTE($A72,".",""))))+1,LEN($A72)))))</f>
        <v/>
      </c>
      <c r="C72" s="26"/>
      <c r="D72" s="49"/>
      <c r="E72" s="27"/>
      <c r="F72" s="36" t="str">
        <f aca="false">IF($B72="","",IFERROR(INDEX(Rubric!$C$15:$C$24,MATCH(LOWER($B72),Rubric!$A$15:$A$24,0)),INDEX(Rubric!$C$15:$C$24,MATCH("other",Rubric!$A$15:$A$24,0))))</f>
        <v/>
      </c>
      <c r="G72" s="37" t="str">
        <f aca="true">IF(OR($A72="",$D72=""),"",YEARFRAC($D72,TODAY()))</f>
        <v/>
      </c>
      <c r="H72" s="50" t="str">
        <f aca="false">IF($G72="","",MAX(0,INT($G72)))</f>
        <v/>
      </c>
      <c r="I72" s="39" t="str">
        <f aca="false">IF(OR($F72="",$H72=""),"",$F72*$H72)</f>
        <v/>
      </c>
      <c r="J72" s="39" t="str">
        <f aca="false">IF(OR($A72="",$E72=""),"",$E72+IF($I72="",0,$I72))</f>
        <v/>
      </c>
      <c r="K72" s="39" t="str">
        <f aca="false">IF(OR($J72="",$J72=0),"",$J72/(1-Assumptions!$B$4))</f>
        <v/>
      </c>
      <c r="L72" s="39" t="str">
        <f aca="false">IF($K72="","",MAX($K72,$E72*Assumptions!$B$10))</f>
        <v/>
      </c>
      <c r="M72" s="27"/>
      <c r="N72" s="33"/>
    </row>
    <row r="73" customFormat="false" ht="15" hidden="false" customHeight="true" outlineLevel="0" collapsed="false">
      <c r="A73" s="42"/>
      <c r="B73" s="34" t="str">
        <f aca="false">IF($A73="","",IF(ISERROR(FIND(".",$A73)),"",LOWER(MID($A73,FIND(CHAR(1),SUBSTITUTE($A73,".",CHAR(1),LEN($A73)-LEN(SUBSTITUTE($A73,".",""))))+1,LEN($A73)))))</f>
        <v/>
      </c>
      <c r="C73" s="26"/>
      <c r="D73" s="49"/>
      <c r="E73" s="27"/>
      <c r="F73" s="36" t="str">
        <f aca="false">IF($B73="","",IFERROR(INDEX(Rubric!$C$15:$C$24,MATCH(LOWER($B73),Rubric!$A$15:$A$24,0)),INDEX(Rubric!$C$15:$C$24,MATCH("other",Rubric!$A$15:$A$24,0))))</f>
        <v/>
      </c>
      <c r="G73" s="37" t="str">
        <f aca="true">IF(OR($A73="",$D73=""),"",YEARFRAC($D73,TODAY()))</f>
        <v/>
      </c>
      <c r="H73" s="50" t="str">
        <f aca="false">IF($G73="","",MAX(0,INT($G73)))</f>
        <v/>
      </c>
      <c r="I73" s="39" t="str">
        <f aca="false">IF(OR($F73="",$H73=""),"",$F73*$H73)</f>
        <v/>
      </c>
      <c r="J73" s="39" t="str">
        <f aca="false">IF(OR($A73="",$E73=""),"",$E73+IF($I73="",0,$I73))</f>
        <v/>
      </c>
      <c r="K73" s="39" t="str">
        <f aca="false">IF(OR($J73="",$J73=0),"",$J73/(1-Assumptions!$B$4))</f>
        <v/>
      </c>
      <c r="L73" s="39" t="str">
        <f aca="false">IF($K73="","",MAX($K73,$E73*Assumptions!$B$10))</f>
        <v/>
      </c>
      <c r="M73" s="27"/>
      <c r="N73" s="33"/>
    </row>
    <row r="74" customFormat="false" ht="15" hidden="false" customHeight="true" outlineLevel="0" collapsed="false">
      <c r="A74" s="42"/>
      <c r="B74" s="34" t="str">
        <f aca="false">IF($A74="","",IF(ISERROR(FIND(".",$A74)),"",LOWER(MID($A74,FIND(CHAR(1),SUBSTITUTE($A74,".",CHAR(1),LEN($A74)-LEN(SUBSTITUTE($A74,".",""))))+1,LEN($A74)))))</f>
        <v/>
      </c>
      <c r="C74" s="26"/>
      <c r="D74" s="49"/>
      <c r="E74" s="27"/>
      <c r="F74" s="36" t="str">
        <f aca="false">IF($B74="","",IFERROR(INDEX(Rubric!$C$15:$C$24,MATCH(LOWER($B74),Rubric!$A$15:$A$24,0)),INDEX(Rubric!$C$15:$C$24,MATCH("other",Rubric!$A$15:$A$24,0))))</f>
        <v/>
      </c>
      <c r="G74" s="37" t="str">
        <f aca="true">IF(OR($A74="",$D74=""),"",YEARFRAC($D74,TODAY()))</f>
        <v/>
      </c>
      <c r="H74" s="50" t="str">
        <f aca="false">IF($G74="","",MAX(0,INT($G74)))</f>
        <v/>
      </c>
      <c r="I74" s="39" t="str">
        <f aca="false">IF(OR($F74="",$H74=""),"",$F74*$H74)</f>
        <v/>
      </c>
      <c r="J74" s="39" t="str">
        <f aca="false">IF(OR($A74="",$E74=""),"",$E74+IF($I74="",0,$I74))</f>
        <v/>
      </c>
      <c r="K74" s="39" t="str">
        <f aca="false">IF(OR($J74="",$J74=0),"",$J74/(1-Assumptions!$B$4))</f>
        <v/>
      </c>
      <c r="L74" s="39" t="str">
        <f aca="false">IF($K74="","",MAX($K74,$E74*Assumptions!$B$10))</f>
        <v/>
      </c>
      <c r="M74" s="27"/>
      <c r="N74" s="33"/>
    </row>
    <row r="75" customFormat="false" ht="15" hidden="false" customHeight="true" outlineLevel="0" collapsed="false">
      <c r="A75" s="42"/>
      <c r="B75" s="34" t="str">
        <f aca="false">IF($A75="","",IF(ISERROR(FIND(".",$A75)),"",LOWER(MID($A75,FIND(CHAR(1),SUBSTITUTE($A75,".",CHAR(1),LEN($A75)-LEN(SUBSTITUTE($A75,".",""))))+1,LEN($A75)))))</f>
        <v/>
      </c>
      <c r="C75" s="26"/>
      <c r="D75" s="49"/>
      <c r="E75" s="27"/>
      <c r="F75" s="36" t="str">
        <f aca="false">IF($B75="","",IFERROR(INDEX(Rubric!$C$15:$C$24,MATCH(LOWER($B75),Rubric!$A$15:$A$24,0)),INDEX(Rubric!$C$15:$C$24,MATCH("other",Rubric!$A$15:$A$24,0))))</f>
        <v/>
      </c>
      <c r="G75" s="37" t="str">
        <f aca="true">IF(OR($A75="",$D75=""),"",YEARFRAC($D75,TODAY()))</f>
        <v/>
      </c>
      <c r="H75" s="50" t="str">
        <f aca="false">IF($G75="","",MAX(0,INT($G75)))</f>
        <v/>
      </c>
      <c r="I75" s="39" t="str">
        <f aca="false">IF(OR($F75="",$H75=""),"",$F75*$H75)</f>
        <v/>
      </c>
      <c r="J75" s="39" t="str">
        <f aca="false">IF(OR($A75="",$E75=""),"",$E75+IF($I75="",0,$I75))</f>
        <v/>
      </c>
      <c r="K75" s="39" t="str">
        <f aca="false">IF(OR($J75="",$J75=0),"",$J75/(1-Assumptions!$B$4))</f>
        <v/>
      </c>
      <c r="L75" s="39" t="str">
        <f aca="false">IF($K75="","",MAX($K75,$E75*Assumptions!$B$10))</f>
        <v/>
      </c>
      <c r="M75" s="27"/>
      <c r="N75" s="33"/>
    </row>
    <row r="76" customFormat="false" ht="15" hidden="false" customHeight="true" outlineLevel="0" collapsed="false">
      <c r="A76" s="42"/>
      <c r="B76" s="34" t="str">
        <f aca="false">IF($A76="","",IF(ISERROR(FIND(".",$A76)),"",LOWER(MID($A76,FIND(CHAR(1),SUBSTITUTE($A76,".",CHAR(1),LEN($A76)-LEN(SUBSTITUTE($A76,".",""))))+1,LEN($A76)))))</f>
        <v/>
      </c>
      <c r="C76" s="26"/>
      <c r="D76" s="49"/>
      <c r="E76" s="27"/>
      <c r="F76" s="36" t="str">
        <f aca="false">IF($B76="","",IFERROR(INDEX(Rubric!$C$15:$C$24,MATCH(LOWER($B76),Rubric!$A$15:$A$24,0)),INDEX(Rubric!$C$15:$C$24,MATCH("other",Rubric!$A$15:$A$24,0))))</f>
        <v/>
      </c>
      <c r="G76" s="37" t="str">
        <f aca="true">IF(OR($A76="",$D76=""),"",YEARFRAC($D76,TODAY()))</f>
        <v/>
      </c>
      <c r="H76" s="50" t="str">
        <f aca="false">IF($G76="","",MAX(0,INT($G76)))</f>
        <v/>
      </c>
      <c r="I76" s="39" t="str">
        <f aca="false">IF(OR($F76="",$H76=""),"",$F76*$H76)</f>
        <v/>
      </c>
      <c r="J76" s="39" t="str">
        <f aca="false">IF(OR($A76="",$E76=""),"",$E76+IF($I76="",0,$I76))</f>
        <v/>
      </c>
      <c r="K76" s="39" t="str">
        <f aca="false">IF(OR($J76="",$J76=0),"",$J76/(1-Assumptions!$B$4))</f>
        <v/>
      </c>
      <c r="L76" s="39" t="str">
        <f aca="false">IF($K76="","",MAX($K76,$E76*Assumptions!$B$10))</f>
        <v/>
      </c>
      <c r="M76" s="27"/>
      <c r="N76" s="33"/>
    </row>
    <row r="77" customFormat="false" ht="15" hidden="false" customHeight="true" outlineLevel="0" collapsed="false">
      <c r="A77" s="42"/>
      <c r="B77" s="34" t="str">
        <f aca="false">IF($A77="","",IF(ISERROR(FIND(".",$A77)),"",LOWER(MID($A77,FIND(CHAR(1),SUBSTITUTE($A77,".",CHAR(1),LEN($A77)-LEN(SUBSTITUTE($A77,".",""))))+1,LEN($A77)))))</f>
        <v/>
      </c>
      <c r="C77" s="26"/>
      <c r="D77" s="49"/>
      <c r="E77" s="27"/>
      <c r="F77" s="36" t="str">
        <f aca="false">IF($B77="","",IFERROR(INDEX(Rubric!$C$15:$C$24,MATCH(LOWER($B77),Rubric!$A$15:$A$24,0)),INDEX(Rubric!$C$15:$C$24,MATCH("other",Rubric!$A$15:$A$24,0))))</f>
        <v/>
      </c>
      <c r="G77" s="37" t="str">
        <f aca="true">IF(OR($A77="",$D77=""),"",YEARFRAC($D77,TODAY()))</f>
        <v/>
      </c>
      <c r="H77" s="50" t="str">
        <f aca="false">IF($G77="","",MAX(0,INT($G77)))</f>
        <v/>
      </c>
      <c r="I77" s="39" t="str">
        <f aca="false">IF(OR($F77="",$H77=""),"",$F77*$H77)</f>
        <v/>
      </c>
      <c r="J77" s="39" t="str">
        <f aca="false">IF(OR($A77="",$E77=""),"",$E77+IF($I77="",0,$I77))</f>
        <v/>
      </c>
      <c r="K77" s="39" t="str">
        <f aca="false">IF(OR($J77="",$J77=0),"",$J77/(1-Assumptions!$B$4))</f>
        <v/>
      </c>
      <c r="L77" s="39" t="str">
        <f aca="false">IF($K77="","",MAX($K77,$E77*Assumptions!$B$10))</f>
        <v/>
      </c>
      <c r="M77" s="27"/>
      <c r="N77" s="33"/>
    </row>
    <row r="78" customFormat="false" ht="15" hidden="false" customHeight="true" outlineLevel="0" collapsed="false">
      <c r="A78" s="42"/>
      <c r="B78" s="34" t="str">
        <f aca="false">IF($A78="","",IF(ISERROR(FIND(".",$A78)),"",LOWER(MID($A78,FIND(CHAR(1),SUBSTITUTE($A78,".",CHAR(1),LEN($A78)-LEN(SUBSTITUTE($A78,".",""))))+1,LEN($A78)))))</f>
        <v/>
      </c>
      <c r="C78" s="26"/>
      <c r="D78" s="49"/>
      <c r="E78" s="27"/>
      <c r="F78" s="36" t="str">
        <f aca="false">IF($B78="","",IFERROR(INDEX(Rubric!$C$15:$C$24,MATCH(LOWER($B78),Rubric!$A$15:$A$24,0)),INDEX(Rubric!$C$15:$C$24,MATCH("other",Rubric!$A$15:$A$24,0))))</f>
        <v/>
      </c>
      <c r="G78" s="37" t="str">
        <f aca="true">IF(OR($A78="",$D78=""),"",YEARFRAC($D78,TODAY()))</f>
        <v/>
      </c>
      <c r="H78" s="50" t="str">
        <f aca="false">IF($G78="","",MAX(0,INT($G78)))</f>
        <v/>
      </c>
      <c r="I78" s="39" t="str">
        <f aca="false">IF(OR($F78="",$H78=""),"",$F78*$H78)</f>
        <v/>
      </c>
      <c r="J78" s="39" t="str">
        <f aca="false">IF(OR($A78="",$E78=""),"",$E78+IF($I78="",0,$I78))</f>
        <v/>
      </c>
      <c r="K78" s="39" t="str">
        <f aca="false">IF(OR($J78="",$J78=0),"",$J78/(1-Assumptions!$B$4))</f>
        <v/>
      </c>
      <c r="L78" s="39" t="str">
        <f aca="false">IF($K78="","",MAX($K78,$E78*Assumptions!$B$10))</f>
        <v/>
      </c>
      <c r="M78" s="27"/>
      <c r="N78" s="33"/>
    </row>
    <row r="79" customFormat="false" ht="15" hidden="false" customHeight="true" outlineLevel="0" collapsed="false">
      <c r="A79" s="42"/>
      <c r="B79" s="34" t="str">
        <f aca="false">IF($A79="","",IF(ISERROR(FIND(".",$A79)),"",LOWER(MID($A79,FIND(CHAR(1),SUBSTITUTE($A79,".",CHAR(1),LEN($A79)-LEN(SUBSTITUTE($A79,".",""))))+1,LEN($A79)))))</f>
        <v/>
      </c>
      <c r="C79" s="26"/>
      <c r="D79" s="49"/>
      <c r="E79" s="27"/>
      <c r="F79" s="36" t="str">
        <f aca="false">IF($B79="","",IFERROR(INDEX(Rubric!$C$15:$C$24,MATCH(LOWER($B79),Rubric!$A$15:$A$24,0)),INDEX(Rubric!$C$15:$C$24,MATCH("other",Rubric!$A$15:$A$24,0))))</f>
        <v/>
      </c>
      <c r="G79" s="37" t="str">
        <f aca="true">IF(OR($A79="",$D79=""),"",YEARFRAC($D79,TODAY()))</f>
        <v/>
      </c>
      <c r="H79" s="50" t="str">
        <f aca="false">IF($G79="","",MAX(0,INT($G79)))</f>
        <v/>
      </c>
      <c r="I79" s="39" t="str">
        <f aca="false">IF(OR($F79="",$H79=""),"",$F79*$H79)</f>
        <v/>
      </c>
      <c r="J79" s="39" t="str">
        <f aca="false">IF(OR($A79="",$E79=""),"",$E79+IF($I79="",0,$I79))</f>
        <v/>
      </c>
      <c r="K79" s="39" t="str">
        <f aca="false">IF(OR($J79="",$J79=0),"",$J79/(1-Assumptions!$B$4))</f>
        <v/>
      </c>
      <c r="L79" s="39" t="str">
        <f aca="false">IF($K79="","",MAX($K79,$E79*Assumptions!$B$10))</f>
        <v/>
      </c>
      <c r="M79" s="27"/>
      <c r="N79" s="33"/>
    </row>
    <row r="80" customFormat="false" ht="15" hidden="false" customHeight="true" outlineLevel="0" collapsed="false">
      <c r="A80" s="42"/>
      <c r="B80" s="34" t="str">
        <f aca="false">IF($A80="","",IF(ISERROR(FIND(".",$A80)),"",LOWER(MID($A80,FIND(CHAR(1),SUBSTITUTE($A80,".",CHAR(1),LEN($A80)-LEN(SUBSTITUTE($A80,".",""))))+1,LEN($A80)))))</f>
        <v/>
      </c>
      <c r="C80" s="26"/>
      <c r="D80" s="49"/>
      <c r="E80" s="27"/>
      <c r="F80" s="36" t="str">
        <f aca="false">IF($B80="","",IFERROR(INDEX(Rubric!$C$15:$C$24,MATCH(LOWER($B80),Rubric!$A$15:$A$24,0)),INDEX(Rubric!$C$15:$C$24,MATCH("other",Rubric!$A$15:$A$24,0))))</f>
        <v/>
      </c>
      <c r="G80" s="37" t="str">
        <f aca="true">IF(OR($A80="",$D80=""),"",YEARFRAC($D80,TODAY()))</f>
        <v/>
      </c>
      <c r="H80" s="50" t="str">
        <f aca="false">IF($G80="","",MAX(0,INT($G80)))</f>
        <v/>
      </c>
      <c r="I80" s="39" t="str">
        <f aca="false">IF(OR($F80="",$H80=""),"",$F80*$H80)</f>
        <v/>
      </c>
      <c r="J80" s="39" t="str">
        <f aca="false">IF(OR($A80="",$E80=""),"",$E80+IF($I80="",0,$I80))</f>
        <v/>
      </c>
      <c r="K80" s="39" t="str">
        <f aca="false">IF(OR($J80="",$J80=0),"",$J80/(1-Assumptions!$B$4))</f>
        <v/>
      </c>
      <c r="L80" s="39" t="str">
        <f aca="false">IF($K80="","",MAX($K80,$E80*Assumptions!$B$10))</f>
        <v/>
      </c>
      <c r="M80" s="27"/>
      <c r="N80" s="33"/>
    </row>
    <row r="81" customFormat="false" ht="15" hidden="false" customHeight="true" outlineLevel="0" collapsed="false">
      <c r="A81" s="42"/>
      <c r="B81" s="34" t="str">
        <f aca="false">IF($A81="","",IF(ISERROR(FIND(".",$A81)),"",LOWER(MID($A81,FIND(CHAR(1),SUBSTITUTE($A81,".",CHAR(1),LEN($A81)-LEN(SUBSTITUTE($A81,".",""))))+1,LEN($A81)))))</f>
        <v/>
      </c>
      <c r="C81" s="26"/>
      <c r="D81" s="49"/>
      <c r="E81" s="27"/>
      <c r="F81" s="36" t="str">
        <f aca="false">IF($B81="","",IFERROR(INDEX(Rubric!$C$15:$C$24,MATCH(LOWER($B81),Rubric!$A$15:$A$24,0)),INDEX(Rubric!$C$15:$C$24,MATCH("other",Rubric!$A$15:$A$24,0))))</f>
        <v/>
      </c>
      <c r="G81" s="37" t="str">
        <f aca="true">IF(OR($A81="",$D81=""),"",YEARFRAC($D81,TODAY()))</f>
        <v/>
      </c>
      <c r="H81" s="50" t="str">
        <f aca="false">IF($G81="","",MAX(0,INT($G81)))</f>
        <v/>
      </c>
      <c r="I81" s="39" t="str">
        <f aca="false">IF(OR($F81="",$H81=""),"",$F81*$H81)</f>
        <v/>
      </c>
      <c r="J81" s="39" t="str">
        <f aca="false">IF(OR($A81="",$E81=""),"",$E81+IF($I81="",0,$I81))</f>
        <v/>
      </c>
      <c r="K81" s="39" t="str">
        <f aca="false">IF(OR($J81="",$J81=0),"",$J81/(1-Assumptions!$B$4))</f>
        <v/>
      </c>
      <c r="L81" s="39" t="str">
        <f aca="false">IF($K81="","",MAX($K81,$E81*Assumptions!$B$10))</f>
        <v/>
      </c>
      <c r="M81" s="27"/>
      <c r="N81" s="33"/>
    </row>
    <row r="82" customFormat="false" ht="15" hidden="false" customHeight="true" outlineLevel="0" collapsed="false">
      <c r="A82" s="42"/>
      <c r="B82" s="34" t="str">
        <f aca="false">IF($A82="","",IF(ISERROR(FIND(".",$A82)),"",LOWER(MID($A82,FIND(CHAR(1),SUBSTITUTE($A82,".",CHAR(1),LEN($A82)-LEN(SUBSTITUTE($A82,".",""))))+1,LEN($A82)))))</f>
        <v/>
      </c>
      <c r="C82" s="26"/>
      <c r="D82" s="49"/>
      <c r="E82" s="27"/>
      <c r="F82" s="36" t="str">
        <f aca="false">IF($B82="","",IFERROR(INDEX(Rubric!$C$15:$C$24,MATCH(LOWER($B82),Rubric!$A$15:$A$24,0)),INDEX(Rubric!$C$15:$C$24,MATCH("other",Rubric!$A$15:$A$24,0))))</f>
        <v/>
      </c>
      <c r="G82" s="37" t="str">
        <f aca="true">IF(OR($A82="",$D82=""),"",YEARFRAC($D82,TODAY()))</f>
        <v/>
      </c>
      <c r="H82" s="50" t="str">
        <f aca="false">IF($G82="","",MAX(0,INT($G82)))</f>
        <v/>
      </c>
      <c r="I82" s="39" t="str">
        <f aca="false">IF(OR($F82="",$H82=""),"",$F82*$H82)</f>
        <v/>
      </c>
      <c r="J82" s="39" t="str">
        <f aca="false">IF(OR($A82="",$E82=""),"",$E82+IF($I82="",0,$I82))</f>
        <v/>
      </c>
      <c r="K82" s="39" t="str">
        <f aca="false">IF(OR($J82="",$J82=0),"",$J82/(1-Assumptions!$B$4))</f>
        <v/>
      </c>
      <c r="L82" s="39" t="str">
        <f aca="false">IF($K82="","",MAX($K82,$E82*Assumptions!$B$10))</f>
        <v/>
      </c>
      <c r="M82" s="27"/>
      <c r="N82" s="33"/>
    </row>
    <row r="83" customFormat="false" ht="15" hidden="false" customHeight="true" outlineLevel="0" collapsed="false">
      <c r="A83" s="42"/>
      <c r="B83" s="34" t="str">
        <f aca="false">IF($A83="","",IF(ISERROR(FIND(".",$A83)),"",LOWER(MID($A83,FIND(CHAR(1),SUBSTITUTE($A83,".",CHAR(1),LEN($A83)-LEN(SUBSTITUTE($A83,".",""))))+1,LEN($A83)))))</f>
        <v/>
      </c>
      <c r="C83" s="26"/>
      <c r="D83" s="49"/>
      <c r="E83" s="27"/>
      <c r="F83" s="36" t="str">
        <f aca="false">IF($B83="","",IFERROR(INDEX(Rubric!$C$15:$C$24,MATCH(LOWER($B83),Rubric!$A$15:$A$24,0)),INDEX(Rubric!$C$15:$C$24,MATCH("other",Rubric!$A$15:$A$24,0))))</f>
        <v/>
      </c>
      <c r="G83" s="37" t="str">
        <f aca="true">IF(OR($A83="",$D83=""),"",YEARFRAC($D83,TODAY()))</f>
        <v/>
      </c>
      <c r="H83" s="50" t="str">
        <f aca="false">IF($G83="","",MAX(0,INT($G83)))</f>
        <v/>
      </c>
      <c r="I83" s="39" t="str">
        <f aca="false">IF(OR($F83="",$H83=""),"",$F83*$H83)</f>
        <v/>
      </c>
      <c r="J83" s="39" t="str">
        <f aca="false">IF(OR($A83="",$E83=""),"",$E83+IF($I83="",0,$I83))</f>
        <v/>
      </c>
      <c r="K83" s="39" t="str">
        <f aca="false">IF(OR($J83="",$J83=0),"",$J83/(1-Assumptions!$B$4))</f>
        <v/>
      </c>
      <c r="L83" s="39" t="str">
        <f aca="false">IF($K83="","",MAX($K83,$E83*Assumptions!$B$10))</f>
        <v/>
      </c>
      <c r="M83" s="27"/>
      <c r="N83" s="33"/>
    </row>
    <row r="84" customFormat="false" ht="15" hidden="false" customHeight="true" outlineLevel="0" collapsed="false">
      <c r="A84" s="42"/>
      <c r="B84" s="34" t="str">
        <f aca="false">IF($A84="","",IF(ISERROR(FIND(".",$A84)),"",LOWER(MID($A84,FIND(CHAR(1),SUBSTITUTE($A84,".",CHAR(1),LEN($A84)-LEN(SUBSTITUTE($A84,".",""))))+1,LEN($A84)))))</f>
        <v/>
      </c>
      <c r="C84" s="26"/>
      <c r="D84" s="49"/>
      <c r="E84" s="27"/>
      <c r="F84" s="36" t="str">
        <f aca="false">IF($B84="","",IFERROR(INDEX(Rubric!$C$15:$C$24,MATCH(LOWER($B84),Rubric!$A$15:$A$24,0)),INDEX(Rubric!$C$15:$C$24,MATCH("other",Rubric!$A$15:$A$24,0))))</f>
        <v/>
      </c>
      <c r="G84" s="37" t="str">
        <f aca="true">IF(OR($A84="",$D84=""),"",YEARFRAC($D84,TODAY()))</f>
        <v/>
      </c>
      <c r="H84" s="50" t="str">
        <f aca="false">IF($G84="","",MAX(0,INT($G84)))</f>
        <v/>
      </c>
      <c r="I84" s="39" t="str">
        <f aca="false">IF(OR($F84="",$H84=""),"",$F84*$H84)</f>
        <v/>
      </c>
      <c r="J84" s="39" t="str">
        <f aca="false">IF(OR($A84="",$E84=""),"",$E84+IF($I84="",0,$I84))</f>
        <v/>
      </c>
      <c r="K84" s="39" t="str">
        <f aca="false">IF(OR($J84="",$J84=0),"",$J84/(1-Assumptions!$B$4))</f>
        <v/>
      </c>
      <c r="L84" s="39" t="str">
        <f aca="false">IF($K84="","",MAX($K84,$E84*Assumptions!$B$10))</f>
        <v/>
      </c>
      <c r="M84" s="27"/>
      <c r="N84" s="33"/>
    </row>
    <row r="85" customFormat="false" ht="15" hidden="false" customHeight="true" outlineLevel="0" collapsed="false">
      <c r="A85" s="42"/>
      <c r="B85" s="34" t="str">
        <f aca="false">IF($A85="","",IF(ISERROR(FIND(".",$A85)),"",LOWER(MID($A85,FIND(CHAR(1),SUBSTITUTE($A85,".",CHAR(1),LEN($A85)-LEN(SUBSTITUTE($A85,".",""))))+1,LEN($A85)))))</f>
        <v/>
      </c>
      <c r="C85" s="26"/>
      <c r="D85" s="49"/>
      <c r="E85" s="27"/>
      <c r="F85" s="36" t="str">
        <f aca="false">IF($B85="","",IFERROR(INDEX(Rubric!$C$15:$C$24,MATCH(LOWER($B85),Rubric!$A$15:$A$24,0)),INDEX(Rubric!$C$15:$C$24,MATCH("other",Rubric!$A$15:$A$24,0))))</f>
        <v/>
      </c>
      <c r="G85" s="37" t="str">
        <f aca="true">IF(OR($A85="",$D85=""),"",YEARFRAC($D85,TODAY()))</f>
        <v/>
      </c>
      <c r="H85" s="50" t="str">
        <f aca="false">IF($G85="","",MAX(0,INT($G85)))</f>
        <v/>
      </c>
      <c r="I85" s="39" t="str">
        <f aca="false">IF(OR($F85="",$H85=""),"",$F85*$H85)</f>
        <v/>
      </c>
      <c r="J85" s="39" t="str">
        <f aca="false">IF(OR($A85="",$E85=""),"",$E85+IF($I85="",0,$I85))</f>
        <v/>
      </c>
      <c r="K85" s="39" t="str">
        <f aca="false">IF(OR($J85="",$J85=0),"",$J85/(1-Assumptions!$B$4))</f>
        <v/>
      </c>
      <c r="L85" s="39" t="str">
        <f aca="false">IF($K85="","",MAX($K85,$E85*Assumptions!$B$10))</f>
        <v/>
      </c>
      <c r="M85" s="27"/>
      <c r="N85" s="33"/>
    </row>
    <row r="86" customFormat="false" ht="15" hidden="false" customHeight="true" outlineLevel="0" collapsed="false">
      <c r="A86" s="42"/>
      <c r="B86" s="34" t="str">
        <f aca="false">IF($A86="","",IF(ISERROR(FIND(".",$A86)),"",LOWER(MID($A86,FIND(CHAR(1),SUBSTITUTE($A86,".",CHAR(1),LEN($A86)-LEN(SUBSTITUTE($A86,".",""))))+1,LEN($A86)))))</f>
        <v/>
      </c>
      <c r="C86" s="26"/>
      <c r="D86" s="49"/>
      <c r="E86" s="27"/>
      <c r="F86" s="36" t="str">
        <f aca="false">IF($B86="","",IFERROR(INDEX(Rubric!$C$15:$C$24,MATCH(LOWER($B86),Rubric!$A$15:$A$24,0)),INDEX(Rubric!$C$15:$C$24,MATCH("other",Rubric!$A$15:$A$24,0))))</f>
        <v/>
      </c>
      <c r="G86" s="37" t="str">
        <f aca="true">IF(OR($A86="",$D86=""),"",YEARFRAC($D86,TODAY()))</f>
        <v/>
      </c>
      <c r="H86" s="50" t="str">
        <f aca="false">IF($G86="","",MAX(0,INT($G86)))</f>
        <v/>
      </c>
      <c r="I86" s="39" t="str">
        <f aca="false">IF(OR($F86="",$H86=""),"",$F86*$H86)</f>
        <v/>
      </c>
      <c r="J86" s="39" t="str">
        <f aca="false">IF(OR($A86="",$E86=""),"",$E86+IF($I86="",0,$I86))</f>
        <v/>
      </c>
      <c r="K86" s="39" t="str">
        <f aca="false">IF(OR($J86="",$J86=0),"",$J86/(1-Assumptions!$B$4))</f>
        <v/>
      </c>
      <c r="L86" s="39" t="str">
        <f aca="false">IF($K86="","",MAX($K86,$E86*Assumptions!$B$10))</f>
        <v/>
      </c>
      <c r="M86" s="27"/>
      <c r="N86" s="33"/>
    </row>
    <row r="87" customFormat="false" ht="15" hidden="false" customHeight="true" outlineLevel="0" collapsed="false">
      <c r="A87" s="42"/>
      <c r="B87" s="34" t="str">
        <f aca="false">IF($A87="","",IF(ISERROR(FIND(".",$A87)),"",LOWER(MID($A87,FIND(CHAR(1),SUBSTITUTE($A87,".",CHAR(1),LEN($A87)-LEN(SUBSTITUTE($A87,".",""))))+1,LEN($A87)))))</f>
        <v/>
      </c>
      <c r="C87" s="26"/>
      <c r="D87" s="49"/>
      <c r="E87" s="27"/>
      <c r="F87" s="36" t="str">
        <f aca="false">IF($B87="","",IFERROR(INDEX(Rubric!$C$15:$C$24,MATCH(LOWER($B87),Rubric!$A$15:$A$24,0)),INDEX(Rubric!$C$15:$C$24,MATCH("other",Rubric!$A$15:$A$24,0))))</f>
        <v/>
      </c>
      <c r="G87" s="37" t="str">
        <f aca="true">IF(OR($A87="",$D87=""),"",YEARFRAC($D87,TODAY()))</f>
        <v/>
      </c>
      <c r="H87" s="50" t="str">
        <f aca="false">IF($G87="","",MAX(0,INT($G87)))</f>
        <v/>
      </c>
      <c r="I87" s="39" t="str">
        <f aca="false">IF(OR($F87="",$H87=""),"",$F87*$H87)</f>
        <v/>
      </c>
      <c r="J87" s="39" t="str">
        <f aca="false">IF(OR($A87="",$E87=""),"",$E87+IF($I87="",0,$I87))</f>
        <v/>
      </c>
      <c r="K87" s="39" t="str">
        <f aca="false">IF(OR($J87="",$J87=0),"",$J87/(1-Assumptions!$B$4))</f>
        <v/>
      </c>
      <c r="L87" s="39" t="str">
        <f aca="false">IF($K87="","",MAX($K87,$E87*Assumptions!$B$10))</f>
        <v/>
      </c>
      <c r="M87" s="27"/>
      <c r="N87" s="33"/>
    </row>
    <row r="88" customFormat="false" ht="15" hidden="false" customHeight="true" outlineLevel="0" collapsed="false">
      <c r="A88" s="42"/>
      <c r="B88" s="34" t="str">
        <f aca="false">IF($A88="","",IF(ISERROR(FIND(".",$A88)),"",LOWER(MID($A88,FIND(CHAR(1),SUBSTITUTE($A88,".",CHAR(1),LEN($A88)-LEN(SUBSTITUTE($A88,".",""))))+1,LEN($A88)))))</f>
        <v/>
      </c>
      <c r="C88" s="26"/>
      <c r="D88" s="49"/>
      <c r="E88" s="27"/>
      <c r="F88" s="36" t="str">
        <f aca="false">IF($B88="","",IFERROR(INDEX(Rubric!$C$15:$C$24,MATCH(LOWER($B88),Rubric!$A$15:$A$24,0)),INDEX(Rubric!$C$15:$C$24,MATCH("other",Rubric!$A$15:$A$24,0))))</f>
        <v/>
      </c>
      <c r="G88" s="37" t="str">
        <f aca="true">IF(OR($A88="",$D88=""),"",YEARFRAC($D88,TODAY()))</f>
        <v/>
      </c>
      <c r="H88" s="50" t="str">
        <f aca="false">IF($G88="","",MAX(0,INT($G88)))</f>
        <v/>
      </c>
      <c r="I88" s="39" t="str">
        <f aca="false">IF(OR($F88="",$H88=""),"",$F88*$H88)</f>
        <v/>
      </c>
      <c r="J88" s="39" t="str">
        <f aca="false">IF(OR($A88="",$E88=""),"",$E88+IF($I88="",0,$I88))</f>
        <v/>
      </c>
      <c r="K88" s="39" t="str">
        <f aca="false">IF(OR($J88="",$J88=0),"",$J88/(1-Assumptions!$B$4))</f>
        <v/>
      </c>
      <c r="L88" s="39" t="str">
        <f aca="false">IF($K88="","",MAX($K88,$E88*Assumptions!$B$10))</f>
        <v/>
      </c>
      <c r="M88" s="27"/>
      <c r="N88" s="33"/>
    </row>
    <row r="89" customFormat="false" ht="15" hidden="false" customHeight="true" outlineLevel="0" collapsed="false">
      <c r="A89" s="42"/>
      <c r="B89" s="34" t="str">
        <f aca="false">IF($A89="","",IF(ISERROR(FIND(".",$A89)),"",LOWER(MID($A89,FIND(CHAR(1),SUBSTITUTE($A89,".",CHAR(1),LEN($A89)-LEN(SUBSTITUTE($A89,".",""))))+1,LEN($A89)))))</f>
        <v/>
      </c>
      <c r="C89" s="26"/>
      <c r="D89" s="49"/>
      <c r="E89" s="27"/>
      <c r="F89" s="36" t="str">
        <f aca="false">IF($B89="","",IFERROR(INDEX(Rubric!$C$15:$C$24,MATCH(LOWER($B89),Rubric!$A$15:$A$24,0)),INDEX(Rubric!$C$15:$C$24,MATCH("other",Rubric!$A$15:$A$24,0))))</f>
        <v/>
      </c>
      <c r="G89" s="37" t="str">
        <f aca="true">IF(OR($A89="",$D89=""),"",YEARFRAC($D89,TODAY()))</f>
        <v/>
      </c>
      <c r="H89" s="50" t="str">
        <f aca="false">IF($G89="","",MAX(0,INT($G89)))</f>
        <v/>
      </c>
      <c r="I89" s="39" t="str">
        <f aca="false">IF(OR($F89="",$H89=""),"",$F89*$H89)</f>
        <v/>
      </c>
      <c r="J89" s="39" t="str">
        <f aca="false">IF(OR($A89="",$E89=""),"",$E89+IF($I89="",0,$I89))</f>
        <v/>
      </c>
      <c r="K89" s="39" t="str">
        <f aca="false">IF(OR($J89="",$J89=0),"",$J89/(1-Assumptions!$B$4))</f>
        <v/>
      </c>
      <c r="L89" s="39" t="str">
        <f aca="false">IF($K89="","",MAX($K89,$E89*Assumptions!$B$10))</f>
        <v/>
      </c>
      <c r="M89" s="27"/>
      <c r="N89" s="33"/>
    </row>
    <row r="90" customFormat="false" ht="15" hidden="false" customHeight="true" outlineLevel="0" collapsed="false">
      <c r="A90" s="42"/>
      <c r="B90" s="34" t="str">
        <f aca="false">IF($A90="","",IF(ISERROR(FIND(".",$A90)),"",LOWER(MID($A90,FIND(CHAR(1),SUBSTITUTE($A90,".",CHAR(1),LEN($A90)-LEN(SUBSTITUTE($A90,".",""))))+1,LEN($A90)))))</f>
        <v/>
      </c>
      <c r="C90" s="26"/>
      <c r="D90" s="49"/>
      <c r="E90" s="27"/>
      <c r="F90" s="36" t="str">
        <f aca="false">IF($B90="","",IFERROR(INDEX(Rubric!$C$15:$C$24,MATCH(LOWER($B90),Rubric!$A$15:$A$24,0)),INDEX(Rubric!$C$15:$C$24,MATCH("other",Rubric!$A$15:$A$24,0))))</f>
        <v/>
      </c>
      <c r="G90" s="37" t="str">
        <f aca="true">IF(OR($A90="",$D90=""),"",YEARFRAC($D90,TODAY()))</f>
        <v/>
      </c>
      <c r="H90" s="50" t="str">
        <f aca="false">IF($G90="","",MAX(0,INT($G90)))</f>
        <v/>
      </c>
      <c r="I90" s="39" t="str">
        <f aca="false">IF(OR($F90="",$H90=""),"",$F90*$H90)</f>
        <v/>
      </c>
      <c r="J90" s="39" t="str">
        <f aca="false">IF(OR($A90="",$E90=""),"",$E90+IF($I90="",0,$I90))</f>
        <v/>
      </c>
      <c r="K90" s="39" t="str">
        <f aca="false">IF(OR($J90="",$J90=0),"",$J90/(1-Assumptions!$B$4))</f>
        <v/>
      </c>
      <c r="L90" s="39" t="str">
        <f aca="false">IF($K90="","",MAX($K90,$E90*Assumptions!$B$10))</f>
        <v/>
      </c>
      <c r="M90" s="27"/>
      <c r="N90" s="33"/>
    </row>
    <row r="91" customFormat="false" ht="15" hidden="false" customHeight="true" outlineLevel="0" collapsed="false">
      <c r="A91" s="42"/>
      <c r="B91" s="34" t="str">
        <f aca="false">IF($A91="","",IF(ISERROR(FIND(".",$A91)),"",LOWER(MID($A91,FIND(CHAR(1),SUBSTITUTE($A91,".",CHAR(1),LEN($A91)-LEN(SUBSTITUTE($A91,".",""))))+1,LEN($A91)))))</f>
        <v/>
      </c>
      <c r="C91" s="26"/>
      <c r="D91" s="49"/>
      <c r="E91" s="27"/>
      <c r="F91" s="36" t="str">
        <f aca="false">IF($B91="","",IFERROR(INDEX(Rubric!$C$15:$C$24,MATCH(LOWER($B91),Rubric!$A$15:$A$24,0)),INDEX(Rubric!$C$15:$C$24,MATCH("other",Rubric!$A$15:$A$24,0))))</f>
        <v/>
      </c>
      <c r="G91" s="37" t="str">
        <f aca="true">IF(OR($A91="",$D91=""),"",YEARFRAC($D91,TODAY()))</f>
        <v/>
      </c>
      <c r="H91" s="50" t="str">
        <f aca="false">IF($G91="","",MAX(0,INT($G91)))</f>
        <v/>
      </c>
      <c r="I91" s="39" t="str">
        <f aca="false">IF(OR($F91="",$H91=""),"",$F91*$H91)</f>
        <v/>
      </c>
      <c r="J91" s="39" t="str">
        <f aca="false">IF(OR($A91="",$E91=""),"",$E91+IF($I91="",0,$I91))</f>
        <v/>
      </c>
      <c r="K91" s="39" t="str">
        <f aca="false">IF(OR($J91="",$J91=0),"",$J91/(1-Assumptions!$B$4))</f>
        <v/>
      </c>
      <c r="L91" s="39" t="str">
        <f aca="false">IF($K91="","",MAX($K91,$E91*Assumptions!$B$10))</f>
        <v/>
      </c>
      <c r="M91" s="27"/>
      <c r="N91" s="33"/>
    </row>
    <row r="92" customFormat="false" ht="15" hidden="false" customHeight="true" outlineLevel="0" collapsed="false">
      <c r="A92" s="42"/>
      <c r="B92" s="34" t="str">
        <f aca="false">IF($A92="","",IF(ISERROR(FIND(".",$A92)),"",LOWER(MID($A92,FIND(CHAR(1),SUBSTITUTE($A92,".",CHAR(1),LEN($A92)-LEN(SUBSTITUTE($A92,".",""))))+1,LEN($A92)))))</f>
        <v/>
      </c>
      <c r="C92" s="26"/>
      <c r="D92" s="49"/>
      <c r="E92" s="27"/>
      <c r="F92" s="36" t="str">
        <f aca="false">IF($B92="","",IFERROR(INDEX(Rubric!$C$15:$C$24,MATCH(LOWER($B92),Rubric!$A$15:$A$24,0)),INDEX(Rubric!$C$15:$C$24,MATCH("other",Rubric!$A$15:$A$24,0))))</f>
        <v/>
      </c>
      <c r="G92" s="37" t="str">
        <f aca="true">IF(OR($A92="",$D92=""),"",YEARFRAC($D92,TODAY()))</f>
        <v/>
      </c>
      <c r="H92" s="50" t="str">
        <f aca="false">IF($G92="","",MAX(0,INT($G92)))</f>
        <v/>
      </c>
      <c r="I92" s="39" t="str">
        <f aca="false">IF(OR($F92="",$H92=""),"",$F92*$H92)</f>
        <v/>
      </c>
      <c r="J92" s="39" t="str">
        <f aca="false">IF(OR($A92="",$E92=""),"",$E92+IF($I92="",0,$I92))</f>
        <v/>
      </c>
      <c r="K92" s="39" t="str">
        <f aca="false">IF(OR($J92="",$J92=0),"",$J92/(1-Assumptions!$B$4))</f>
        <v/>
      </c>
      <c r="L92" s="39" t="str">
        <f aca="false">IF($K92="","",MAX($K92,$E92*Assumptions!$B$10))</f>
        <v/>
      </c>
      <c r="M92" s="27"/>
      <c r="N92" s="33"/>
    </row>
    <row r="93" customFormat="false" ht="15" hidden="false" customHeight="true" outlineLevel="0" collapsed="false">
      <c r="A93" s="42"/>
      <c r="B93" s="34" t="str">
        <f aca="false">IF($A93="","",IF(ISERROR(FIND(".",$A93)),"",LOWER(MID($A93,FIND(CHAR(1),SUBSTITUTE($A93,".",CHAR(1),LEN($A93)-LEN(SUBSTITUTE($A93,".",""))))+1,LEN($A93)))))</f>
        <v/>
      </c>
      <c r="C93" s="26"/>
      <c r="D93" s="49"/>
      <c r="E93" s="27"/>
      <c r="F93" s="36" t="str">
        <f aca="false">IF($B93="","",IFERROR(INDEX(Rubric!$C$15:$C$24,MATCH(LOWER($B93),Rubric!$A$15:$A$24,0)),INDEX(Rubric!$C$15:$C$24,MATCH("other",Rubric!$A$15:$A$24,0))))</f>
        <v/>
      </c>
      <c r="G93" s="37" t="str">
        <f aca="true">IF(OR($A93="",$D93=""),"",YEARFRAC($D93,TODAY()))</f>
        <v/>
      </c>
      <c r="H93" s="50" t="str">
        <f aca="false">IF($G93="","",MAX(0,INT($G93)))</f>
        <v/>
      </c>
      <c r="I93" s="39" t="str">
        <f aca="false">IF(OR($F93="",$H93=""),"",$F93*$H93)</f>
        <v/>
      </c>
      <c r="J93" s="39" t="str">
        <f aca="false">IF(OR($A93="",$E93=""),"",$E93+IF($I93="",0,$I93))</f>
        <v/>
      </c>
      <c r="K93" s="39" t="str">
        <f aca="false">IF(OR($J93="",$J93=0),"",$J93/(1-Assumptions!$B$4))</f>
        <v/>
      </c>
      <c r="L93" s="39" t="str">
        <f aca="false">IF($K93="","",MAX($K93,$E93*Assumptions!$B$10))</f>
        <v/>
      </c>
      <c r="M93" s="27"/>
      <c r="N93" s="33"/>
    </row>
    <row r="94" customFormat="false" ht="15" hidden="false" customHeight="true" outlineLevel="0" collapsed="false">
      <c r="A94" s="42"/>
      <c r="B94" s="34" t="str">
        <f aca="false">IF($A94="","",IF(ISERROR(FIND(".",$A94)),"",LOWER(MID($A94,FIND(CHAR(1),SUBSTITUTE($A94,".",CHAR(1),LEN($A94)-LEN(SUBSTITUTE($A94,".",""))))+1,LEN($A94)))))</f>
        <v/>
      </c>
      <c r="C94" s="26"/>
      <c r="D94" s="49"/>
      <c r="E94" s="27"/>
      <c r="F94" s="36" t="str">
        <f aca="false">IF($B94="","",IFERROR(INDEX(Rubric!$C$15:$C$24,MATCH(LOWER($B94),Rubric!$A$15:$A$24,0)),INDEX(Rubric!$C$15:$C$24,MATCH("other",Rubric!$A$15:$A$24,0))))</f>
        <v/>
      </c>
      <c r="G94" s="37" t="str">
        <f aca="true">IF(OR($A94="",$D94=""),"",YEARFRAC($D94,TODAY()))</f>
        <v/>
      </c>
      <c r="H94" s="50" t="str">
        <f aca="false">IF($G94="","",MAX(0,INT($G94)))</f>
        <v/>
      </c>
      <c r="I94" s="39" t="str">
        <f aca="false">IF(OR($F94="",$H94=""),"",$F94*$H94)</f>
        <v/>
      </c>
      <c r="J94" s="39" t="str">
        <f aca="false">IF(OR($A94="",$E94=""),"",$E94+IF($I94="",0,$I94))</f>
        <v/>
      </c>
      <c r="K94" s="39" t="str">
        <f aca="false">IF(OR($J94="",$J94=0),"",$J94/(1-Assumptions!$B$4))</f>
        <v/>
      </c>
      <c r="L94" s="39" t="str">
        <f aca="false">IF($K94="","",MAX($K94,$E94*Assumptions!$B$10))</f>
        <v/>
      </c>
      <c r="M94" s="27"/>
      <c r="N94" s="33"/>
    </row>
    <row r="95" customFormat="false" ht="15" hidden="false" customHeight="true" outlineLevel="0" collapsed="false">
      <c r="A95" s="42"/>
      <c r="B95" s="34" t="str">
        <f aca="false">IF($A95="","",IF(ISERROR(FIND(".",$A95)),"",LOWER(MID($A95,FIND(CHAR(1),SUBSTITUTE($A95,".",CHAR(1),LEN($A95)-LEN(SUBSTITUTE($A95,".",""))))+1,LEN($A95)))))</f>
        <v/>
      </c>
      <c r="C95" s="26"/>
      <c r="D95" s="49"/>
      <c r="E95" s="27"/>
      <c r="F95" s="36" t="str">
        <f aca="false">IF($B95="","",IFERROR(INDEX(Rubric!$C$15:$C$24,MATCH(LOWER($B95),Rubric!$A$15:$A$24,0)),INDEX(Rubric!$C$15:$C$24,MATCH("other",Rubric!$A$15:$A$24,0))))</f>
        <v/>
      </c>
      <c r="G95" s="37" t="str">
        <f aca="true">IF(OR($A95="",$D95=""),"",YEARFRAC($D95,TODAY()))</f>
        <v/>
      </c>
      <c r="H95" s="50" t="str">
        <f aca="false">IF($G95="","",MAX(0,INT($G95)))</f>
        <v/>
      </c>
      <c r="I95" s="39" t="str">
        <f aca="false">IF(OR($F95="",$H95=""),"",$F95*$H95)</f>
        <v/>
      </c>
      <c r="J95" s="39" t="str">
        <f aca="false">IF(OR($A95="",$E95=""),"",$E95+IF($I95="",0,$I95))</f>
        <v/>
      </c>
      <c r="K95" s="39" t="str">
        <f aca="false">IF(OR($J95="",$J95=0),"",$J95/(1-Assumptions!$B$4))</f>
        <v/>
      </c>
      <c r="L95" s="39" t="str">
        <f aca="false">IF($K95="","",MAX($K95,$E95*Assumptions!$B$10))</f>
        <v/>
      </c>
      <c r="M95" s="27"/>
      <c r="N95" s="33"/>
    </row>
    <row r="96" customFormat="false" ht="15" hidden="false" customHeight="true" outlineLevel="0" collapsed="false">
      <c r="A96" s="42"/>
      <c r="B96" s="34" t="str">
        <f aca="false">IF($A96="","",IF(ISERROR(FIND(".",$A96)),"",LOWER(MID($A96,FIND(CHAR(1),SUBSTITUTE($A96,".",CHAR(1),LEN($A96)-LEN(SUBSTITUTE($A96,".",""))))+1,LEN($A96)))))</f>
        <v/>
      </c>
      <c r="C96" s="26"/>
      <c r="D96" s="49"/>
      <c r="E96" s="27"/>
      <c r="F96" s="36" t="str">
        <f aca="false">IF($B96="","",IFERROR(INDEX(Rubric!$C$15:$C$24,MATCH(LOWER($B96),Rubric!$A$15:$A$24,0)),INDEX(Rubric!$C$15:$C$24,MATCH("other",Rubric!$A$15:$A$24,0))))</f>
        <v/>
      </c>
      <c r="G96" s="37" t="str">
        <f aca="true">IF(OR($A96="",$D96=""),"",YEARFRAC($D96,TODAY()))</f>
        <v/>
      </c>
      <c r="H96" s="50" t="str">
        <f aca="false">IF($G96="","",MAX(0,INT($G96)))</f>
        <v/>
      </c>
      <c r="I96" s="39" t="str">
        <f aca="false">IF(OR($F96="",$H96=""),"",$F96*$H96)</f>
        <v/>
      </c>
      <c r="J96" s="39" t="str">
        <f aca="false">IF(OR($A96="",$E96=""),"",$E96+IF($I96="",0,$I96))</f>
        <v/>
      </c>
      <c r="K96" s="39" t="str">
        <f aca="false">IF(OR($J96="",$J96=0),"",$J96/(1-Assumptions!$B$4))</f>
        <v/>
      </c>
      <c r="L96" s="39" t="str">
        <f aca="false">IF($K96="","",MAX($K96,$E96*Assumptions!$B$10))</f>
        <v/>
      </c>
      <c r="M96" s="27"/>
      <c r="N96" s="33"/>
    </row>
    <row r="97" customFormat="false" ht="15" hidden="false" customHeight="true" outlineLevel="0" collapsed="false">
      <c r="A97" s="42"/>
      <c r="B97" s="34" t="str">
        <f aca="false">IF($A97="","",IF(ISERROR(FIND(".",$A97)),"",LOWER(MID($A97,FIND(CHAR(1),SUBSTITUTE($A97,".",CHAR(1),LEN($A97)-LEN(SUBSTITUTE($A97,".",""))))+1,LEN($A97)))))</f>
        <v/>
      </c>
      <c r="C97" s="26"/>
      <c r="D97" s="49"/>
      <c r="E97" s="27"/>
      <c r="F97" s="36" t="str">
        <f aca="false">IF($B97="","",IFERROR(INDEX(Rubric!$C$15:$C$24,MATCH(LOWER($B97),Rubric!$A$15:$A$24,0)),INDEX(Rubric!$C$15:$C$24,MATCH("other",Rubric!$A$15:$A$24,0))))</f>
        <v/>
      </c>
      <c r="G97" s="37" t="str">
        <f aca="true">IF(OR($A97="",$D97=""),"",YEARFRAC($D97,TODAY()))</f>
        <v/>
      </c>
      <c r="H97" s="50" t="str">
        <f aca="false">IF($G97="","",MAX(0,INT($G97)))</f>
        <v/>
      </c>
      <c r="I97" s="39" t="str">
        <f aca="false">IF(OR($F97="",$H97=""),"",$F97*$H97)</f>
        <v/>
      </c>
      <c r="J97" s="39" t="str">
        <f aca="false">IF(OR($A97="",$E97=""),"",$E97+IF($I97="",0,$I97))</f>
        <v/>
      </c>
      <c r="K97" s="39" t="str">
        <f aca="false">IF(OR($J97="",$J97=0),"",$J97/(1-Assumptions!$B$4))</f>
        <v/>
      </c>
      <c r="L97" s="39" t="str">
        <f aca="false">IF($K97="","",MAX($K97,$E97*Assumptions!$B$10))</f>
        <v/>
      </c>
      <c r="M97" s="27"/>
      <c r="N97" s="33"/>
    </row>
    <row r="98" customFormat="false" ht="15" hidden="false" customHeight="true" outlineLevel="0" collapsed="false">
      <c r="A98" s="42"/>
      <c r="B98" s="34" t="str">
        <f aca="false">IF($A98="","",IF(ISERROR(FIND(".",$A98)),"",LOWER(MID($A98,FIND(CHAR(1),SUBSTITUTE($A98,".",CHAR(1),LEN($A98)-LEN(SUBSTITUTE($A98,".",""))))+1,LEN($A98)))))</f>
        <v/>
      </c>
      <c r="C98" s="26"/>
      <c r="D98" s="49"/>
      <c r="E98" s="27"/>
      <c r="F98" s="36" t="str">
        <f aca="false">IF($B98="","",IFERROR(INDEX(Rubric!$C$15:$C$24,MATCH(LOWER($B98),Rubric!$A$15:$A$24,0)),INDEX(Rubric!$C$15:$C$24,MATCH("other",Rubric!$A$15:$A$24,0))))</f>
        <v/>
      </c>
      <c r="G98" s="37" t="str">
        <f aca="true">IF(OR($A98="",$D98=""),"",YEARFRAC($D98,TODAY()))</f>
        <v/>
      </c>
      <c r="H98" s="50" t="str">
        <f aca="false">IF($G98="","",MAX(0,INT($G98)))</f>
        <v/>
      </c>
      <c r="I98" s="39" t="str">
        <f aca="false">IF(OR($F98="",$H98=""),"",$F98*$H98)</f>
        <v/>
      </c>
      <c r="J98" s="39" t="str">
        <f aca="false">IF(OR($A98="",$E98=""),"",$E98+IF($I98="",0,$I98))</f>
        <v/>
      </c>
      <c r="K98" s="39" t="str">
        <f aca="false">IF(OR($J98="",$J98=0),"",$J98/(1-Assumptions!$B$4))</f>
        <v/>
      </c>
      <c r="L98" s="39" t="str">
        <f aca="false">IF($K98="","",MAX($K98,$E98*Assumptions!$B$10))</f>
        <v/>
      </c>
      <c r="M98" s="27"/>
      <c r="N98" s="33"/>
    </row>
    <row r="99" customFormat="false" ht="15" hidden="false" customHeight="true" outlineLevel="0" collapsed="false">
      <c r="A99" s="42"/>
      <c r="B99" s="34" t="str">
        <f aca="false">IF($A99="","",IF(ISERROR(FIND(".",$A99)),"",LOWER(MID($A99,FIND(CHAR(1),SUBSTITUTE($A99,".",CHAR(1),LEN($A99)-LEN(SUBSTITUTE($A99,".",""))))+1,LEN($A99)))))</f>
        <v/>
      </c>
      <c r="C99" s="26"/>
      <c r="D99" s="49"/>
      <c r="E99" s="27"/>
      <c r="F99" s="36" t="str">
        <f aca="false">IF($B99="","",IFERROR(INDEX(Rubric!$C$15:$C$24,MATCH(LOWER($B99),Rubric!$A$15:$A$24,0)),INDEX(Rubric!$C$15:$C$24,MATCH("other",Rubric!$A$15:$A$24,0))))</f>
        <v/>
      </c>
      <c r="G99" s="37" t="str">
        <f aca="true">IF(OR($A99="",$D99=""),"",YEARFRAC($D99,TODAY()))</f>
        <v/>
      </c>
      <c r="H99" s="50" t="str">
        <f aca="false">IF($G99="","",MAX(0,INT($G99)))</f>
        <v/>
      </c>
      <c r="I99" s="39" t="str">
        <f aca="false">IF(OR($F99="",$H99=""),"",$F99*$H99)</f>
        <v/>
      </c>
      <c r="J99" s="39" t="str">
        <f aca="false">IF(OR($A99="",$E99=""),"",$E99+IF($I99="",0,$I99))</f>
        <v/>
      </c>
      <c r="K99" s="39" t="str">
        <f aca="false">IF(OR($J99="",$J99=0),"",$J99/(1-Assumptions!$B$4))</f>
        <v/>
      </c>
      <c r="L99" s="39" t="str">
        <f aca="false">IF($K99="","",MAX($K99,$E99*Assumptions!$B$10))</f>
        <v/>
      </c>
      <c r="M99" s="27"/>
      <c r="N99" s="33"/>
    </row>
    <row r="100" customFormat="false" ht="15" hidden="false" customHeight="true" outlineLevel="0" collapsed="false">
      <c r="A100" s="42"/>
      <c r="B100" s="34" t="str">
        <f aca="false">IF($A100="","",IF(ISERROR(FIND(".",$A100)),"",LOWER(MID($A100,FIND(CHAR(1),SUBSTITUTE($A100,".",CHAR(1),LEN($A100)-LEN(SUBSTITUTE($A100,".",""))))+1,LEN($A100)))))</f>
        <v/>
      </c>
      <c r="C100" s="26"/>
      <c r="D100" s="49"/>
      <c r="E100" s="27"/>
      <c r="F100" s="36" t="str">
        <f aca="false">IF($B100="","",IFERROR(INDEX(Rubric!$C$15:$C$24,MATCH(LOWER($B100),Rubric!$A$15:$A$24,0)),INDEX(Rubric!$C$15:$C$24,MATCH("other",Rubric!$A$15:$A$24,0))))</f>
        <v/>
      </c>
      <c r="G100" s="37" t="str">
        <f aca="true">IF(OR($A100="",$D100=""),"",YEARFRAC($D100,TODAY()))</f>
        <v/>
      </c>
      <c r="H100" s="50" t="str">
        <f aca="false">IF($G100="","",MAX(0,INT($G100)))</f>
        <v/>
      </c>
      <c r="I100" s="39" t="str">
        <f aca="false">IF(OR($F100="",$H100=""),"",$F100*$H100)</f>
        <v/>
      </c>
      <c r="J100" s="39" t="str">
        <f aca="false">IF(OR($A100="",$E100=""),"",$E100+IF($I100="",0,$I100))</f>
        <v/>
      </c>
      <c r="K100" s="39" t="str">
        <f aca="false">IF(OR($J100="",$J100=0),"",$J100/(1-Assumptions!$B$4))</f>
        <v/>
      </c>
      <c r="L100" s="39" t="str">
        <f aca="false">IF($K100="","",MAX($K100,$E100*Assumptions!$B$10))</f>
        <v/>
      </c>
      <c r="M100" s="27"/>
      <c r="N100" s="33"/>
    </row>
    <row r="101" customFormat="false" ht="15" hidden="false" customHeight="true" outlineLevel="0" collapsed="false">
      <c r="A101" s="42"/>
      <c r="B101" s="34" t="str">
        <f aca="false">IF($A101="","",IF(ISERROR(FIND(".",$A101)),"",LOWER(MID($A101,FIND(CHAR(1),SUBSTITUTE($A101,".",CHAR(1),LEN($A101)-LEN(SUBSTITUTE($A101,".",""))))+1,LEN($A101)))))</f>
        <v/>
      </c>
      <c r="C101" s="26"/>
      <c r="D101" s="49"/>
      <c r="E101" s="27"/>
      <c r="F101" s="36" t="str">
        <f aca="false">IF($B101="","",IFERROR(INDEX(Rubric!$C$15:$C$24,MATCH(LOWER($B101),Rubric!$A$15:$A$24,0)),INDEX(Rubric!$C$15:$C$24,MATCH("other",Rubric!$A$15:$A$24,0))))</f>
        <v/>
      </c>
      <c r="G101" s="37" t="str">
        <f aca="true">IF(OR($A101="",$D101=""),"",YEARFRAC($D101,TODAY()))</f>
        <v/>
      </c>
      <c r="H101" s="50" t="str">
        <f aca="false">IF($G101="","",MAX(0,INT($G101)))</f>
        <v/>
      </c>
      <c r="I101" s="39" t="str">
        <f aca="false">IF(OR($F101="",$H101=""),"",$F101*$H101)</f>
        <v/>
      </c>
      <c r="J101" s="39" t="str">
        <f aca="false">IF(OR($A101="",$E101=""),"",$E101+IF($I101="",0,$I101))</f>
        <v/>
      </c>
      <c r="K101" s="39" t="str">
        <f aca="false">IF(OR($J101="",$J101=0),"",$J101/(1-Assumptions!$B$4))</f>
        <v/>
      </c>
      <c r="L101" s="39" t="str">
        <f aca="false">IF($K101="","",MAX($K101,$E101*Assumptions!$B$10))</f>
        <v/>
      </c>
      <c r="M101" s="27"/>
      <c r="N101" s="33"/>
    </row>
    <row r="102" customFormat="false" ht="15" hidden="false" customHeight="true" outlineLevel="0" collapsed="false">
      <c r="A102" s="42"/>
      <c r="B102" s="34" t="str">
        <f aca="false">IF($A102="","",IF(ISERROR(FIND(".",$A102)),"",LOWER(MID($A102,FIND(CHAR(1),SUBSTITUTE($A102,".",CHAR(1),LEN($A102)-LEN(SUBSTITUTE($A102,".",""))))+1,LEN($A102)))))</f>
        <v/>
      </c>
      <c r="C102" s="26"/>
      <c r="D102" s="49"/>
      <c r="E102" s="27"/>
      <c r="F102" s="36" t="str">
        <f aca="false">IF($B102="","",IFERROR(INDEX(Rubric!$C$15:$C$24,MATCH(LOWER($B102),Rubric!$A$15:$A$24,0)),INDEX(Rubric!$C$15:$C$24,MATCH("other",Rubric!$A$15:$A$24,0))))</f>
        <v/>
      </c>
      <c r="G102" s="37" t="str">
        <f aca="true">IF(OR($A102="",$D102=""),"",YEARFRAC($D102,TODAY()))</f>
        <v/>
      </c>
      <c r="H102" s="50" t="str">
        <f aca="false">IF($G102="","",MAX(0,INT($G102)))</f>
        <v/>
      </c>
      <c r="I102" s="39" t="str">
        <f aca="false">IF(OR($F102="",$H102=""),"",$F102*$H102)</f>
        <v/>
      </c>
      <c r="J102" s="39" t="str">
        <f aca="false">IF(OR($A102="",$E102=""),"",$E102+IF($I102="",0,$I102))</f>
        <v/>
      </c>
      <c r="K102" s="39" t="str">
        <f aca="false">IF(OR($J102="",$J102=0),"",$J102/(1-Assumptions!$B$4))</f>
        <v/>
      </c>
      <c r="L102" s="39" t="str">
        <f aca="false">IF($K102="","",MAX($K102,$E102*Assumptions!$B$10))</f>
        <v/>
      </c>
      <c r="M102" s="27"/>
      <c r="N102" s="33"/>
    </row>
    <row r="103" customFormat="false" ht="15" hidden="false" customHeight="true" outlineLevel="0" collapsed="false">
      <c r="A103" s="42"/>
      <c r="B103" s="34" t="str">
        <f aca="false">IF($A103="","",IF(ISERROR(FIND(".",$A103)),"",LOWER(MID($A103,FIND(CHAR(1),SUBSTITUTE($A103,".",CHAR(1),LEN($A103)-LEN(SUBSTITUTE($A103,".",""))))+1,LEN($A103)))))</f>
        <v/>
      </c>
      <c r="C103" s="26"/>
      <c r="D103" s="49"/>
      <c r="E103" s="27"/>
      <c r="F103" s="36" t="str">
        <f aca="false">IF($B103="","",IFERROR(INDEX(Rubric!$C$15:$C$24,MATCH(LOWER($B103),Rubric!$A$15:$A$24,0)),INDEX(Rubric!$C$15:$C$24,MATCH("other",Rubric!$A$15:$A$24,0))))</f>
        <v/>
      </c>
      <c r="G103" s="37" t="str">
        <f aca="true">IF(OR($A103="",$D103=""),"",YEARFRAC($D103,TODAY()))</f>
        <v/>
      </c>
      <c r="H103" s="50" t="str">
        <f aca="false">IF($G103="","",MAX(0,INT($G103)))</f>
        <v/>
      </c>
      <c r="I103" s="39" t="str">
        <f aca="false">IF(OR($F103="",$H103=""),"",$F103*$H103)</f>
        <v/>
      </c>
      <c r="J103" s="39" t="str">
        <f aca="false">IF(OR($A103="",$E103=""),"",$E103+IF($I103="",0,$I103))</f>
        <v/>
      </c>
      <c r="K103" s="39" t="str">
        <f aca="false">IF(OR($J103="",$J103=0),"",$J103/(1-Assumptions!$B$4))</f>
        <v/>
      </c>
      <c r="L103" s="39" t="str">
        <f aca="false">IF($K103="","",MAX($K103,$E103*Assumptions!$B$10))</f>
        <v/>
      </c>
      <c r="M103" s="27"/>
      <c r="N103" s="33"/>
    </row>
    <row r="104" customFormat="false" ht="15" hidden="false" customHeight="true" outlineLevel="0" collapsed="false">
      <c r="A104" s="42"/>
      <c r="B104" s="34" t="str">
        <f aca="false">IF($A104="","",IF(ISERROR(FIND(".",$A104)),"",LOWER(MID($A104,FIND(CHAR(1),SUBSTITUTE($A104,".",CHAR(1),LEN($A104)-LEN(SUBSTITUTE($A104,".",""))))+1,LEN($A104)))))</f>
        <v/>
      </c>
      <c r="C104" s="26"/>
      <c r="D104" s="49"/>
      <c r="E104" s="27"/>
      <c r="F104" s="36" t="str">
        <f aca="false">IF($B104="","",IFERROR(INDEX(Rubric!$C$15:$C$24,MATCH(LOWER($B104),Rubric!$A$15:$A$24,0)),INDEX(Rubric!$C$15:$C$24,MATCH("other",Rubric!$A$15:$A$24,0))))</f>
        <v/>
      </c>
      <c r="G104" s="37" t="str">
        <f aca="true">IF(OR($A104="",$D104=""),"",YEARFRAC($D104,TODAY()))</f>
        <v/>
      </c>
      <c r="H104" s="50" t="str">
        <f aca="false">IF($G104="","",MAX(0,INT($G104)))</f>
        <v/>
      </c>
      <c r="I104" s="39" t="str">
        <f aca="false">IF(OR($F104="",$H104=""),"",$F104*$H104)</f>
        <v/>
      </c>
      <c r="J104" s="39" t="str">
        <f aca="false">IF(OR($A104="",$E104=""),"",$E104+IF($I104="",0,$I104))</f>
        <v/>
      </c>
      <c r="K104" s="39" t="str">
        <f aca="false">IF(OR($J104="",$J104=0),"",$J104/(1-Assumptions!$B$4))</f>
        <v/>
      </c>
      <c r="L104" s="39" t="str">
        <f aca="false">IF($K104="","",MAX($K104,$E104*Assumptions!$B$10))</f>
        <v/>
      </c>
      <c r="M104" s="27"/>
      <c r="N104" s="33"/>
    </row>
  </sheetData>
  <autoFilter ref="A4:N104"/>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8"/>
    <col collapsed="false" customWidth="true" hidden="false" outlineLevel="0" max="3" min="2" style="1" width="13"/>
    <col collapsed="false" customWidth="true" hidden="false" outlineLevel="0" max="4" min="4" style="1" width="16"/>
    <col collapsed="false" customWidth="true" hidden="false" outlineLevel="0" max="5" min="5" style="1" width="13"/>
    <col collapsed="false" customWidth="true" hidden="false" outlineLevel="0" max="7" min="6" style="1" width="14"/>
    <col collapsed="false" customWidth="true" hidden="false" outlineLevel="0" max="8" min="8" style="1" width="15"/>
    <col collapsed="false" customWidth="true" hidden="false" outlineLevel="0" max="9" min="9" style="1" width="13"/>
    <col collapsed="false" customWidth="true" hidden="false" outlineLevel="0" max="10" min="10" style="1" width="10"/>
    <col collapsed="false" customWidth="true" hidden="false" outlineLevel="0" max="11" min="11" style="1" width="44"/>
  </cols>
  <sheetData>
    <row r="1" customFormat="false" ht="24" hidden="false" customHeight="true" outlineLevel="0" collapsed="false">
      <c r="A1" s="2" t="s">
        <v>295</v>
      </c>
      <c r="B1" s="2"/>
      <c r="C1" s="2"/>
      <c r="D1" s="2"/>
      <c r="E1" s="2"/>
      <c r="F1" s="2"/>
      <c r="G1" s="2"/>
      <c r="H1" s="2"/>
      <c r="I1" s="2"/>
      <c r="J1" s="2"/>
      <c r="K1" s="2"/>
    </row>
    <row r="2" customFormat="false" ht="15" hidden="false" customHeight="true" outlineLevel="0" collapsed="false">
      <c r="A2" s="18" t="s">
        <v>296</v>
      </c>
    </row>
    <row r="4" customFormat="false" ht="42" hidden="false" customHeight="true" outlineLevel="0" collapsed="false">
      <c r="A4" s="8" t="s">
        <v>297</v>
      </c>
      <c r="B4" s="8" t="s">
        <v>298</v>
      </c>
      <c r="C4" s="8" t="s">
        <v>299</v>
      </c>
      <c r="D4" s="8" t="s">
        <v>300</v>
      </c>
      <c r="E4" s="8" t="s">
        <v>301</v>
      </c>
      <c r="F4" s="8" t="s">
        <v>302</v>
      </c>
      <c r="G4" s="8" t="s">
        <v>303</v>
      </c>
      <c r="H4" s="8" t="s">
        <v>289</v>
      </c>
      <c r="I4" s="8" t="s">
        <v>304</v>
      </c>
      <c r="J4" s="8" t="s">
        <v>305</v>
      </c>
      <c r="K4" s="8" t="s">
        <v>167</v>
      </c>
    </row>
    <row r="5" customFormat="false" ht="15" hidden="false" customHeight="true" outlineLevel="0" collapsed="false">
      <c r="A5" s="43" t="s">
        <v>174</v>
      </c>
      <c r="B5" s="45" t="n">
        <v>46162</v>
      </c>
      <c r="C5" s="46" t="n">
        <v>11500</v>
      </c>
      <c r="D5" s="44" t="s">
        <v>306</v>
      </c>
      <c r="E5" s="51" t="n">
        <v>0.2</v>
      </c>
      <c r="F5" s="31" t="n">
        <f aca="false">IF(OR($A5="",$C5=""),"",MAX($C5*$E5,Assumptions!$B$5))</f>
        <v>2300</v>
      </c>
      <c r="G5" s="31" t="n">
        <f aca="false">IF($F5="","",$C5-$F5)</f>
        <v>9200</v>
      </c>
      <c r="H5" s="46" t="n">
        <v>2433</v>
      </c>
      <c r="I5" s="31" t="n">
        <f aca="false">IF(OR($G5="",$H5=""),"",$G5-$H5)</f>
        <v>6767</v>
      </c>
      <c r="J5" s="52" t="n">
        <f aca="false">IF(OR($I5="",$H5="",$H5=0),"",$I5/$H5)</f>
        <v>2.78133990957665</v>
      </c>
      <c r="K5" s="48" t="s">
        <v>294</v>
      </c>
    </row>
    <row r="6" customFormat="false" ht="15" hidden="false" customHeight="true" outlineLevel="0" collapsed="false">
      <c r="A6" s="42"/>
      <c r="B6" s="49"/>
      <c r="C6" s="27"/>
      <c r="D6" s="26"/>
      <c r="E6" s="40" t="str">
        <f aca="false">IF($A6="","",Assumptions!$B$4)</f>
        <v/>
      </c>
      <c r="F6" s="39" t="str">
        <f aca="false">IF(OR($A6="",$C6=""),"",MAX($C6*$E6,Assumptions!$B$5))</f>
        <v/>
      </c>
      <c r="G6" s="39" t="str">
        <f aca="false">IF($F6="","",$C6-$F6)</f>
        <v/>
      </c>
      <c r="H6" s="27"/>
      <c r="I6" s="39" t="str">
        <f aca="false">IF(OR($G6="",$H6=""),"",$G6-$H6)</f>
        <v/>
      </c>
      <c r="J6" s="53" t="str">
        <f aca="false">IF(OR($I6="",$H6="",$H6=0),"",$I6/$H6)</f>
        <v/>
      </c>
      <c r="K6" s="33"/>
    </row>
    <row r="7" customFormat="false" ht="15" hidden="false" customHeight="true" outlineLevel="0" collapsed="false">
      <c r="A7" s="42"/>
      <c r="B7" s="49"/>
      <c r="C7" s="27"/>
      <c r="D7" s="26"/>
      <c r="E7" s="40" t="str">
        <f aca="false">IF($A7="","",Assumptions!$B$4)</f>
        <v/>
      </c>
      <c r="F7" s="39" t="str">
        <f aca="false">IF(OR($A7="",$C7=""),"",MAX($C7*$E7,Assumptions!$B$5))</f>
        <v/>
      </c>
      <c r="G7" s="39" t="str">
        <f aca="false">IF($F7="","",$C7-$F7)</f>
        <v/>
      </c>
      <c r="H7" s="27"/>
      <c r="I7" s="39" t="str">
        <f aca="false">IF(OR($G7="",$H7=""),"",$G7-$H7)</f>
        <v/>
      </c>
      <c r="J7" s="53" t="str">
        <f aca="false">IF(OR($I7="",$H7="",$H7=0),"",$I7/$H7)</f>
        <v/>
      </c>
      <c r="K7" s="33"/>
    </row>
    <row r="8" customFormat="false" ht="15" hidden="false" customHeight="true" outlineLevel="0" collapsed="false">
      <c r="A8" s="42"/>
      <c r="B8" s="49"/>
      <c r="C8" s="27"/>
      <c r="D8" s="26"/>
      <c r="E8" s="40" t="str">
        <f aca="false">IF($A8="","",Assumptions!$B$4)</f>
        <v/>
      </c>
      <c r="F8" s="39" t="str">
        <f aca="false">IF(OR($A8="",$C8=""),"",MAX($C8*$E8,Assumptions!$B$5))</f>
        <v/>
      </c>
      <c r="G8" s="39" t="str">
        <f aca="false">IF($F8="","",$C8-$F8)</f>
        <v/>
      </c>
      <c r="H8" s="27"/>
      <c r="I8" s="39" t="str">
        <f aca="false">IF(OR($G8="",$H8=""),"",$G8-$H8)</f>
        <v/>
      </c>
      <c r="J8" s="53" t="str">
        <f aca="false">IF(OR($I8="",$H8="",$H8=0),"",$I8/$H8)</f>
        <v/>
      </c>
      <c r="K8" s="33"/>
    </row>
    <row r="9" customFormat="false" ht="15" hidden="false" customHeight="true" outlineLevel="0" collapsed="false">
      <c r="A9" s="42"/>
      <c r="B9" s="49"/>
      <c r="C9" s="27"/>
      <c r="D9" s="26"/>
      <c r="E9" s="40" t="str">
        <f aca="false">IF($A9="","",Assumptions!$B$4)</f>
        <v/>
      </c>
      <c r="F9" s="39" t="str">
        <f aca="false">IF(OR($A9="",$C9=""),"",MAX($C9*$E9,Assumptions!$B$5))</f>
        <v/>
      </c>
      <c r="G9" s="39" t="str">
        <f aca="false">IF($F9="","",$C9-$F9)</f>
        <v/>
      </c>
      <c r="H9" s="27"/>
      <c r="I9" s="39" t="str">
        <f aca="false">IF(OR($G9="",$H9=""),"",$G9-$H9)</f>
        <v/>
      </c>
      <c r="J9" s="53" t="str">
        <f aca="false">IF(OR($I9="",$H9="",$H9=0),"",$I9/$H9)</f>
        <v/>
      </c>
      <c r="K9" s="33"/>
    </row>
    <row r="10" customFormat="false" ht="15" hidden="false" customHeight="true" outlineLevel="0" collapsed="false">
      <c r="A10" s="42"/>
      <c r="B10" s="49"/>
      <c r="C10" s="27"/>
      <c r="D10" s="26"/>
      <c r="E10" s="40" t="str">
        <f aca="false">IF($A10="","",Assumptions!$B$4)</f>
        <v/>
      </c>
      <c r="F10" s="39" t="str">
        <f aca="false">IF(OR($A10="",$C10=""),"",MAX($C10*$E10,Assumptions!$B$5))</f>
        <v/>
      </c>
      <c r="G10" s="39" t="str">
        <f aca="false">IF($F10="","",$C10-$F10)</f>
        <v/>
      </c>
      <c r="H10" s="27"/>
      <c r="I10" s="39" t="str">
        <f aca="false">IF(OR($G10="",$H10=""),"",$G10-$H10)</f>
        <v/>
      </c>
      <c r="J10" s="53" t="str">
        <f aca="false">IF(OR($I10="",$H10="",$H10=0),"",$I10/$H10)</f>
        <v/>
      </c>
      <c r="K10" s="33"/>
    </row>
    <row r="11" customFormat="false" ht="15" hidden="false" customHeight="true" outlineLevel="0" collapsed="false">
      <c r="A11" s="42"/>
      <c r="B11" s="49"/>
      <c r="C11" s="27"/>
      <c r="D11" s="26"/>
      <c r="E11" s="40" t="str">
        <f aca="false">IF($A11="","",Assumptions!$B$4)</f>
        <v/>
      </c>
      <c r="F11" s="39" t="str">
        <f aca="false">IF(OR($A11="",$C11=""),"",MAX($C11*$E11,Assumptions!$B$5))</f>
        <v/>
      </c>
      <c r="G11" s="39" t="str">
        <f aca="false">IF($F11="","",$C11-$F11)</f>
        <v/>
      </c>
      <c r="H11" s="27"/>
      <c r="I11" s="39" t="str">
        <f aca="false">IF(OR($G11="",$H11=""),"",$G11-$H11)</f>
        <v/>
      </c>
      <c r="J11" s="53" t="str">
        <f aca="false">IF(OR($I11="",$H11="",$H11=0),"",$I11/$H11)</f>
        <v/>
      </c>
      <c r="K11" s="33"/>
    </row>
    <row r="12" customFormat="false" ht="15" hidden="false" customHeight="true" outlineLevel="0" collapsed="false">
      <c r="A12" s="42"/>
      <c r="B12" s="49"/>
      <c r="C12" s="27"/>
      <c r="D12" s="26"/>
      <c r="E12" s="40" t="str">
        <f aca="false">IF($A12="","",Assumptions!$B$4)</f>
        <v/>
      </c>
      <c r="F12" s="39" t="str">
        <f aca="false">IF(OR($A12="",$C12=""),"",MAX($C12*$E12,Assumptions!$B$5))</f>
        <v/>
      </c>
      <c r="G12" s="39" t="str">
        <f aca="false">IF($F12="","",$C12-$F12)</f>
        <v/>
      </c>
      <c r="H12" s="27"/>
      <c r="I12" s="39" t="str">
        <f aca="false">IF(OR($G12="",$H12=""),"",$G12-$H12)</f>
        <v/>
      </c>
      <c r="J12" s="53" t="str">
        <f aca="false">IF(OR($I12="",$H12="",$H12=0),"",$I12/$H12)</f>
        <v/>
      </c>
      <c r="K12" s="33"/>
    </row>
    <row r="13" customFormat="false" ht="15" hidden="false" customHeight="true" outlineLevel="0" collapsed="false">
      <c r="A13" s="42"/>
      <c r="B13" s="49"/>
      <c r="C13" s="27"/>
      <c r="D13" s="26"/>
      <c r="E13" s="40" t="str">
        <f aca="false">IF($A13="","",Assumptions!$B$4)</f>
        <v/>
      </c>
      <c r="F13" s="39" t="str">
        <f aca="false">IF(OR($A13="",$C13=""),"",MAX($C13*$E13,Assumptions!$B$5))</f>
        <v/>
      </c>
      <c r="G13" s="39" t="str">
        <f aca="false">IF($F13="","",$C13-$F13)</f>
        <v/>
      </c>
      <c r="H13" s="27"/>
      <c r="I13" s="39" t="str">
        <f aca="false">IF(OR($G13="",$H13=""),"",$G13-$H13)</f>
        <v/>
      </c>
      <c r="J13" s="53" t="str">
        <f aca="false">IF(OR($I13="",$H13="",$H13=0),"",$I13/$H13)</f>
        <v/>
      </c>
      <c r="K13" s="33"/>
    </row>
    <row r="14" customFormat="false" ht="15" hidden="false" customHeight="true" outlineLevel="0" collapsed="false">
      <c r="A14" s="42"/>
      <c r="B14" s="49"/>
      <c r="C14" s="27"/>
      <c r="D14" s="26"/>
      <c r="E14" s="40" t="str">
        <f aca="false">IF($A14="","",Assumptions!$B$4)</f>
        <v/>
      </c>
      <c r="F14" s="39" t="str">
        <f aca="false">IF(OR($A14="",$C14=""),"",MAX($C14*$E14,Assumptions!$B$5))</f>
        <v/>
      </c>
      <c r="G14" s="39" t="str">
        <f aca="false">IF($F14="","",$C14-$F14)</f>
        <v/>
      </c>
      <c r="H14" s="27"/>
      <c r="I14" s="39" t="str">
        <f aca="false">IF(OR($G14="",$H14=""),"",$G14-$H14)</f>
        <v/>
      </c>
      <c r="J14" s="53" t="str">
        <f aca="false">IF(OR($I14="",$H14="",$H14=0),"",$I14/$H14)</f>
        <v/>
      </c>
      <c r="K14" s="33"/>
    </row>
    <row r="15" customFormat="false" ht="15" hidden="false" customHeight="true" outlineLevel="0" collapsed="false">
      <c r="A15" s="42"/>
      <c r="B15" s="49"/>
      <c r="C15" s="27"/>
      <c r="D15" s="26"/>
      <c r="E15" s="40" t="str">
        <f aca="false">IF($A15="","",Assumptions!$B$4)</f>
        <v/>
      </c>
      <c r="F15" s="39" t="str">
        <f aca="false">IF(OR($A15="",$C15=""),"",MAX($C15*$E15,Assumptions!$B$5))</f>
        <v/>
      </c>
      <c r="G15" s="39" t="str">
        <f aca="false">IF($F15="","",$C15-$F15)</f>
        <v/>
      </c>
      <c r="H15" s="27"/>
      <c r="I15" s="39" t="str">
        <f aca="false">IF(OR($G15="",$H15=""),"",$G15-$H15)</f>
        <v/>
      </c>
      <c r="J15" s="53" t="str">
        <f aca="false">IF(OR($I15="",$H15="",$H15=0),"",$I15/$H15)</f>
        <v/>
      </c>
      <c r="K15" s="33"/>
    </row>
    <row r="16" customFormat="false" ht="15" hidden="false" customHeight="true" outlineLevel="0" collapsed="false">
      <c r="A16" s="42"/>
      <c r="B16" s="49"/>
      <c r="C16" s="27"/>
      <c r="D16" s="26"/>
      <c r="E16" s="40" t="str">
        <f aca="false">IF($A16="","",Assumptions!$B$4)</f>
        <v/>
      </c>
      <c r="F16" s="39" t="str">
        <f aca="false">IF(OR($A16="",$C16=""),"",MAX($C16*$E16,Assumptions!$B$5))</f>
        <v/>
      </c>
      <c r="G16" s="39" t="str">
        <f aca="false">IF($F16="","",$C16-$F16)</f>
        <v/>
      </c>
      <c r="H16" s="27"/>
      <c r="I16" s="39" t="str">
        <f aca="false">IF(OR($G16="",$H16=""),"",$G16-$H16)</f>
        <v/>
      </c>
      <c r="J16" s="53" t="str">
        <f aca="false">IF(OR($I16="",$H16="",$H16=0),"",$I16/$H16)</f>
        <v/>
      </c>
      <c r="K16" s="33"/>
    </row>
    <row r="17" customFormat="false" ht="15" hidden="false" customHeight="true" outlineLevel="0" collapsed="false">
      <c r="A17" s="42"/>
      <c r="B17" s="49"/>
      <c r="C17" s="27"/>
      <c r="D17" s="26"/>
      <c r="E17" s="40" t="str">
        <f aca="false">IF($A17="","",Assumptions!$B$4)</f>
        <v/>
      </c>
      <c r="F17" s="39" t="str">
        <f aca="false">IF(OR($A17="",$C17=""),"",MAX($C17*$E17,Assumptions!$B$5))</f>
        <v/>
      </c>
      <c r="G17" s="39" t="str">
        <f aca="false">IF($F17="","",$C17-$F17)</f>
        <v/>
      </c>
      <c r="H17" s="27"/>
      <c r="I17" s="39" t="str">
        <f aca="false">IF(OR($G17="",$H17=""),"",$G17-$H17)</f>
        <v/>
      </c>
      <c r="J17" s="53" t="str">
        <f aca="false">IF(OR($I17="",$H17="",$H17=0),"",$I17/$H17)</f>
        <v/>
      </c>
      <c r="K17" s="33"/>
    </row>
    <row r="18" customFormat="false" ht="15" hidden="false" customHeight="true" outlineLevel="0" collapsed="false">
      <c r="A18" s="42"/>
      <c r="B18" s="49"/>
      <c r="C18" s="27"/>
      <c r="D18" s="26"/>
      <c r="E18" s="40" t="str">
        <f aca="false">IF($A18="","",Assumptions!$B$4)</f>
        <v/>
      </c>
      <c r="F18" s="39" t="str">
        <f aca="false">IF(OR($A18="",$C18=""),"",MAX($C18*$E18,Assumptions!$B$5))</f>
        <v/>
      </c>
      <c r="G18" s="39" t="str">
        <f aca="false">IF($F18="","",$C18-$F18)</f>
        <v/>
      </c>
      <c r="H18" s="27"/>
      <c r="I18" s="39" t="str">
        <f aca="false">IF(OR($G18="",$H18=""),"",$G18-$H18)</f>
        <v/>
      </c>
      <c r="J18" s="53" t="str">
        <f aca="false">IF(OR($I18="",$H18="",$H18=0),"",$I18/$H18)</f>
        <v/>
      </c>
      <c r="K18" s="33"/>
    </row>
    <row r="19" customFormat="false" ht="15" hidden="false" customHeight="true" outlineLevel="0" collapsed="false">
      <c r="A19" s="42"/>
      <c r="B19" s="49"/>
      <c r="C19" s="27"/>
      <c r="D19" s="26"/>
      <c r="E19" s="40" t="str">
        <f aca="false">IF($A19="","",Assumptions!$B$4)</f>
        <v/>
      </c>
      <c r="F19" s="39" t="str">
        <f aca="false">IF(OR($A19="",$C19=""),"",MAX($C19*$E19,Assumptions!$B$5))</f>
        <v/>
      </c>
      <c r="G19" s="39" t="str">
        <f aca="false">IF($F19="","",$C19-$F19)</f>
        <v/>
      </c>
      <c r="H19" s="27"/>
      <c r="I19" s="39" t="str">
        <f aca="false">IF(OR($G19="",$H19=""),"",$G19-$H19)</f>
        <v/>
      </c>
      <c r="J19" s="53" t="str">
        <f aca="false">IF(OR($I19="",$H19="",$H19=0),"",$I19/$H19)</f>
        <v/>
      </c>
      <c r="K19" s="33"/>
    </row>
    <row r="20" customFormat="false" ht="15" hidden="false" customHeight="true" outlineLevel="0" collapsed="false">
      <c r="A20" s="42"/>
      <c r="B20" s="49"/>
      <c r="C20" s="27"/>
      <c r="D20" s="26"/>
      <c r="E20" s="40" t="str">
        <f aca="false">IF($A20="","",Assumptions!$B$4)</f>
        <v/>
      </c>
      <c r="F20" s="39" t="str">
        <f aca="false">IF(OR($A20="",$C20=""),"",MAX($C20*$E20,Assumptions!$B$5))</f>
        <v/>
      </c>
      <c r="G20" s="39" t="str">
        <f aca="false">IF($F20="","",$C20-$F20)</f>
        <v/>
      </c>
      <c r="H20" s="27"/>
      <c r="I20" s="39" t="str">
        <f aca="false">IF(OR($G20="",$H20=""),"",$G20-$H20)</f>
        <v/>
      </c>
      <c r="J20" s="53" t="str">
        <f aca="false">IF(OR($I20="",$H20="",$H20=0),"",$I20/$H20)</f>
        <v/>
      </c>
      <c r="K20" s="33"/>
    </row>
    <row r="21" customFormat="false" ht="15" hidden="false" customHeight="true" outlineLevel="0" collapsed="false">
      <c r="A21" s="42"/>
      <c r="B21" s="49"/>
      <c r="C21" s="27"/>
      <c r="D21" s="26"/>
      <c r="E21" s="40" t="str">
        <f aca="false">IF($A21="","",Assumptions!$B$4)</f>
        <v/>
      </c>
      <c r="F21" s="39" t="str">
        <f aca="false">IF(OR($A21="",$C21=""),"",MAX($C21*$E21,Assumptions!$B$5))</f>
        <v/>
      </c>
      <c r="G21" s="39" t="str">
        <f aca="false">IF($F21="","",$C21-$F21)</f>
        <v/>
      </c>
      <c r="H21" s="27"/>
      <c r="I21" s="39" t="str">
        <f aca="false">IF(OR($G21="",$H21=""),"",$G21-$H21)</f>
        <v/>
      </c>
      <c r="J21" s="53" t="str">
        <f aca="false">IF(OR($I21="",$H21="",$H21=0),"",$I21/$H21)</f>
        <v/>
      </c>
      <c r="K21" s="33"/>
    </row>
    <row r="22" customFormat="false" ht="15" hidden="false" customHeight="true" outlineLevel="0" collapsed="false">
      <c r="A22" s="42"/>
      <c r="B22" s="49"/>
      <c r="C22" s="27"/>
      <c r="D22" s="26"/>
      <c r="E22" s="40" t="str">
        <f aca="false">IF($A22="","",Assumptions!$B$4)</f>
        <v/>
      </c>
      <c r="F22" s="39" t="str">
        <f aca="false">IF(OR($A22="",$C22=""),"",MAX($C22*$E22,Assumptions!$B$5))</f>
        <v/>
      </c>
      <c r="G22" s="39" t="str">
        <f aca="false">IF($F22="","",$C22-$F22)</f>
        <v/>
      </c>
      <c r="H22" s="27"/>
      <c r="I22" s="39" t="str">
        <f aca="false">IF(OR($G22="",$H22=""),"",$G22-$H22)</f>
        <v/>
      </c>
      <c r="J22" s="53" t="str">
        <f aca="false">IF(OR($I22="",$H22="",$H22=0),"",$I22/$H22)</f>
        <v/>
      </c>
      <c r="K22" s="33"/>
    </row>
    <row r="23" customFormat="false" ht="15" hidden="false" customHeight="true" outlineLevel="0" collapsed="false">
      <c r="A23" s="42"/>
      <c r="B23" s="49"/>
      <c r="C23" s="27"/>
      <c r="D23" s="26"/>
      <c r="E23" s="40" t="str">
        <f aca="false">IF($A23="","",Assumptions!$B$4)</f>
        <v/>
      </c>
      <c r="F23" s="39" t="str">
        <f aca="false">IF(OR($A23="",$C23=""),"",MAX($C23*$E23,Assumptions!$B$5))</f>
        <v/>
      </c>
      <c r="G23" s="39" t="str">
        <f aca="false">IF($F23="","",$C23-$F23)</f>
        <v/>
      </c>
      <c r="H23" s="27"/>
      <c r="I23" s="39" t="str">
        <f aca="false">IF(OR($G23="",$H23=""),"",$G23-$H23)</f>
        <v/>
      </c>
      <c r="J23" s="53" t="str">
        <f aca="false">IF(OR($I23="",$H23="",$H23=0),"",$I23/$H23)</f>
        <v/>
      </c>
      <c r="K23" s="33"/>
    </row>
    <row r="24" customFormat="false" ht="15" hidden="false" customHeight="true" outlineLevel="0" collapsed="false">
      <c r="A24" s="42"/>
      <c r="B24" s="49"/>
      <c r="C24" s="27"/>
      <c r="D24" s="26"/>
      <c r="E24" s="40" t="str">
        <f aca="false">IF($A24="","",Assumptions!$B$4)</f>
        <v/>
      </c>
      <c r="F24" s="39" t="str">
        <f aca="false">IF(OR($A24="",$C24=""),"",MAX($C24*$E24,Assumptions!$B$5))</f>
        <v/>
      </c>
      <c r="G24" s="39" t="str">
        <f aca="false">IF($F24="","",$C24-$F24)</f>
        <v/>
      </c>
      <c r="H24" s="27"/>
      <c r="I24" s="39" t="str">
        <f aca="false">IF(OR($G24="",$H24=""),"",$G24-$H24)</f>
        <v/>
      </c>
      <c r="J24" s="53" t="str">
        <f aca="false">IF(OR($I24="",$H24="",$H24=0),"",$I24/$H24)</f>
        <v/>
      </c>
      <c r="K24" s="33"/>
    </row>
    <row r="25" customFormat="false" ht="15" hidden="false" customHeight="true" outlineLevel="0" collapsed="false">
      <c r="A25" s="42"/>
      <c r="B25" s="49"/>
      <c r="C25" s="27"/>
      <c r="D25" s="26"/>
      <c r="E25" s="40" t="str">
        <f aca="false">IF($A25="","",Assumptions!$B$4)</f>
        <v/>
      </c>
      <c r="F25" s="39" t="str">
        <f aca="false">IF(OR($A25="",$C25=""),"",MAX($C25*$E25,Assumptions!$B$5))</f>
        <v/>
      </c>
      <c r="G25" s="39" t="str">
        <f aca="false">IF($F25="","",$C25-$F25)</f>
        <v/>
      </c>
      <c r="H25" s="27"/>
      <c r="I25" s="39" t="str">
        <f aca="false">IF(OR($G25="",$H25=""),"",$G25-$H25)</f>
        <v/>
      </c>
      <c r="J25" s="53" t="str">
        <f aca="false">IF(OR($I25="",$H25="",$H25=0),"",$I25/$H25)</f>
        <v/>
      </c>
      <c r="K25" s="33"/>
    </row>
    <row r="26" customFormat="false" ht="15" hidden="false" customHeight="true" outlineLevel="0" collapsed="false">
      <c r="A26" s="42"/>
      <c r="B26" s="49"/>
      <c r="C26" s="27"/>
      <c r="D26" s="26"/>
      <c r="E26" s="40" t="str">
        <f aca="false">IF($A26="","",Assumptions!$B$4)</f>
        <v/>
      </c>
      <c r="F26" s="39" t="str">
        <f aca="false">IF(OR($A26="",$C26=""),"",MAX($C26*$E26,Assumptions!$B$5))</f>
        <v/>
      </c>
      <c r="G26" s="39" t="str">
        <f aca="false">IF($F26="","",$C26-$F26)</f>
        <v/>
      </c>
      <c r="H26" s="27"/>
      <c r="I26" s="39" t="str">
        <f aca="false">IF(OR($G26="",$H26=""),"",$G26-$H26)</f>
        <v/>
      </c>
      <c r="J26" s="53" t="str">
        <f aca="false">IF(OR($I26="",$H26="",$H26=0),"",$I26/$H26)</f>
        <v/>
      </c>
      <c r="K26" s="33"/>
    </row>
    <row r="27" customFormat="false" ht="15" hidden="false" customHeight="true" outlineLevel="0" collapsed="false">
      <c r="A27" s="42"/>
      <c r="B27" s="49"/>
      <c r="C27" s="27"/>
      <c r="D27" s="26"/>
      <c r="E27" s="40" t="str">
        <f aca="false">IF($A27="","",Assumptions!$B$4)</f>
        <v/>
      </c>
      <c r="F27" s="39" t="str">
        <f aca="false">IF(OR($A27="",$C27=""),"",MAX($C27*$E27,Assumptions!$B$5))</f>
        <v/>
      </c>
      <c r="G27" s="39" t="str">
        <f aca="false">IF($F27="","",$C27-$F27)</f>
        <v/>
      </c>
      <c r="H27" s="27"/>
      <c r="I27" s="39" t="str">
        <f aca="false">IF(OR($G27="",$H27=""),"",$G27-$H27)</f>
        <v/>
      </c>
      <c r="J27" s="53" t="str">
        <f aca="false">IF(OR($I27="",$H27="",$H27=0),"",$I27/$H27)</f>
        <v/>
      </c>
      <c r="K27" s="33"/>
    </row>
    <row r="28" customFormat="false" ht="15" hidden="false" customHeight="true" outlineLevel="0" collapsed="false">
      <c r="A28" s="42"/>
      <c r="B28" s="49"/>
      <c r="C28" s="27"/>
      <c r="D28" s="26"/>
      <c r="E28" s="40" t="str">
        <f aca="false">IF($A28="","",Assumptions!$B$4)</f>
        <v/>
      </c>
      <c r="F28" s="39" t="str">
        <f aca="false">IF(OR($A28="",$C28=""),"",MAX($C28*$E28,Assumptions!$B$5))</f>
        <v/>
      </c>
      <c r="G28" s="39" t="str">
        <f aca="false">IF($F28="","",$C28-$F28)</f>
        <v/>
      </c>
      <c r="H28" s="27"/>
      <c r="I28" s="39" t="str">
        <f aca="false">IF(OR($G28="",$H28=""),"",$G28-$H28)</f>
        <v/>
      </c>
      <c r="J28" s="53" t="str">
        <f aca="false">IF(OR($I28="",$H28="",$H28=0),"",$I28/$H28)</f>
        <v/>
      </c>
      <c r="K28" s="33"/>
    </row>
    <row r="29" customFormat="false" ht="15" hidden="false" customHeight="true" outlineLevel="0" collapsed="false">
      <c r="A29" s="42"/>
      <c r="B29" s="49"/>
      <c r="C29" s="27"/>
      <c r="D29" s="26"/>
      <c r="E29" s="40" t="str">
        <f aca="false">IF($A29="","",Assumptions!$B$4)</f>
        <v/>
      </c>
      <c r="F29" s="39" t="str">
        <f aca="false">IF(OR($A29="",$C29=""),"",MAX($C29*$E29,Assumptions!$B$5))</f>
        <v/>
      </c>
      <c r="G29" s="39" t="str">
        <f aca="false">IF($F29="","",$C29-$F29)</f>
        <v/>
      </c>
      <c r="H29" s="27"/>
      <c r="I29" s="39" t="str">
        <f aca="false">IF(OR($G29="",$H29=""),"",$G29-$H29)</f>
        <v/>
      </c>
      <c r="J29" s="53" t="str">
        <f aca="false">IF(OR($I29="",$H29="",$H29=0),"",$I29/$H29)</f>
        <v/>
      </c>
      <c r="K29" s="33"/>
    </row>
    <row r="30" customFormat="false" ht="15" hidden="false" customHeight="true" outlineLevel="0" collapsed="false">
      <c r="A30" s="42"/>
      <c r="B30" s="49"/>
      <c r="C30" s="27"/>
      <c r="D30" s="26"/>
      <c r="E30" s="40" t="str">
        <f aca="false">IF($A30="","",Assumptions!$B$4)</f>
        <v/>
      </c>
      <c r="F30" s="39" t="str">
        <f aca="false">IF(OR($A30="",$C30=""),"",MAX($C30*$E30,Assumptions!$B$5))</f>
        <v/>
      </c>
      <c r="G30" s="39" t="str">
        <f aca="false">IF($F30="","",$C30-$F30)</f>
        <v/>
      </c>
      <c r="H30" s="27"/>
      <c r="I30" s="39" t="str">
        <f aca="false">IF(OR($G30="",$H30=""),"",$G30-$H30)</f>
        <v/>
      </c>
      <c r="J30" s="53" t="str">
        <f aca="false">IF(OR($I30="",$H30="",$H30=0),"",$I30/$H30)</f>
        <v/>
      </c>
      <c r="K30" s="33"/>
    </row>
    <row r="31" customFormat="false" ht="15" hidden="false" customHeight="true" outlineLevel="0" collapsed="false">
      <c r="A31" s="42"/>
      <c r="B31" s="49"/>
      <c r="C31" s="27"/>
      <c r="D31" s="26"/>
      <c r="E31" s="40" t="str">
        <f aca="false">IF($A31="","",Assumptions!$B$4)</f>
        <v/>
      </c>
      <c r="F31" s="39" t="str">
        <f aca="false">IF(OR($A31="",$C31=""),"",MAX($C31*$E31,Assumptions!$B$5))</f>
        <v/>
      </c>
      <c r="G31" s="39" t="str">
        <f aca="false">IF($F31="","",$C31-$F31)</f>
        <v/>
      </c>
      <c r="H31" s="27"/>
      <c r="I31" s="39" t="str">
        <f aca="false">IF(OR($G31="",$H31=""),"",$G31-$H31)</f>
        <v/>
      </c>
      <c r="J31" s="53" t="str">
        <f aca="false">IF(OR($I31="",$H31="",$H31=0),"",$I31/$H31)</f>
        <v/>
      </c>
      <c r="K31" s="33"/>
    </row>
    <row r="32" customFormat="false" ht="15" hidden="false" customHeight="true" outlineLevel="0" collapsed="false">
      <c r="A32" s="42"/>
      <c r="B32" s="49"/>
      <c r="C32" s="27"/>
      <c r="D32" s="26"/>
      <c r="E32" s="40" t="str">
        <f aca="false">IF($A32="","",Assumptions!$B$4)</f>
        <v/>
      </c>
      <c r="F32" s="39" t="str">
        <f aca="false">IF(OR($A32="",$C32=""),"",MAX($C32*$E32,Assumptions!$B$5))</f>
        <v/>
      </c>
      <c r="G32" s="39" t="str">
        <f aca="false">IF($F32="","",$C32-$F32)</f>
        <v/>
      </c>
      <c r="H32" s="27"/>
      <c r="I32" s="39" t="str">
        <f aca="false">IF(OR($G32="",$H32=""),"",$G32-$H32)</f>
        <v/>
      </c>
      <c r="J32" s="53" t="str">
        <f aca="false">IF(OR($I32="",$H32="",$H32=0),"",$I32/$H32)</f>
        <v/>
      </c>
      <c r="K32" s="33"/>
    </row>
    <row r="33" customFormat="false" ht="15" hidden="false" customHeight="true" outlineLevel="0" collapsed="false">
      <c r="A33" s="42"/>
      <c r="B33" s="49"/>
      <c r="C33" s="27"/>
      <c r="D33" s="26"/>
      <c r="E33" s="40" t="str">
        <f aca="false">IF($A33="","",Assumptions!$B$4)</f>
        <v/>
      </c>
      <c r="F33" s="39" t="str">
        <f aca="false">IF(OR($A33="",$C33=""),"",MAX($C33*$E33,Assumptions!$B$5))</f>
        <v/>
      </c>
      <c r="G33" s="39" t="str">
        <f aca="false">IF($F33="","",$C33-$F33)</f>
        <v/>
      </c>
      <c r="H33" s="27"/>
      <c r="I33" s="39" t="str">
        <f aca="false">IF(OR($G33="",$H33=""),"",$G33-$H33)</f>
        <v/>
      </c>
      <c r="J33" s="53" t="str">
        <f aca="false">IF(OR($I33="",$H33="",$H33=0),"",$I33/$H33)</f>
        <v/>
      </c>
      <c r="K33" s="33"/>
    </row>
    <row r="34" customFormat="false" ht="15" hidden="false" customHeight="true" outlineLevel="0" collapsed="false">
      <c r="A34" s="42"/>
      <c r="B34" s="49"/>
      <c r="C34" s="27"/>
      <c r="D34" s="26"/>
      <c r="E34" s="40" t="str">
        <f aca="false">IF($A34="","",Assumptions!$B$4)</f>
        <v/>
      </c>
      <c r="F34" s="39" t="str">
        <f aca="false">IF(OR($A34="",$C34=""),"",MAX($C34*$E34,Assumptions!$B$5))</f>
        <v/>
      </c>
      <c r="G34" s="39" t="str">
        <f aca="false">IF($F34="","",$C34-$F34)</f>
        <v/>
      </c>
      <c r="H34" s="27"/>
      <c r="I34" s="39" t="str">
        <f aca="false">IF(OR($G34="",$H34=""),"",$G34-$H34)</f>
        <v/>
      </c>
      <c r="J34" s="53" t="str">
        <f aca="false">IF(OR($I34="",$H34="",$H34=0),"",$I34/$H34)</f>
        <v/>
      </c>
      <c r="K34" s="33"/>
    </row>
    <row r="35" customFormat="false" ht="15" hidden="false" customHeight="true" outlineLevel="0" collapsed="false">
      <c r="A35" s="42"/>
      <c r="B35" s="49"/>
      <c r="C35" s="27"/>
      <c r="D35" s="26"/>
      <c r="E35" s="40" t="str">
        <f aca="false">IF($A35="","",Assumptions!$B$4)</f>
        <v/>
      </c>
      <c r="F35" s="39" t="str">
        <f aca="false">IF(OR($A35="",$C35=""),"",MAX($C35*$E35,Assumptions!$B$5))</f>
        <v/>
      </c>
      <c r="G35" s="39" t="str">
        <f aca="false">IF($F35="","",$C35-$F35)</f>
        <v/>
      </c>
      <c r="H35" s="27"/>
      <c r="I35" s="39" t="str">
        <f aca="false">IF(OR($G35="",$H35=""),"",$G35-$H35)</f>
        <v/>
      </c>
      <c r="J35" s="53" t="str">
        <f aca="false">IF(OR($I35="",$H35="",$H35=0),"",$I35/$H35)</f>
        <v/>
      </c>
      <c r="K35" s="33"/>
    </row>
    <row r="36" customFormat="false" ht="15" hidden="false" customHeight="true" outlineLevel="0" collapsed="false">
      <c r="A36" s="42"/>
      <c r="B36" s="49"/>
      <c r="C36" s="27"/>
      <c r="D36" s="26"/>
      <c r="E36" s="40" t="str">
        <f aca="false">IF($A36="","",Assumptions!$B$4)</f>
        <v/>
      </c>
      <c r="F36" s="39" t="str">
        <f aca="false">IF(OR($A36="",$C36=""),"",MAX($C36*$E36,Assumptions!$B$5))</f>
        <v/>
      </c>
      <c r="G36" s="39" t="str">
        <f aca="false">IF($F36="","",$C36-$F36)</f>
        <v/>
      </c>
      <c r="H36" s="27"/>
      <c r="I36" s="39" t="str">
        <f aca="false">IF(OR($G36="",$H36=""),"",$G36-$H36)</f>
        <v/>
      </c>
      <c r="J36" s="53" t="str">
        <f aca="false">IF(OR($I36="",$H36="",$H36=0),"",$I36/$H36)</f>
        <v/>
      </c>
      <c r="K36" s="33"/>
    </row>
    <row r="37" customFormat="false" ht="15" hidden="false" customHeight="true" outlineLevel="0" collapsed="false">
      <c r="A37" s="42"/>
      <c r="B37" s="49"/>
      <c r="C37" s="27"/>
      <c r="D37" s="26"/>
      <c r="E37" s="40" t="str">
        <f aca="false">IF($A37="","",Assumptions!$B$4)</f>
        <v/>
      </c>
      <c r="F37" s="39" t="str">
        <f aca="false">IF(OR($A37="",$C37=""),"",MAX($C37*$E37,Assumptions!$B$5))</f>
        <v/>
      </c>
      <c r="G37" s="39" t="str">
        <f aca="false">IF($F37="","",$C37-$F37)</f>
        <v/>
      </c>
      <c r="H37" s="27"/>
      <c r="I37" s="39" t="str">
        <f aca="false">IF(OR($G37="",$H37=""),"",$G37-$H37)</f>
        <v/>
      </c>
      <c r="J37" s="53" t="str">
        <f aca="false">IF(OR($I37="",$H37="",$H37=0),"",$I37/$H37)</f>
        <v/>
      </c>
      <c r="K37" s="33"/>
    </row>
    <row r="38" customFormat="false" ht="15" hidden="false" customHeight="true" outlineLevel="0" collapsed="false">
      <c r="A38" s="42"/>
      <c r="B38" s="49"/>
      <c r="C38" s="27"/>
      <c r="D38" s="26"/>
      <c r="E38" s="40" t="str">
        <f aca="false">IF($A38="","",Assumptions!$B$4)</f>
        <v/>
      </c>
      <c r="F38" s="39" t="str">
        <f aca="false">IF(OR($A38="",$C38=""),"",MAX($C38*$E38,Assumptions!$B$5))</f>
        <v/>
      </c>
      <c r="G38" s="39" t="str">
        <f aca="false">IF($F38="","",$C38-$F38)</f>
        <v/>
      </c>
      <c r="H38" s="27"/>
      <c r="I38" s="39" t="str">
        <f aca="false">IF(OR($G38="",$H38=""),"",$G38-$H38)</f>
        <v/>
      </c>
      <c r="J38" s="53" t="str">
        <f aca="false">IF(OR($I38="",$H38="",$H38=0),"",$I38/$H38)</f>
        <v/>
      </c>
      <c r="K38" s="33"/>
    </row>
    <row r="39" customFormat="false" ht="15" hidden="false" customHeight="true" outlineLevel="0" collapsed="false">
      <c r="A39" s="42"/>
      <c r="B39" s="49"/>
      <c r="C39" s="27"/>
      <c r="D39" s="26"/>
      <c r="E39" s="40" t="str">
        <f aca="false">IF($A39="","",Assumptions!$B$4)</f>
        <v/>
      </c>
      <c r="F39" s="39" t="str">
        <f aca="false">IF(OR($A39="",$C39=""),"",MAX($C39*$E39,Assumptions!$B$5))</f>
        <v/>
      </c>
      <c r="G39" s="39" t="str">
        <f aca="false">IF($F39="","",$C39-$F39)</f>
        <v/>
      </c>
      <c r="H39" s="27"/>
      <c r="I39" s="39" t="str">
        <f aca="false">IF(OR($G39="",$H39=""),"",$G39-$H39)</f>
        <v/>
      </c>
      <c r="J39" s="53" t="str">
        <f aca="false">IF(OR($I39="",$H39="",$H39=0),"",$I39/$H39)</f>
        <v/>
      </c>
      <c r="K39" s="33"/>
    </row>
    <row r="40" customFormat="false" ht="15" hidden="false" customHeight="true" outlineLevel="0" collapsed="false">
      <c r="A40" s="42"/>
      <c r="B40" s="49"/>
      <c r="C40" s="27"/>
      <c r="D40" s="26"/>
      <c r="E40" s="40" t="str">
        <f aca="false">IF($A40="","",Assumptions!$B$4)</f>
        <v/>
      </c>
      <c r="F40" s="39" t="str">
        <f aca="false">IF(OR($A40="",$C40=""),"",MAX($C40*$E40,Assumptions!$B$5))</f>
        <v/>
      </c>
      <c r="G40" s="39" t="str">
        <f aca="false">IF($F40="","",$C40-$F40)</f>
        <v/>
      </c>
      <c r="H40" s="27"/>
      <c r="I40" s="39" t="str">
        <f aca="false">IF(OR($G40="",$H40=""),"",$G40-$H40)</f>
        <v/>
      </c>
      <c r="J40" s="53" t="str">
        <f aca="false">IF(OR($I40="",$H40="",$H40=0),"",$I40/$H40)</f>
        <v/>
      </c>
      <c r="K40" s="33"/>
    </row>
    <row r="41" customFormat="false" ht="15" hidden="false" customHeight="true" outlineLevel="0" collapsed="false">
      <c r="A41" s="42"/>
      <c r="B41" s="49"/>
      <c r="C41" s="27"/>
      <c r="D41" s="26"/>
      <c r="E41" s="40" t="str">
        <f aca="false">IF($A41="","",Assumptions!$B$4)</f>
        <v/>
      </c>
      <c r="F41" s="39" t="str">
        <f aca="false">IF(OR($A41="",$C41=""),"",MAX($C41*$E41,Assumptions!$B$5))</f>
        <v/>
      </c>
      <c r="G41" s="39" t="str">
        <f aca="false">IF($F41="","",$C41-$F41)</f>
        <v/>
      </c>
      <c r="H41" s="27"/>
      <c r="I41" s="39" t="str">
        <f aca="false">IF(OR($G41="",$H41=""),"",$G41-$H41)</f>
        <v/>
      </c>
      <c r="J41" s="53" t="str">
        <f aca="false">IF(OR($I41="",$H41="",$H41=0),"",$I41/$H41)</f>
        <v/>
      </c>
      <c r="K41" s="33"/>
    </row>
    <row r="42" customFormat="false" ht="15" hidden="false" customHeight="true" outlineLevel="0" collapsed="false">
      <c r="A42" s="42"/>
      <c r="B42" s="49"/>
      <c r="C42" s="27"/>
      <c r="D42" s="26"/>
      <c r="E42" s="40" t="str">
        <f aca="false">IF($A42="","",Assumptions!$B$4)</f>
        <v/>
      </c>
      <c r="F42" s="39" t="str">
        <f aca="false">IF(OR($A42="",$C42=""),"",MAX($C42*$E42,Assumptions!$B$5))</f>
        <v/>
      </c>
      <c r="G42" s="39" t="str">
        <f aca="false">IF($F42="","",$C42-$F42)</f>
        <v/>
      </c>
      <c r="H42" s="27"/>
      <c r="I42" s="39" t="str">
        <f aca="false">IF(OR($G42="",$H42=""),"",$G42-$H42)</f>
        <v/>
      </c>
      <c r="J42" s="53" t="str">
        <f aca="false">IF(OR($I42="",$H42="",$H42=0),"",$I42/$H42)</f>
        <v/>
      </c>
      <c r="K42" s="33"/>
    </row>
    <row r="43" customFormat="false" ht="15" hidden="false" customHeight="true" outlineLevel="0" collapsed="false">
      <c r="A43" s="42"/>
      <c r="B43" s="49"/>
      <c r="C43" s="27"/>
      <c r="D43" s="26"/>
      <c r="E43" s="40" t="str">
        <f aca="false">IF($A43="","",Assumptions!$B$4)</f>
        <v/>
      </c>
      <c r="F43" s="39" t="str">
        <f aca="false">IF(OR($A43="",$C43=""),"",MAX($C43*$E43,Assumptions!$B$5))</f>
        <v/>
      </c>
      <c r="G43" s="39" t="str">
        <f aca="false">IF($F43="","",$C43-$F43)</f>
        <v/>
      </c>
      <c r="H43" s="27"/>
      <c r="I43" s="39" t="str">
        <f aca="false">IF(OR($G43="",$H43=""),"",$G43-$H43)</f>
        <v/>
      </c>
      <c r="J43" s="53" t="str">
        <f aca="false">IF(OR($I43="",$H43="",$H43=0),"",$I43/$H43)</f>
        <v/>
      </c>
      <c r="K43" s="33"/>
    </row>
    <row r="44" customFormat="false" ht="15" hidden="false" customHeight="true" outlineLevel="0" collapsed="false">
      <c r="A44" s="42"/>
      <c r="B44" s="49"/>
      <c r="C44" s="27"/>
      <c r="D44" s="26"/>
      <c r="E44" s="40" t="str">
        <f aca="false">IF($A44="","",Assumptions!$B$4)</f>
        <v/>
      </c>
      <c r="F44" s="39" t="str">
        <f aca="false">IF(OR($A44="",$C44=""),"",MAX($C44*$E44,Assumptions!$B$5))</f>
        <v/>
      </c>
      <c r="G44" s="39" t="str">
        <f aca="false">IF($F44="","",$C44-$F44)</f>
        <v/>
      </c>
      <c r="H44" s="27"/>
      <c r="I44" s="39" t="str">
        <f aca="false">IF(OR($G44="",$H44=""),"",$G44-$H44)</f>
        <v/>
      </c>
      <c r="J44" s="53" t="str">
        <f aca="false">IF(OR($I44="",$H44="",$H44=0),"",$I44/$H44)</f>
        <v/>
      </c>
      <c r="K44" s="33"/>
    </row>
    <row r="45" customFormat="false" ht="15" hidden="false" customHeight="true" outlineLevel="0" collapsed="false">
      <c r="A45" s="42"/>
      <c r="B45" s="49"/>
      <c r="C45" s="27"/>
      <c r="D45" s="26"/>
      <c r="E45" s="40" t="str">
        <f aca="false">IF($A45="","",Assumptions!$B$4)</f>
        <v/>
      </c>
      <c r="F45" s="39" t="str">
        <f aca="false">IF(OR($A45="",$C45=""),"",MAX($C45*$E45,Assumptions!$B$5))</f>
        <v/>
      </c>
      <c r="G45" s="39" t="str">
        <f aca="false">IF($F45="","",$C45-$F45)</f>
        <v/>
      </c>
      <c r="H45" s="27"/>
      <c r="I45" s="39" t="str">
        <f aca="false">IF(OR($G45="",$H45=""),"",$G45-$H45)</f>
        <v/>
      </c>
      <c r="J45" s="53" t="str">
        <f aca="false">IF(OR($I45="",$H45="",$H45=0),"",$I45/$H45)</f>
        <v/>
      </c>
      <c r="K45" s="33"/>
    </row>
    <row r="46" customFormat="false" ht="15" hidden="false" customHeight="true" outlineLevel="0" collapsed="false">
      <c r="A46" s="42"/>
      <c r="B46" s="49"/>
      <c r="C46" s="27"/>
      <c r="D46" s="26"/>
      <c r="E46" s="40" t="str">
        <f aca="false">IF($A46="","",Assumptions!$B$4)</f>
        <v/>
      </c>
      <c r="F46" s="39" t="str">
        <f aca="false">IF(OR($A46="",$C46=""),"",MAX($C46*$E46,Assumptions!$B$5))</f>
        <v/>
      </c>
      <c r="G46" s="39" t="str">
        <f aca="false">IF($F46="","",$C46-$F46)</f>
        <v/>
      </c>
      <c r="H46" s="27"/>
      <c r="I46" s="39" t="str">
        <f aca="false">IF(OR($G46="",$H46=""),"",$G46-$H46)</f>
        <v/>
      </c>
      <c r="J46" s="53" t="str">
        <f aca="false">IF(OR($I46="",$H46="",$H46=0),"",$I46/$H46)</f>
        <v/>
      </c>
      <c r="K46" s="33"/>
    </row>
    <row r="47" customFormat="false" ht="15" hidden="false" customHeight="true" outlineLevel="0" collapsed="false">
      <c r="A47" s="42"/>
      <c r="B47" s="49"/>
      <c r="C47" s="27"/>
      <c r="D47" s="26"/>
      <c r="E47" s="40" t="str">
        <f aca="false">IF($A47="","",Assumptions!$B$4)</f>
        <v/>
      </c>
      <c r="F47" s="39" t="str">
        <f aca="false">IF(OR($A47="",$C47=""),"",MAX($C47*$E47,Assumptions!$B$5))</f>
        <v/>
      </c>
      <c r="G47" s="39" t="str">
        <f aca="false">IF($F47="","",$C47-$F47)</f>
        <v/>
      </c>
      <c r="H47" s="27"/>
      <c r="I47" s="39" t="str">
        <f aca="false">IF(OR($G47="",$H47=""),"",$G47-$H47)</f>
        <v/>
      </c>
      <c r="J47" s="53" t="str">
        <f aca="false">IF(OR($I47="",$H47="",$H47=0),"",$I47/$H47)</f>
        <v/>
      </c>
      <c r="K47" s="33"/>
    </row>
    <row r="48" customFormat="false" ht="15" hidden="false" customHeight="true" outlineLevel="0" collapsed="false">
      <c r="A48" s="42"/>
      <c r="B48" s="49"/>
      <c r="C48" s="27"/>
      <c r="D48" s="26"/>
      <c r="E48" s="40" t="str">
        <f aca="false">IF($A48="","",Assumptions!$B$4)</f>
        <v/>
      </c>
      <c r="F48" s="39" t="str">
        <f aca="false">IF(OR($A48="",$C48=""),"",MAX($C48*$E48,Assumptions!$B$5))</f>
        <v/>
      </c>
      <c r="G48" s="39" t="str">
        <f aca="false">IF($F48="","",$C48-$F48)</f>
        <v/>
      </c>
      <c r="H48" s="27"/>
      <c r="I48" s="39" t="str">
        <f aca="false">IF(OR($G48="",$H48=""),"",$G48-$H48)</f>
        <v/>
      </c>
      <c r="J48" s="53" t="str">
        <f aca="false">IF(OR($I48="",$H48="",$H48=0),"",$I48/$H48)</f>
        <v/>
      </c>
      <c r="K48" s="33"/>
    </row>
    <row r="49" customFormat="false" ht="15" hidden="false" customHeight="true" outlineLevel="0" collapsed="false">
      <c r="A49" s="42"/>
      <c r="B49" s="49"/>
      <c r="C49" s="27"/>
      <c r="D49" s="26"/>
      <c r="E49" s="40" t="str">
        <f aca="false">IF($A49="","",Assumptions!$B$4)</f>
        <v/>
      </c>
      <c r="F49" s="39" t="str">
        <f aca="false">IF(OR($A49="",$C49=""),"",MAX($C49*$E49,Assumptions!$B$5))</f>
        <v/>
      </c>
      <c r="G49" s="39" t="str">
        <f aca="false">IF($F49="","",$C49-$F49)</f>
        <v/>
      </c>
      <c r="H49" s="27"/>
      <c r="I49" s="39" t="str">
        <f aca="false">IF(OR($G49="",$H49=""),"",$G49-$H49)</f>
        <v/>
      </c>
      <c r="J49" s="53" t="str">
        <f aca="false">IF(OR($I49="",$H49="",$H49=0),"",$I49/$H49)</f>
        <v/>
      </c>
      <c r="K49" s="33"/>
    </row>
    <row r="50" customFormat="false" ht="15" hidden="false" customHeight="true" outlineLevel="0" collapsed="false">
      <c r="A50" s="42"/>
      <c r="B50" s="49"/>
      <c r="C50" s="27"/>
      <c r="D50" s="26"/>
      <c r="E50" s="40" t="str">
        <f aca="false">IF($A50="","",Assumptions!$B$4)</f>
        <v/>
      </c>
      <c r="F50" s="39" t="str">
        <f aca="false">IF(OR($A50="",$C50=""),"",MAX($C50*$E50,Assumptions!$B$5))</f>
        <v/>
      </c>
      <c r="G50" s="39" t="str">
        <f aca="false">IF($F50="","",$C50-$F50)</f>
        <v/>
      </c>
      <c r="H50" s="27"/>
      <c r="I50" s="39" t="str">
        <f aca="false">IF(OR($G50="",$H50=""),"",$G50-$H50)</f>
        <v/>
      </c>
      <c r="J50" s="53" t="str">
        <f aca="false">IF(OR($I50="",$H50="",$H50=0),"",$I50/$H50)</f>
        <v/>
      </c>
      <c r="K50" s="33"/>
    </row>
    <row r="51" customFormat="false" ht="15" hidden="false" customHeight="true" outlineLevel="0" collapsed="false">
      <c r="A51" s="42"/>
      <c r="B51" s="49"/>
      <c r="C51" s="27"/>
      <c r="D51" s="26"/>
      <c r="E51" s="40" t="str">
        <f aca="false">IF($A51="","",Assumptions!$B$4)</f>
        <v/>
      </c>
      <c r="F51" s="39" t="str">
        <f aca="false">IF(OR($A51="",$C51=""),"",MAX($C51*$E51,Assumptions!$B$5))</f>
        <v/>
      </c>
      <c r="G51" s="39" t="str">
        <f aca="false">IF($F51="","",$C51-$F51)</f>
        <v/>
      </c>
      <c r="H51" s="27"/>
      <c r="I51" s="39" t="str">
        <f aca="false">IF(OR($G51="",$H51=""),"",$G51-$H51)</f>
        <v/>
      </c>
      <c r="J51" s="53" t="str">
        <f aca="false">IF(OR($I51="",$H51="",$H51=0),"",$I51/$H51)</f>
        <v/>
      </c>
      <c r="K51" s="33"/>
    </row>
    <row r="52" customFormat="false" ht="15" hidden="false" customHeight="true" outlineLevel="0" collapsed="false">
      <c r="A52" s="42"/>
      <c r="B52" s="49"/>
      <c r="C52" s="27"/>
      <c r="D52" s="26"/>
      <c r="E52" s="40" t="str">
        <f aca="false">IF($A52="","",Assumptions!$B$4)</f>
        <v/>
      </c>
      <c r="F52" s="39" t="str">
        <f aca="false">IF(OR($A52="",$C52=""),"",MAX($C52*$E52,Assumptions!$B$5))</f>
        <v/>
      </c>
      <c r="G52" s="39" t="str">
        <f aca="false">IF($F52="","",$C52-$F52)</f>
        <v/>
      </c>
      <c r="H52" s="27"/>
      <c r="I52" s="39" t="str">
        <f aca="false">IF(OR($G52="",$H52=""),"",$G52-$H52)</f>
        <v/>
      </c>
      <c r="J52" s="53" t="str">
        <f aca="false">IF(OR($I52="",$H52="",$H52=0),"",$I52/$H52)</f>
        <v/>
      </c>
      <c r="K52" s="33"/>
    </row>
    <row r="53" customFormat="false" ht="15" hidden="false" customHeight="true" outlineLevel="0" collapsed="false">
      <c r="A53" s="42"/>
      <c r="B53" s="49"/>
      <c r="C53" s="27"/>
      <c r="D53" s="26"/>
      <c r="E53" s="40" t="str">
        <f aca="false">IF($A53="","",Assumptions!$B$4)</f>
        <v/>
      </c>
      <c r="F53" s="39" t="str">
        <f aca="false">IF(OR($A53="",$C53=""),"",MAX($C53*$E53,Assumptions!$B$5))</f>
        <v/>
      </c>
      <c r="G53" s="39" t="str">
        <f aca="false">IF($F53="","",$C53-$F53)</f>
        <v/>
      </c>
      <c r="H53" s="27"/>
      <c r="I53" s="39" t="str">
        <f aca="false">IF(OR($G53="",$H53=""),"",$G53-$H53)</f>
        <v/>
      </c>
      <c r="J53" s="53" t="str">
        <f aca="false">IF(OR($I53="",$H53="",$H53=0),"",$I53/$H53)</f>
        <v/>
      </c>
      <c r="K53" s="33"/>
    </row>
    <row r="54" customFormat="false" ht="15" hidden="false" customHeight="true" outlineLevel="0" collapsed="false">
      <c r="A54" s="42"/>
      <c r="B54" s="49"/>
      <c r="C54" s="27"/>
      <c r="D54" s="26"/>
      <c r="E54" s="40" t="str">
        <f aca="false">IF($A54="","",Assumptions!$B$4)</f>
        <v/>
      </c>
      <c r="F54" s="39" t="str">
        <f aca="false">IF(OR($A54="",$C54=""),"",MAX($C54*$E54,Assumptions!$B$5))</f>
        <v/>
      </c>
      <c r="G54" s="39" t="str">
        <f aca="false">IF($F54="","",$C54-$F54)</f>
        <v/>
      </c>
      <c r="H54" s="27"/>
      <c r="I54" s="39" t="str">
        <f aca="false">IF(OR($G54="",$H54=""),"",$G54-$H54)</f>
        <v/>
      </c>
      <c r="J54" s="53" t="str">
        <f aca="false">IF(OR($I54="",$H54="",$H54=0),"",$I54/$H54)</f>
        <v/>
      </c>
      <c r="K54" s="33"/>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18"/>
    <col collapsed="false" customWidth="true" hidden="false" outlineLevel="0" max="3" min="3" style="1" width="4"/>
    <col collapsed="false" customWidth="true" hidden="false" outlineLevel="0" max="4" min="4" style="1" width="78"/>
  </cols>
  <sheetData>
    <row r="1" customFormat="false" ht="24" hidden="false" customHeight="true" outlineLevel="0" collapsed="false">
      <c r="A1" s="2" t="s">
        <v>307</v>
      </c>
      <c r="B1" s="2"/>
      <c r="C1" s="2"/>
      <c r="D1" s="2"/>
    </row>
    <row r="3" customFormat="false" ht="15" hidden="false" customHeight="true" outlineLevel="0" collapsed="false">
      <c r="A3" s="54" t="s">
        <v>308</v>
      </c>
      <c r="B3" s="55"/>
      <c r="C3" s="55"/>
      <c r="D3" s="55"/>
    </row>
    <row r="4" customFormat="false" ht="18" hidden="false" customHeight="true" outlineLevel="0" collapsed="false">
      <c r="A4" s="9" t="s">
        <v>309</v>
      </c>
      <c r="B4" s="56" t="n">
        <f aca="false">COUNTIF(Portfolio!$C$5:$C$104,"Active")</f>
        <v>1</v>
      </c>
      <c r="D4" s="57" t="s">
        <v>310</v>
      </c>
    </row>
    <row r="5" customFormat="false" ht="18" hidden="false" customHeight="true" outlineLevel="0" collapsed="false">
      <c r="A5" s="9" t="s">
        <v>311</v>
      </c>
      <c r="B5" s="58" t="n">
        <f aca="false">SUMIF(Portfolio!$C$5:$C$104,"Active",Portfolio!$E$5:$E$104)</f>
        <v>2400</v>
      </c>
      <c r="D5" s="57" t="s">
        <v>312</v>
      </c>
    </row>
    <row r="6" customFormat="false" ht="18" hidden="false" customHeight="true" outlineLevel="0" collapsed="false">
      <c r="A6" s="9" t="s">
        <v>313</v>
      </c>
      <c r="B6" s="58" t="n">
        <f aca="false">SUMIF(Portfolio!$C$5:$C$104,"Active",Portfolio!$I$5:$I$104)</f>
        <v>22</v>
      </c>
      <c r="D6" s="57" t="s">
        <v>314</v>
      </c>
    </row>
    <row r="7" customFormat="false" ht="18" hidden="false" customHeight="true" outlineLevel="0" collapsed="false">
      <c r="A7" s="9" t="s">
        <v>315</v>
      </c>
      <c r="B7" s="58" t="n">
        <f aca="false">SUMIF(Portfolio!$C$5:$C$104,"Active",Portfolio!$J$5:$J$104)</f>
        <v>2422</v>
      </c>
      <c r="D7" s="57" t="s">
        <v>316</v>
      </c>
    </row>
    <row r="8" customFormat="false" ht="31.5" hidden="false" customHeight="true" outlineLevel="0" collapsed="false">
      <c r="A8" s="9" t="s">
        <v>317</v>
      </c>
      <c r="B8" s="58" t="n">
        <f aca="false">SUMIF(Portfolio!$C$5:$C$104,"Active",Portfolio!$F$5:$F$104)</f>
        <v>11</v>
      </c>
      <c r="D8" s="57" t="s">
        <v>318</v>
      </c>
    </row>
    <row r="10" customFormat="false" ht="15" hidden="false" customHeight="true" outlineLevel="0" collapsed="false">
      <c r="A10" s="54" t="s">
        <v>319</v>
      </c>
      <c r="B10" s="55"/>
      <c r="C10" s="55"/>
      <c r="D10" s="55"/>
    </row>
    <row r="11" customFormat="false" ht="18" hidden="false" customHeight="true" outlineLevel="0" collapsed="false">
      <c r="A11" s="9" t="s">
        <v>320</v>
      </c>
      <c r="B11" s="56" t="n">
        <f aca="false">COUNTIF('Sales Log'!$A$5:$A$54,"&lt;&gt;")</f>
        <v>1</v>
      </c>
      <c r="D11" s="57" t="s">
        <v>321</v>
      </c>
    </row>
    <row r="12" customFormat="false" ht="18" hidden="false" customHeight="true" outlineLevel="0" collapsed="false">
      <c r="A12" s="9" t="s">
        <v>322</v>
      </c>
      <c r="B12" s="58" t="n">
        <f aca="false">SUM('Sales Log'!$C$5:$C$54)</f>
        <v>11500</v>
      </c>
      <c r="D12" s="57" t="s">
        <v>323</v>
      </c>
    </row>
    <row r="13" customFormat="false" ht="18" hidden="false" customHeight="true" outlineLevel="0" collapsed="false">
      <c r="A13" s="9" t="s">
        <v>324</v>
      </c>
      <c r="B13" s="58" t="n">
        <f aca="false">SUM('Sales Log'!$G$5:$G$54)</f>
        <v>9200</v>
      </c>
      <c r="D13" s="57" t="s">
        <v>325</v>
      </c>
    </row>
    <row r="14" customFormat="false" ht="18" hidden="false" customHeight="true" outlineLevel="0" collapsed="false">
      <c r="A14" s="9" t="s">
        <v>326</v>
      </c>
      <c r="B14" s="58" t="n">
        <f aca="false">SUM('Sales Log'!$I$5:$I$54)</f>
        <v>6767</v>
      </c>
      <c r="D14" s="57" t="s">
        <v>327</v>
      </c>
    </row>
    <row r="15" customFormat="false" ht="31.5" hidden="false" customHeight="true" outlineLevel="0" collapsed="false">
      <c r="A15" s="9" t="s">
        <v>328</v>
      </c>
      <c r="B15" s="59" t="n">
        <f aca="false">IF($B$8=0,"n/a",SUM('Sales Log'!$I$5:$I$54)/$B$8)</f>
        <v>615.181818181818</v>
      </c>
      <c r="D15" s="57" t="s">
        <v>329</v>
      </c>
    </row>
    <row r="17" customFormat="false" ht="15" hidden="false" customHeight="true" outlineLevel="0" collapsed="false">
      <c r="A17" s="54" t="s">
        <v>330</v>
      </c>
      <c r="B17" s="55"/>
      <c r="C17" s="55"/>
      <c r="D17" s="55"/>
    </row>
    <row r="18" customFormat="false" ht="31.5" hidden="false" customHeight="true" outlineLevel="0" collapsed="false">
      <c r="A18" s="9" t="s">
        <v>331</v>
      </c>
      <c r="B18" s="60" t="n">
        <f aca="false">IF(($B$4+COUNTIF('Sales Log'!$A$5:$A$54,"&lt;&gt;"))=0,"n/a",COUNTIF('Sales Log'!$A$5:$A$54,"&lt;&gt;")/($B$4+COUNTIF('Sales Log'!$A$5:$A$54,"&lt;&gt;")))</f>
        <v>0.5</v>
      </c>
      <c r="D18" s="57" t="s">
        <v>332</v>
      </c>
    </row>
    <row r="19" customFormat="false" ht="18" hidden="false" customHeight="true" outlineLevel="0" collapsed="false">
      <c r="A19" s="9" t="s">
        <v>333</v>
      </c>
      <c r="B19" s="60" t="n">
        <f aca="false">Assumptions!$B$6</f>
        <v>0.02</v>
      </c>
      <c r="D19" s="57" t="s">
        <v>334</v>
      </c>
    </row>
    <row r="20" customFormat="false" ht="18" hidden="false" customHeight="true" outlineLevel="0" collapsed="false">
      <c r="A20" s="9" t="s">
        <v>335</v>
      </c>
      <c r="B20" s="61" t="n">
        <f aca="false">$B$4*Assumptions!$B$6</f>
        <v>0.02</v>
      </c>
      <c r="D20" s="57" t="s">
        <v>336</v>
      </c>
    </row>
    <row r="22" customFormat="false" ht="15" hidden="false" customHeight="true" outlineLevel="0" collapsed="false">
      <c r="A22" s="54" t="s">
        <v>337</v>
      </c>
      <c r="B22" s="55"/>
      <c r="C22" s="55"/>
      <c r="D22" s="55"/>
    </row>
    <row r="23" customFormat="false" ht="18" hidden="false" customHeight="true" outlineLevel="0" collapsed="false">
      <c r="A23" s="9" t="s">
        <v>338</v>
      </c>
      <c r="B23" s="56" t="n">
        <f aca="false">COUNTIF(Candidates!$A$5:$A$84,"&lt;&gt;")</f>
        <v>56</v>
      </c>
      <c r="D23" s="57" t="s">
        <v>339</v>
      </c>
    </row>
    <row r="24" customFormat="false" ht="18" hidden="false" customHeight="true" outlineLevel="0" collapsed="false">
      <c r="A24" s="9" t="s">
        <v>340</v>
      </c>
      <c r="B24" s="56" t="n">
        <f aca="false">COUNTIF(Candidates!$T$5:$T$84,"BUY")</f>
        <v>22</v>
      </c>
      <c r="D24" s="57" t="s">
        <v>341</v>
      </c>
    </row>
    <row r="25" customFormat="false" ht="18" hidden="false" customHeight="true" outlineLevel="0" collapsed="false">
      <c r="A25" s="9" t="s">
        <v>342</v>
      </c>
      <c r="B25" s="56" t="n">
        <f aca="false">COUNTIF(Candidates!$T$5:$T$84,"BUY IF CHEAPER")</f>
        <v>8</v>
      </c>
      <c r="D25" s="57" t="s">
        <v>343</v>
      </c>
    </row>
    <row r="26" customFormat="false" ht="18" hidden="false" customHeight="true" outlineLevel="0" collapsed="false">
      <c r="A26" s="9" t="s">
        <v>344</v>
      </c>
      <c r="B26" s="56" t="n">
        <f aca="false">COUNTIF(Candidates!$T$5:$T$84,"WATCH")</f>
        <v>22</v>
      </c>
      <c r="D26" s="57" t="s">
        <v>345</v>
      </c>
    </row>
    <row r="27" customFormat="false" ht="18" hidden="false" customHeight="true" outlineLevel="0" collapsed="false">
      <c r="A27" s="9" t="s">
        <v>346</v>
      </c>
      <c r="B27" s="56" t="n">
        <f aca="false">COUNTIF(Candidates!$T$5:$T$84,"PASS")+COUNTIF(Candidates!$T$5:$T$84,"REJECT")</f>
        <v>4</v>
      </c>
      <c r="D27" s="57" t="s">
        <v>347</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14"/>
    <col collapsed="false" customWidth="true" hidden="false" outlineLevel="0" max="4" min="4" style="1" width="58"/>
    <col collapsed="false" customWidth="true" hidden="false" outlineLevel="0" max="5" min="5" style="1" width="46"/>
  </cols>
  <sheetData>
    <row r="1" customFormat="false" ht="24" hidden="false" customHeight="true" outlineLevel="0" collapsed="false">
      <c r="A1" s="2" t="s">
        <v>348</v>
      </c>
      <c r="B1" s="2"/>
      <c r="C1" s="2"/>
      <c r="D1" s="2"/>
      <c r="E1" s="2"/>
    </row>
    <row r="3" customFormat="false" ht="45.75" hidden="false" customHeight="true" outlineLevel="0" collapsed="false">
      <c r="A3" s="62" t="s">
        <v>349</v>
      </c>
    </row>
    <row r="5" customFormat="false" ht="42" hidden="false" customHeight="true" outlineLevel="0" collapsed="false">
      <c r="A5" s="8" t="s">
        <v>350</v>
      </c>
      <c r="B5" s="8" t="s">
        <v>38</v>
      </c>
      <c r="C5" s="8" t="s">
        <v>351</v>
      </c>
      <c r="D5" s="8" t="s">
        <v>352</v>
      </c>
      <c r="E5" s="8" t="s">
        <v>353</v>
      </c>
    </row>
    <row r="6" customFormat="false" ht="30" hidden="false" customHeight="true" outlineLevel="0" collapsed="false">
      <c r="A6" s="19" t="s">
        <v>354</v>
      </c>
      <c r="B6" s="38" t="s">
        <v>355</v>
      </c>
      <c r="C6" s="38" t="s">
        <v>356</v>
      </c>
      <c r="D6" s="9" t="s">
        <v>357</v>
      </c>
      <c r="E6" s="9" t="s">
        <v>358</v>
      </c>
    </row>
    <row r="7" customFormat="false" ht="30" hidden="false" customHeight="true" outlineLevel="0" collapsed="false">
      <c r="A7" s="19" t="s">
        <v>359</v>
      </c>
      <c r="B7" s="38" t="s">
        <v>360</v>
      </c>
      <c r="C7" s="38" t="s">
        <v>356</v>
      </c>
      <c r="D7" s="9" t="s">
        <v>361</v>
      </c>
      <c r="E7" s="9" t="s">
        <v>358</v>
      </c>
    </row>
    <row r="8" customFormat="false" ht="30" hidden="false" customHeight="true" outlineLevel="0" collapsed="false">
      <c r="A8" s="19" t="s">
        <v>362</v>
      </c>
      <c r="B8" s="38" t="s">
        <v>363</v>
      </c>
      <c r="C8" s="38" t="s">
        <v>356</v>
      </c>
      <c r="D8" s="9" t="s">
        <v>364</v>
      </c>
      <c r="E8" s="9" t="s">
        <v>358</v>
      </c>
    </row>
    <row r="9" customFormat="false" ht="30" hidden="false" customHeight="true" outlineLevel="0" collapsed="false">
      <c r="A9" s="19" t="s">
        <v>365</v>
      </c>
      <c r="B9" s="38" t="s">
        <v>366</v>
      </c>
      <c r="C9" s="38" t="s">
        <v>367</v>
      </c>
      <c r="D9" s="9" t="s">
        <v>368</v>
      </c>
      <c r="E9" s="9" t="s">
        <v>369</v>
      </c>
    </row>
    <row r="10" customFormat="false" ht="30" hidden="false" customHeight="true" outlineLevel="0" collapsed="false">
      <c r="A10" s="19" t="s">
        <v>370</v>
      </c>
      <c r="B10" s="38" t="s">
        <v>371</v>
      </c>
      <c r="C10" s="38" t="s">
        <v>356</v>
      </c>
      <c r="D10" s="9" t="s">
        <v>372</v>
      </c>
      <c r="E10" s="9" t="s">
        <v>358</v>
      </c>
    </row>
    <row r="11" customFormat="false" ht="30" hidden="false" customHeight="true" outlineLevel="0" collapsed="false">
      <c r="A11" s="19" t="s">
        <v>373</v>
      </c>
      <c r="B11" s="38" t="s">
        <v>374</v>
      </c>
      <c r="C11" s="38" t="s">
        <v>356</v>
      </c>
      <c r="D11" s="9" t="s">
        <v>375</v>
      </c>
      <c r="E11" s="9" t="s">
        <v>358</v>
      </c>
    </row>
    <row r="12" customFormat="false" ht="30" hidden="false" customHeight="true" outlineLevel="0" collapsed="false">
      <c r="A12" s="19" t="s">
        <v>376</v>
      </c>
      <c r="B12" s="38" t="s">
        <v>377</v>
      </c>
      <c r="C12" s="38" t="s">
        <v>356</v>
      </c>
      <c r="D12" s="9" t="s">
        <v>378</v>
      </c>
      <c r="E12" s="9" t="s">
        <v>358</v>
      </c>
    </row>
    <row r="13" customFormat="false" ht="30" hidden="false" customHeight="true" outlineLevel="0" collapsed="false">
      <c r="A13" s="19" t="s">
        <v>379</v>
      </c>
      <c r="B13" s="38" t="s">
        <v>380</v>
      </c>
      <c r="C13" s="38" t="s">
        <v>356</v>
      </c>
      <c r="D13" s="9" t="s">
        <v>378</v>
      </c>
      <c r="E13" s="9" t="s">
        <v>358</v>
      </c>
    </row>
    <row r="14" customFormat="false" ht="30" hidden="false" customHeight="true" outlineLevel="0" collapsed="false">
      <c r="A14" s="19" t="s">
        <v>381</v>
      </c>
      <c r="B14" s="38" t="s">
        <v>382</v>
      </c>
      <c r="C14" s="38" t="s">
        <v>356</v>
      </c>
      <c r="D14" s="9" t="s">
        <v>383</v>
      </c>
      <c r="E14" s="9" t="s">
        <v>358</v>
      </c>
    </row>
    <row r="15" customFormat="false" ht="30" hidden="false" customHeight="true" outlineLevel="0" collapsed="false">
      <c r="A15" s="19" t="s">
        <v>384</v>
      </c>
      <c r="B15" s="38" t="s">
        <v>385</v>
      </c>
      <c r="C15" s="38" t="s">
        <v>356</v>
      </c>
      <c r="D15" s="9" t="s">
        <v>386</v>
      </c>
      <c r="E15" s="9" t="s">
        <v>369</v>
      </c>
    </row>
    <row r="16" customFormat="false" ht="30" hidden="false" customHeight="true" outlineLevel="0" collapsed="false">
      <c r="A16" s="19" t="s">
        <v>387</v>
      </c>
      <c r="B16" s="38" t="s">
        <v>388</v>
      </c>
      <c r="C16" s="38" t="s">
        <v>367</v>
      </c>
      <c r="D16" s="9" t="s">
        <v>389</v>
      </c>
      <c r="E16" s="9" t="s">
        <v>369</v>
      </c>
    </row>
    <row r="17" customFormat="false" ht="30" hidden="false" customHeight="true" outlineLevel="0" collapsed="false">
      <c r="A17" s="19" t="s">
        <v>390</v>
      </c>
      <c r="B17" s="38" t="s">
        <v>391</v>
      </c>
      <c r="C17" s="38" t="s">
        <v>356</v>
      </c>
      <c r="D17" s="9" t="s">
        <v>392</v>
      </c>
      <c r="E17" s="9" t="s">
        <v>393</v>
      </c>
    </row>
    <row r="18" customFormat="false" ht="30" hidden="false" customHeight="true" outlineLevel="0" collapsed="false">
      <c r="A18" s="19" t="s">
        <v>394</v>
      </c>
      <c r="B18" s="38" t="s">
        <v>395</v>
      </c>
      <c r="C18" s="38" t="s">
        <v>356</v>
      </c>
      <c r="D18" s="9" t="s">
        <v>396</v>
      </c>
      <c r="E18" s="9" t="s">
        <v>397</v>
      </c>
    </row>
    <row r="19" customFormat="false" ht="30" hidden="false" customHeight="true" outlineLevel="0" collapsed="false">
      <c r="A19" s="19" t="s">
        <v>398</v>
      </c>
      <c r="B19" s="38" t="s">
        <v>399</v>
      </c>
      <c r="C19" s="38" t="s">
        <v>356</v>
      </c>
      <c r="D19" s="9" t="s">
        <v>400</v>
      </c>
      <c r="E19" s="9" t="s">
        <v>401</v>
      </c>
    </row>
    <row r="20" customFormat="false" ht="30" hidden="false" customHeight="true" outlineLevel="0" collapsed="false">
      <c r="A20" s="19" t="s">
        <v>402</v>
      </c>
      <c r="B20" s="38" t="s">
        <v>403</v>
      </c>
      <c r="C20" s="38" t="s">
        <v>356</v>
      </c>
      <c r="D20" s="9" t="s">
        <v>404</v>
      </c>
      <c r="E20" s="9" t="s">
        <v>405</v>
      </c>
    </row>
    <row r="21" customFormat="false" ht="30" hidden="false" customHeight="true" outlineLevel="0" collapsed="false">
      <c r="A21" s="19" t="s">
        <v>406</v>
      </c>
      <c r="B21" s="38" t="s">
        <v>407</v>
      </c>
      <c r="C21" s="38" t="s">
        <v>356</v>
      </c>
      <c r="D21" s="9" t="s">
        <v>408</v>
      </c>
      <c r="E21" s="9" t="s">
        <v>405</v>
      </c>
    </row>
    <row r="22" customFormat="false" ht="30" hidden="false" customHeight="true" outlineLevel="0" collapsed="false">
      <c r="A22" s="19" t="s">
        <v>409</v>
      </c>
      <c r="B22" s="38" t="s">
        <v>410</v>
      </c>
      <c r="C22" s="38" t="s">
        <v>356</v>
      </c>
      <c r="D22" s="9" t="s">
        <v>411</v>
      </c>
      <c r="E22" s="9" t="s">
        <v>412</v>
      </c>
    </row>
    <row r="24" customFormat="false" ht="15" hidden="false" customHeight="true" outlineLevel="0" collapsed="false">
      <c r="A24" s="63" t="s">
        <v>413</v>
      </c>
    </row>
    <row r="25" customFormat="false" ht="15" hidden="false" customHeight="true" outlineLevel="0" collapsed="false">
      <c r="A25" s="64" t="s">
        <v>414</v>
      </c>
      <c r="B25" s="64"/>
      <c r="C25" s="64"/>
      <c r="D25" s="64"/>
      <c r="E25" s="64"/>
    </row>
    <row r="26" customFormat="false" ht="15" hidden="false" customHeight="true" outlineLevel="0" collapsed="false">
      <c r="A26" s="64" t="s">
        <v>415</v>
      </c>
      <c r="B26" s="64"/>
      <c r="C26" s="64"/>
      <c r="D26" s="64"/>
      <c r="E26" s="64"/>
    </row>
    <row r="27" customFormat="false" ht="15" hidden="false" customHeight="true" outlineLevel="0" collapsed="false">
      <c r="A27" s="64" t="s">
        <v>416</v>
      </c>
      <c r="B27" s="64"/>
      <c r="C27" s="64"/>
      <c r="D27" s="64"/>
      <c r="E27" s="64"/>
    </row>
    <row r="28" customFormat="false" ht="15" hidden="false" customHeight="true" outlineLevel="0" collapsed="false">
      <c r="A28" s="64" t="s">
        <v>417</v>
      </c>
      <c r="B28" s="64"/>
      <c r="C28" s="64"/>
      <c r="D28" s="64"/>
      <c r="E28" s="64"/>
    </row>
    <row r="29" customFormat="false" ht="15" hidden="false" customHeight="true" outlineLevel="0" collapsed="false">
      <c r="A29" s="64" t="s">
        <v>418</v>
      </c>
      <c r="B29" s="64"/>
      <c r="C29" s="64"/>
      <c r="D29" s="64"/>
      <c r="E29" s="64"/>
    </row>
  </sheetData>
  <mergeCells count="6">
    <mergeCell ref="A1:E1"/>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2026-08-03T16:25:56Z</dcterms:created>
  <dc:creator>openpyxl</dc:creator>
  <dc:description/>
  <dc:language>en-US</dc:language>
  <cp:lastModifiedBy/>
  <dcterms:modified xsi:type="dcterms:W3CDTF">2026-08-03T16:29:36Z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